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A632B1FE-B83A-4901-B2C3-11DF1EB0E885}" xr6:coauthVersionLast="47" xr6:coauthVersionMax="47" xr10:uidLastSave="{00000000-0000-0000-0000-000000000000}"/>
  <bookViews>
    <workbookView xWindow="-108" yWindow="-108" windowWidth="23256" windowHeight="12456" activeTab="5" xr2:uid="{9990EEC3-9169-4BF9-86F5-EA5A88C1220D}"/>
  </bookViews>
  <sheets>
    <sheet name="H01_PARAMETROS_GENERALES" sheetId="1" r:id="rId1"/>
    <sheet name="H02_GLOSARIO_TECNICO" sheetId="2" r:id="rId2"/>
    <sheet name="H03_CONTROL_VERSIONES" sheetId="3" r:id="rId3"/>
    <sheet name="H04_TABLAS_PARAMETRICAS" sheetId="4" r:id="rId4"/>
    <sheet name="H04B_DATOS_CNE" sheetId="27" r:id="rId5"/>
    <sheet name="H05_METAS_PDOT" sheetId="5" r:id="rId6"/>
    <sheet name="H06_VINCULACIONES_POA" sheetId="6" r:id="rId7"/>
    <sheet name="H07_PROCESOS_SERCOP" sheetId="7" r:id="rId8"/>
    <sheet name="H08_DOCUMENTOS_LOTAIP" sheetId="8" r:id="rId9"/>
    <sheet name="H09_EJECUCION_PRESUPUESTARIA" sheetId="9" r:id="rId10"/>
    <sheet name="H10_INFORMES_CPCCS" sheetId="10" r:id="rId11"/>
    <sheet name="H10B_DATOS_SIGAD" sheetId="28" r:id="rId12"/>
    <sheet name="H11_ALERTAS_MOM" sheetId="11" r:id="rId13"/>
    <sheet name="H12_ESTATUTO_ORGANICO" sheetId="12" r:id="rId14"/>
    <sheet name="H13_MAO_ATRIBUCION_ORGANICA" sheetId="13" r:id="rId15"/>
    <sheet name="H14_CALCULO_ICPI" sheetId="14" r:id="rId16"/>
    <sheet name="H15_INDICES_COMPLEMENTARIOS" sheetId="15" r:id="rId17"/>
    <sheet name="H16_ITAM_TRANSPARENCIA" sheetId="16" r:id="rId18"/>
    <sheet name="H17_SENSIBILIDAD_DELTA" sheetId="17" r:id="rId19"/>
    <sheet name="H18_IED_EFICIENCIA_DIRECTIVA" sheetId="18" r:id="rId20"/>
    <sheet name="H19_EDS_EVALUACION_DIRECTIVA" sheetId="19" r:id="rId21"/>
    <sheet name="H20_CONTROL_MENSUAL" sheetId="20" r:id="rId22"/>
    <sheet name="H21_EVALUACION_CUATRIMESTRAL" sheetId="21" r:id="rId23"/>
    <sheet name="H22_EVALUACION_ANUAL_FINAL" sheetId="22" r:id="rId24"/>
    <sheet name="H23_DASHBOARD_REPORTES" sheetId="23" r:id="rId25"/>
    <sheet name="H24_DASHBOARD_TAC" sheetId="24" r:id="rId26"/>
    <sheet name="H25_RESUMEN_EJECUTIVO" sheetId="25" r:id="rId27"/>
    <sheet name="H26_TRAZABILIDAD_LOG" sheetId="26" r:id="rId28"/>
    <sheet name="H27_VERIFICACION_INTEGRIDAD" sheetId="29" r:id="rId29"/>
    <sheet name="H28_TABLERO_SOPORTE_DECISION" sheetId="30" r:id="rId30"/>
    <sheet name="H29_INFORMES_CONGRUENCIA" sheetId="31" r:id="rId31"/>
    <sheet name="H30_EXPORTACION_SIGAD" sheetId="32" r:id="rId32"/>
    <sheet name="H31_CONSOLIDADO_LOTAIP" sheetId="33"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4" l="1"/>
  <c r="B31" i="15"/>
  <c r="G6" i="24"/>
  <c r="B51" i="22" l="1"/>
  <c r="B23" i="23" l="1"/>
  <c r="B24" i="23"/>
  <c r="B25" i="23"/>
  <c r="B26" i="23"/>
  <c r="B27" i="23"/>
  <c r="B28" i="23"/>
  <c r="B22" i="23"/>
  <c r="B21" i="23"/>
  <c r="A6" i="24"/>
  <c r="B28" i="16"/>
  <c r="B27" i="16"/>
  <c r="C7" i="25" s="1"/>
  <c r="A7" i="25"/>
  <c r="M7" i="25"/>
  <c r="K7" i="25"/>
  <c r="I7" i="25"/>
  <c r="B45" i="22"/>
  <c r="A65" i="25"/>
  <c r="B7" i="22"/>
  <c r="B12" i="22"/>
  <c r="B10" i="22"/>
  <c r="B9" i="22"/>
  <c r="G70" i="26"/>
  <c r="C30" i="11"/>
  <c r="C51" i="28"/>
  <c r="C48" i="28"/>
  <c r="B31" i="14"/>
  <c r="B7" i="30"/>
  <c r="A30" i="33"/>
  <c r="A29" i="33"/>
  <c r="B29" i="33" s="1"/>
  <c r="A28" i="33"/>
  <c r="B28" i="33" s="1"/>
  <c r="G27" i="33"/>
  <c r="D27" i="33"/>
  <c r="F27" i="33" s="1"/>
  <c r="C27" i="33"/>
  <c r="E27" i="33" s="1"/>
  <c r="A27" i="33"/>
  <c r="B27" i="33" s="1"/>
  <c r="A26" i="33"/>
  <c r="G26" i="33" s="1"/>
  <c r="A25" i="33"/>
  <c r="C25" i="33" s="1"/>
  <c r="A24" i="33"/>
  <c r="C24" i="33" s="1"/>
  <c r="A23" i="33"/>
  <c r="G23" i="33" s="1"/>
  <c r="A22" i="33"/>
  <c r="G22" i="33" s="1"/>
  <c r="D21" i="33"/>
  <c r="F21" i="33" s="1"/>
  <c r="B21" i="33"/>
  <c r="A21" i="33"/>
  <c r="G21" i="33" s="1"/>
  <c r="A20" i="33"/>
  <c r="B20" i="33" s="1"/>
  <c r="A19" i="33"/>
  <c r="G19" i="33" s="1"/>
  <c r="A18" i="33"/>
  <c r="G18" i="33" s="1"/>
  <c r="A17" i="33"/>
  <c r="G17" i="33" s="1"/>
  <c r="A16" i="33"/>
  <c r="D16" i="33" s="1"/>
  <c r="F16" i="33" s="1"/>
  <c r="A15" i="33"/>
  <c r="D15" i="33" s="1"/>
  <c r="F15" i="33" s="1"/>
  <c r="A14" i="33"/>
  <c r="G14" i="33" s="1"/>
  <c r="D13" i="33"/>
  <c r="F13" i="33" s="1"/>
  <c r="A13" i="33"/>
  <c r="C13" i="33" s="1"/>
  <c r="A12" i="33"/>
  <c r="D12" i="33" s="1"/>
  <c r="F12" i="33" s="1"/>
  <c r="A11" i="33"/>
  <c r="G11" i="33" s="1"/>
  <c r="F7" i="33"/>
  <c r="E7" i="33"/>
  <c r="D7" i="33"/>
  <c r="C7" i="33"/>
  <c r="B7" i="33"/>
  <c r="A32" i="32"/>
  <c r="F32" i="32" s="1"/>
  <c r="H31" i="32"/>
  <c r="A31" i="32"/>
  <c r="A30" i="32"/>
  <c r="A29" i="32"/>
  <c r="C29" i="32" s="1"/>
  <c r="H28" i="32"/>
  <c r="A28" i="32"/>
  <c r="G28" i="32" s="1"/>
  <c r="I28" i="32" s="1"/>
  <c r="H27" i="32"/>
  <c r="G27" i="32"/>
  <c r="I27" i="32" s="1"/>
  <c r="F27" i="32"/>
  <c r="E27" i="32"/>
  <c r="D27" i="32"/>
  <c r="B27" i="32"/>
  <c r="A27" i="32"/>
  <c r="C27" i="32" s="1"/>
  <c r="A26" i="32"/>
  <c r="E26" i="32" s="1"/>
  <c r="A25" i="32"/>
  <c r="H25" i="32" s="1"/>
  <c r="A24" i="32"/>
  <c r="H23" i="32"/>
  <c r="A23" i="32"/>
  <c r="C23" i="32" s="1"/>
  <c r="H22" i="32"/>
  <c r="G22" i="32"/>
  <c r="I22" i="32" s="1"/>
  <c r="F22" i="32"/>
  <c r="E22" i="32"/>
  <c r="D22" i="32"/>
  <c r="C22" i="32"/>
  <c r="B22" i="32"/>
  <c r="A22" i="32"/>
  <c r="A21" i="32"/>
  <c r="D21" i="32" s="1"/>
  <c r="A20" i="32"/>
  <c r="C20" i="32" s="1"/>
  <c r="A19" i="32"/>
  <c r="E19" i="32" s="1"/>
  <c r="A18" i="32"/>
  <c r="H18" i="32" s="1"/>
  <c r="J18" i="32" s="1"/>
  <c r="A17" i="32"/>
  <c r="E17" i="32" s="1"/>
  <c r="H16" i="32"/>
  <c r="G16" i="32"/>
  <c r="I16" i="32" s="1"/>
  <c r="A16" i="32"/>
  <c r="F16" i="32" s="1"/>
  <c r="H15" i="32"/>
  <c r="J15" i="32" s="1"/>
  <c r="G15" i="32"/>
  <c r="I15" i="32" s="1"/>
  <c r="F15" i="32"/>
  <c r="E15" i="32"/>
  <c r="D15" i="32"/>
  <c r="C15" i="32"/>
  <c r="A15" i="32"/>
  <c r="B15" i="32" s="1"/>
  <c r="A14" i="32"/>
  <c r="H14" i="32" s="1"/>
  <c r="A13" i="32"/>
  <c r="B13" i="32" s="1"/>
  <c r="B9" i="32"/>
  <c r="B7" i="32"/>
  <c r="B6" i="32"/>
  <c r="B22" i="31"/>
  <c r="C22" i="31" s="1"/>
  <c r="D22" i="31" s="1"/>
  <c r="B21" i="31"/>
  <c r="B20" i="31"/>
  <c r="B19" i="31"/>
  <c r="C19" i="31" s="1"/>
  <c r="D19" i="31" s="1"/>
  <c r="B18" i="31"/>
  <c r="C18" i="31" s="1"/>
  <c r="B17" i="31"/>
  <c r="B16" i="31"/>
  <c r="C16" i="31" s="1"/>
  <c r="D16" i="31" s="1"/>
  <c r="B15" i="31"/>
  <c r="C15" i="31" s="1"/>
  <c r="D15" i="31" s="1"/>
  <c r="B11" i="31"/>
  <c r="B10" i="31"/>
  <c r="B7" i="31"/>
  <c r="B6" i="31"/>
  <c r="B18" i="30"/>
  <c r="F18" i="30" s="1"/>
  <c r="G17" i="30"/>
  <c r="F17" i="30"/>
  <c r="C17" i="30"/>
  <c r="D17" i="30" s="1"/>
  <c r="B17" i="30"/>
  <c r="B16" i="30"/>
  <c r="C16" i="30" s="1"/>
  <c r="B15" i="30"/>
  <c r="F15" i="30" s="1"/>
  <c r="B14" i="30"/>
  <c r="C14" i="30" s="1"/>
  <c r="B13" i="30"/>
  <c r="F13" i="30" s="1"/>
  <c r="B12" i="30"/>
  <c r="F12" i="30" s="1"/>
  <c r="B11" i="30"/>
  <c r="C11" i="30" s="1"/>
  <c r="D7" i="30"/>
  <c r="A37" i="29"/>
  <c r="C37" i="29" s="1"/>
  <c r="A36" i="29"/>
  <c r="C36" i="29" s="1"/>
  <c r="A35" i="29"/>
  <c r="C35" i="29" s="1"/>
  <c r="A34" i="29"/>
  <c r="B34" i="29" s="1"/>
  <c r="C33" i="29"/>
  <c r="A33" i="29"/>
  <c r="B33" i="29" s="1"/>
  <c r="D33" i="29" s="1"/>
  <c r="A32" i="29"/>
  <c r="A31" i="29"/>
  <c r="A30" i="29"/>
  <c r="B30" i="29" s="1"/>
  <c r="A29" i="29"/>
  <c r="C29" i="29" s="1"/>
  <c r="A28" i="29"/>
  <c r="B28" i="29" s="1"/>
  <c r="C27" i="29"/>
  <c r="A27" i="29"/>
  <c r="B27" i="29" s="1"/>
  <c r="D27" i="29" s="1"/>
  <c r="A26" i="29"/>
  <c r="B26" i="29" s="1"/>
  <c r="A25" i="29"/>
  <c r="A24" i="29"/>
  <c r="C24" i="29" s="1"/>
  <c r="A23" i="29"/>
  <c r="C23" i="29" s="1"/>
  <c r="C22" i="29"/>
  <c r="A22" i="29"/>
  <c r="B22" i="29" s="1"/>
  <c r="D22" i="29" s="1"/>
  <c r="A21" i="29"/>
  <c r="C21" i="29" s="1"/>
  <c r="A20" i="29"/>
  <c r="C20" i="29" s="1"/>
  <c r="A19" i="29"/>
  <c r="A18" i="29"/>
  <c r="B18" i="29" s="1"/>
  <c r="C12" i="29"/>
  <c r="B12" i="29"/>
  <c r="C10" i="29"/>
  <c r="B10" i="29"/>
  <c r="C9" i="29"/>
  <c r="B9" i="29"/>
  <c r="C8" i="29"/>
  <c r="B8" i="29"/>
  <c r="A8" i="24"/>
  <c r="D9" i="23"/>
  <c r="B9" i="23"/>
  <c r="D8" i="23"/>
  <c r="B8" i="23"/>
  <c r="C13" i="11"/>
  <c r="B13" i="11"/>
  <c r="D12" i="11"/>
  <c r="B10" i="11"/>
  <c r="C12" i="11" s="1"/>
  <c r="B62" i="28"/>
  <c r="B61" i="28"/>
  <c r="B52" i="28"/>
  <c r="B51" i="28"/>
  <c r="B56" i="28" s="1"/>
  <c r="B50" i="28"/>
  <c r="B49" i="28"/>
  <c r="B47" i="28"/>
  <c r="B46" i="28"/>
  <c r="J19" i="28"/>
  <c r="B48" i="28" s="1"/>
  <c r="I19" i="28"/>
  <c r="C32" i="1" s="1"/>
  <c r="F19" i="28"/>
  <c r="B32" i="1" s="1"/>
  <c r="K18" i="28"/>
  <c r="J18" i="28"/>
  <c r="I18" i="28"/>
  <c r="B58" i="27"/>
  <c r="B57" i="27"/>
  <c r="B56" i="27"/>
  <c r="B55" i="27"/>
  <c r="B54" i="27"/>
  <c r="B50" i="27"/>
  <c r="B52" i="27" s="1"/>
  <c r="C28" i="1"/>
  <c r="B28" i="1"/>
  <c r="D58" i="23"/>
  <c r="B58" i="23"/>
  <c r="D57" i="23"/>
  <c r="B57" i="23"/>
  <c r="D56" i="23"/>
  <c r="B56" i="23"/>
  <c r="D55" i="23"/>
  <c r="B55" i="23"/>
  <c r="C31" i="1"/>
  <c r="B31" i="1"/>
  <c r="C30" i="1"/>
  <c r="B30" i="1"/>
  <c r="I78" i="26"/>
  <c r="G75" i="26"/>
  <c r="I71" i="26"/>
  <c r="I70" i="26"/>
  <c r="G68" i="26"/>
  <c r="I18" i="24"/>
  <c r="I17" i="24"/>
  <c r="I16" i="24"/>
  <c r="I15" i="24"/>
  <c r="I14" i="24"/>
  <c r="I13" i="24"/>
  <c r="I19" i="24" s="1"/>
  <c r="H26" i="16"/>
  <c r="I26" i="16" s="1"/>
  <c r="H25" i="16"/>
  <c r="I25" i="16" s="1"/>
  <c r="H24" i="16"/>
  <c r="I24" i="16" s="1"/>
  <c r="H23" i="16"/>
  <c r="I23" i="16" s="1"/>
  <c r="H22" i="16"/>
  <c r="I22" i="16" s="1"/>
  <c r="H21" i="16"/>
  <c r="I21" i="16" s="1"/>
  <c r="H20" i="16"/>
  <c r="I20" i="16" s="1"/>
  <c r="H19" i="16"/>
  <c r="I19" i="16" s="1"/>
  <c r="H18" i="16"/>
  <c r="I18" i="16" s="1"/>
  <c r="H17" i="16"/>
  <c r="I17" i="16" s="1"/>
  <c r="H16" i="16"/>
  <c r="I16" i="16" s="1"/>
  <c r="H15" i="16"/>
  <c r="I15" i="16" s="1"/>
  <c r="H14" i="16"/>
  <c r="I14" i="16" s="1"/>
  <c r="H13" i="16"/>
  <c r="I13" i="16" s="1"/>
  <c r="H12" i="16"/>
  <c r="I12" i="16" s="1"/>
  <c r="H11" i="16"/>
  <c r="I11" i="16" s="1"/>
  <c r="H10" i="16"/>
  <c r="I10" i="16" s="1"/>
  <c r="H9" i="16"/>
  <c r="I9" i="16" s="1"/>
  <c r="H8" i="16"/>
  <c r="I8" i="16" s="1"/>
  <c r="H7" i="16"/>
  <c r="I7" i="16" s="1"/>
  <c r="B22" i="11"/>
  <c r="C22" i="11"/>
  <c r="N25" i="14"/>
  <c r="P25" i="14" s="1"/>
  <c r="N24" i="14"/>
  <c r="P24" i="14" s="1"/>
  <c r="N23" i="14"/>
  <c r="P23" i="14" s="1"/>
  <c r="N22" i="14"/>
  <c r="P22" i="14" s="1"/>
  <c r="N21" i="14"/>
  <c r="P21" i="14" s="1"/>
  <c r="N20" i="14"/>
  <c r="P20" i="14" s="1"/>
  <c r="N19" i="14"/>
  <c r="P19" i="14" s="1"/>
  <c r="P18" i="14"/>
  <c r="N18" i="14"/>
  <c r="N17" i="14"/>
  <c r="P17" i="14" s="1"/>
  <c r="N16" i="14"/>
  <c r="P16" i="14" s="1"/>
  <c r="N15" i="14"/>
  <c r="P15" i="14" s="1"/>
  <c r="N14" i="14"/>
  <c r="P14" i="14" s="1"/>
  <c r="N13" i="14"/>
  <c r="P13" i="14" s="1"/>
  <c r="N12" i="14"/>
  <c r="P12" i="14" s="1"/>
  <c r="N11" i="14"/>
  <c r="P11" i="14" s="1"/>
  <c r="N10" i="14"/>
  <c r="P10" i="14" s="1"/>
  <c r="N9" i="14"/>
  <c r="P9" i="14" s="1"/>
  <c r="N8" i="14"/>
  <c r="P8" i="14" s="1"/>
  <c r="N7" i="14"/>
  <c r="P7" i="14" s="1"/>
  <c r="N6" i="14"/>
  <c r="C58" i="23" s="1" a="1"/>
  <c r="C58" i="23" s="1"/>
  <c r="L25" i="9"/>
  <c r="K25" i="9"/>
  <c r="L24" i="9"/>
  <c r="K24" i="9"/>
  <c r="L23" i="9"/>
  <c r="K23" i="9"/>
  <c r="L22" i="9"/>
  <c r="K22" i="9"/>
  <c r="L21" i="9"/>
  <c r="K21" i="9"/>
  <c r="L20" i="9"/>
  <c r="K20" i="9"/>
  <c r="L19" i="9"/>
  <c r="K19" i="9"/>
  <c r="L18" i="9"/>
  <c r="K18" i="9"/>
  <c r="L17" i="9"/>
  <c r="K17" i="9"/>
  <c r="L16" i="9"/>
  <c r="K16" i="9"/>
  <c r="L15" i="9"/>
  <c r="K15" i="9"/>
  <c r="L14" i="9"/>
  <c r="K14" i="9"/>
  <c r="L13" i="9"/>
  <c r="K13" i="9"/>
  <c r="L12" i="9"/>
  <c r="K12" i="9"/>
  <c r="L11" i="9"/>
  <c r="K11" i="9"/>
  <c r="L10" i="9"/>
  <c r="K10" i="9"/>
  <c r="L9" i="9"/>
  <c r="K9" i="9"/>
  <c r="L8" i="9"/>
  <c r="K8" i="9"/>
  <c r="L7" i="9"/>
  <c r="K7" i="9"/>
  <c r="L6" i="9"/>
  <c r="K6" i="9"/>
  <c r="B46" i="14"/>
  <c r="B33" i="14"/>
  <c r="O27" i="14"/>
  <c r="B27" i="14"/>
  <c r="J27" i="9"/>
  <c r="H27" i="9"/>
  <c r="G27" i="9"/>
  <c r="F27" i="9"/>
  <c r="D27" i="9"/>
  <c r="H26" i="5"/>
  <c r="H25" i="5"/>
  <c r="H24" i="5"/>
  <c r="H23" i="5"/>
  <c r="C24" i="1" s="1"/>
  <c r="H22" i="5"/>
  <c r="H21" i="5"/>
  <c r="H20" i="5"/>
  <c r="H19" i="5"/>
  <c r="H18" i="5"/>
  <c r="H17" i="5"/>
  <c r="H16" i="5"/>
  <c r="H15" i="5"/>
  <c r="H14" i="5"/>
  <c r="H13" i="5"/>
  <c r="H12" i="5"/>
  <c r="H11" i="5"/>
  <c r="H10" i="5"/>
  <c r="H9" i="5"/>
  <c r="H8" i="5"/>
  <c r="H7" i="5"/>
  <c r="B8" i="3"/>
  <c r="C25" i="1"/>
  <c r="B25" i="1"/>
  <c r="B14" i="1"/>
  <c r="B32" i="15" l="1"/>
  <c r="F7" i="25"/>
  <c r="B50" i="23"/>
  <c r="B13" i="29"/>
  <c r="A7" i="33"/>
  <c r="C13" i="29"/>
  <c r="B12" i="11"/>
  <c r="D13" i="11" s="1"/>
  <c r="G11" i="30"/>
  <c r="E11" i="30"/>
  <c r="D11" i="30"/>
  <c r="D30" i="29"/>
  <c r="B33" i="1"/>
  <c r="C52" i="27"/>
  <c r="A9" i="24"/>
  <c r="C33" i="1"/>
  <c r="J28" i="32"/>
  <c r="J16" i="32"/>
  <c r="B15" i="33"/>
  <c r="C15" i="33"/>
  <c r="E15" i="33" s="1"/>
  <c r="F29" i="32"/>
  <c r="C19" i="29"/>
  <c r="B19" i="32"/>
  <c r="B25" i="32"/>
  <c r="C55" i="23" a="1"/>
  <c r="C55" i="23" s="1"/>
  <c r="D29" i="32"/>
  <c r="C19" i="33"/>
  <c r="C56" i="23" a="1"/>
  <c r="C56" i="23" s="1"/>
  <c r="C18" i="29"/>
  <c r="D18" i="29" s="1"/>
  <c r="B24" i="29"/>
  <c r="D24" i="29" s="1"/>
  <c r="F11" i="30"/>
  <c r="G29" i="32"/>
  <c r="I29" i="32" s="1"/>
  <c r="G15" i="33"/>
  <c r="B36" i="29"/>
  <c r="D36" i="29" s="1"/>
  <c r="J22" i="32"/>
  <c r="D25" i="32"/>
  <c r="B28" i="32"/>
  <c r="H29" i="32"/>
  <c r="C30" i="29"/>
  <c r="B16" i="32"/>
  <c r="B21" i="29"/>
  <c r="D21" i="29" s="1"/>
  <c r="C31" i="29"/>
  <c r="C16" i="32"/>
  <c r="H19" i="32"/>
  <c r="D23" i="32"/>
  <c r="D28" i="32"/>
  <c r="G30" i="32"/>
  <c r="G12" i="33"/>
  <c r="G16" i="33"/>
  <c r="G20" i="33"/>
  <c r="G25" i="33"/>
  <c r="D29" i="33"/>
  <c r="F29" i="33" s="1"/>
  <c r="C26" i="29"/>
  <c r="D26" i="29" s="1"/>
  <c r="C32" i="29"/>
  <c r="C13" i="30"/>
  <c r="D16" i="32"/>
  <c r="E23" i="32"/>
  <c r="E28" i="32"/>
  <c r="E13" i="33"/>
  <c r="B23" i="29"/>
  <c r="D23" i="29" s="1"/>
  <c r="K19" i="28"/>
  <c r="B29" i="29"/>
  <c r="D29" i="29" s="1"/>
  <c r="E29" i="32"/>
  <c r="D19" i="33"/>
  <c r="F19" i="33" s="1"/>
  <c r="C57" i="23" a="1"/>
  <c r="C57" i="23" s="1"/>
  <c r="C25" i="29"/>
  <c r="C28" i="32"/>
  <c r="C16" i="33"/>
  <c r="E16" i="33" s="1"/>
  <c r="C29" i="33"/>
  <c r="E29" i="33" s="1"/>
  <c r="P6" i="14"/>
  <c r="F23" i="32"/>
  <c r="F28" i="32"/>
  <c r="B19" i="33"/>
  <c r="B35" i="29"/>
  <c r="D35" i="29" s="1"/>
  <c r="C15" i="30"/>
  <c r="C20" i="33"/>
  <c r="D19" i="32"/>
  <c r="D20" i="33"/>
  <c r="F20" i="33" s="1"/>
  <c r="D25" i="33"/>
  <c r="F25" i="33" s="1"/>
  <c r="E16" i="32"/>
  <c r="G29" i="33"/>
  <c r="E17" i="30"/>
  <c r="G23" i="32"/>
  <c r="I23" i="32" s="1"/>
  <c r="G13" i="33"/>
  <c r="C21" i="33"/>
  <c r="E21" i="33" s="1"/>
  <c r="G16" i="30"/>
  <c r="D16" i="30"/>
  <c r="E16" i="30"/>
  <c r="D18" i="31"/>
  <c r="G14" i="30"/>
  <c r="E14" i="30"/>
  <c r="D14" i="30"/>
  <c r="J14" i="32"/>
  <c r="B17" i="33"/>
  <c r="C18" i="30"/>
  <c r="B18" i="32"/>
  <c r="E24" i="32"/>
  <c r="D24" i="32"/>
  <c r="C24" i="32"/>
  <c r="B30" i="32"/>
  <c r="C17" i="33"/>
  <c r="B37" i="29"/>
  <c r="D37" i="29" s="1"/>
  <c r="C18" i="32"/>
  <c r="D17" i="33"/>
  <c r="F17" i="33" s="1"/>
  <c r="B32" i="32"/>
  <c r="B22" i="33"/>
  <c r="B31" i="29"/>
  <c r="C34" i="29"/>
  <c r="D34" i="29" s="1"/>
  <c r="C12" i="30"/>
  <c r="E16" i="31"/>
  <c r="C20" i="31"/>
  <c r="D20" i="31" s="1"/>
  <c r="D14" i="32"/>
  <c r="D24" i="33"/>
  <c r="F24" i="33" s="1"/>
  <c r="F16" i="30"/>
  <c r="B20" i="32"/>
  <c r="G21" i="32"/>
  <c r="H24" i="32"/>
  <c r="C26" i="32"/>
  <c r="J27" i="32"/>
  <c r="D32" i="32"/>
  <c r="D22" i="33"/>
  <c r="F22" i="33" s="1"/>
  <c r="B25" i="29"/>
  <c r="D25" i="29" s="1"/>
  <c r="C28" i="29"/>
  <c r="D28" i="29" s="1"/>
  <c r="F14" i="30"/>
  <c r="C17" i="31"/>
  <c r="D17" i="31" s="1"/>
  <c r="F14" i="32"/>
  <c r="H21" i="32"/>
  <c r="J21" i="32" s="1"/>
  <c r="D26" i="32"/>
  <c r="E32" i="32"/>
  <c r="D18" i="33"/>
  <c r="F18" i="33" s="1"/>
  <c r="C18" i="33"/>
  <c r="E18" i="33" s="1"/>
  <c r="B18" i="33"/>
  <c r="E18" i="32"/>
  <c r="D18" i="32"/>
  <c r="B24" i="33"/>
  <c r="C17" i="32"/>
  <c r="B17" i="32"/>
  <c r="G18" i="32"/>
  <c r="I18" i="32" s="1"/>
  <c r="H20" i="32"/>
  <c r="J20" i="32" s="1"/>
  <c r="G20" i="32"/>
  <c r="F21" i="32"/>
  <c r="G24" i="32"/>
  <c r="I24" i="32" s="1"/>
  <c r="B26" i="32"/>
  <c r="H30" i="32"/>
  <c r="J30" i="32" s="1"/>
  <c r="C22" i="33"/>
  <c r="G13" i="32"/>
  <c r="F13" i="32"/>
  <c r="C13" i="32"/>
  <c r="G14" i="32"/>
  <c r="I14" i="32" s="1"/>
  <c r="F17" i="32"/>
  <c r="D20" i="32"/>
  <c r="G31" i="32"/>
  <c r="I31" i="32" s="1"/>
  <c r="F31" i="32"/>
  <c r="E31" i="32"/>
  <c r="G24" i="33"/>
  <c r="C21" i="32"/>
  <c r="F18" i="32"/>
  <c r="E21" i="32"/>
  <c r="F24" i="32"/>
  <c r="H26" i="32"/>
  <c r="G26" i="32"/>
  <c r="D11" i="33"/>
  <c r="F11" i="33" s="1"/>
  <c r="C11" i="33"/>
  <c r="C26" i="33"/>
  <c r="E14" i="32"/>
  <c r="B19" i="29"/>
  <c r="B32" i="29"/>
  <c r="C21" i="31"/>
  <c r="D21" i="31" s="1"/>
  <c r="D13" i="32"/>
  <c r="G17" i="32"/>
  <c r="G19" i="32"/>
  <c r="I19" i="32" s="1"/>
  <c r="F19" i="32"/>
  <c r="E20" i="32"/>
  <c r="G25" i="32"/>
  <c r="I25" i="32" s="1"/>
  <c r="F25" i="32"/>
  <c r="E25" i="32"/>
  <c r="F26" i="32"/>
  <c r="B31" i="32"/>
  <c r="B12" i="33"/>
  <c r="B14" i="33"/>
  <c r="B16" i="33"/>
  <c r="B20" i="29"/>
  <c r="D20" i="29" s="1"/>
  <c r="E22" i="31"/>
  <c r="E30" i="32"/>
  <c r="D30" i="32"/>
  <c r="C30" i="32"/>
  <c r="H32" i="32"/>
  <c r="G32" i="32"/>
  <c r="C14" i="32"/>
  <c r="C32" i="32"/>
  <c r="B11" i="33"/>
  <c r="D26" i="33"/>
  <c r="F26" i="33" s="1"/>
  <c r="D17" i="32"/>
  <c r="E13" i="32"/>
  <c r="H17" i="32"/>
  <c r="J17" i="32" s="1"/>
  <c r="F20" i="32"/>
  <c r="C31" i="32"/>
  <c r="C12" i="33"/>
  <c r="E12" i="33" s="1"/>
  <c r="C14" i="33"/>
  <c r="D23" i="33"/>
  <c r="F23" i="33" s="1"/>
  <c r="C23" i="33"/>
  <c r="E23" i="33" s="1"/>
  <c r="B21" i="32"/>
  <c r="G28" i="33"/>
  <c r="D28" i="33"/>
  <c r="F28" i="33" s="1"/>
  <c r="E19" i="31"/>
  <c r="B14" i="32"/>
  <c r="B24" i="32"/>
  <c r="F30" i="32"/>
  <c r="B26" i="33"/>
  <c r="C28" i="33"/>
  <c r="H13" i="32"/>
  <c r="C19" i="32"/>
  <c r="C25" i="32"/>
  <c r="D31" i="32"/>
  <c r="D14" i="33"/>
  <c r="F14" i="33" s="1"/>
  <c r="B23" i="33"/>
  <c r="G30" i="33"/>
  <c r="D30" i="33"/>
  <c r="F30" i="33" s="1"/>
  <c r="C30" i="33"/>
  <c r="E30" i="33" s="1"/>
  <c r="B30" i="33"/>
  <c r="B23" i="32"/>
  <c r="B29" i="32"/>
  <c r="B13" i="33"/>
  <c r="B25" i="33"/>
  <c r="B24" i="1"/>
  <c r="C54" i="14" a="1"/>
  <c r="C54" i="14" s="1"/>
  <c r="B30" i="14"/>
  <c r="B32" i="14" s="1"/>
  <c r="C56" i="14" a="1"/>
  <c r="C56" i="14" s="1"/>
  <c r="C55" i="14" a="1"/>
  <c r="C55" i="14" s="1"/>
  <c r="C57" i="14" a="1"/>
  <c r="C57" i="14" s="1"/>
  <c r="N27" i="14"/>
  <c r="P27" i="14" s="1"/>
  <c r="K27" i="9"/>
  <c r="H27" i="5"/>
  <c r="I27" i="5" s="1"/>
  <c r="C29" i="1"/>
  <c r="B29" i="1"/>
  <c r="B15" i="11" l="1"/>
  <c r="B14" i="29" s="1"/>
  <c r="B14" i="11"/>
  <c r="C14" i="11"/>
  <c r="E17" i="31"/>
  <c r="C7" i="30"/>
  <c r="A7" i="30"/>
  <c r="E25" i="33"/>
  <c r="D19" i="29"/>
  <c r="D15" i="30"/>
  <c r="G15" i="30"/>
  <c r="E15" i="30"/>
  <c r="J13" i="32"/>
  <c r="I32" i="32"/>
  <c r="I20" i="32"/>
  <c r="I21" i="32"/>
  <c r="D13" i="30"/>
  <c r="E13" i="30"/>
  <c r="G13" i="30"/>
  <c r="B7" i="29"/>
  <c r="A9" i="23"/>
  <c r="C8" i="23"/>
  <c r="B53" i="28"/>
  <c r="B54" i="28" s="1"/>
  <c r="B55" i="28" s="1"/>
  <c r="C11" i="29"/>
  <c r="A8" i="23"/>
  <c r="A61" i="23" s="1"/>
  <c r="B8" i="32"/>
  <c r="B11" i="29"/>
  <c r="B8" i="31"/>
  <c r="C9" i="23"/>
  <c r="C7" i="29"/>
  <c r="C15" i="11"/>
  <c r="E20" i="31"/>
  <c r="J29" i="32"/>
  <c r="J23" i="32"/>
  <c r="E18" i="31"/>
  <c r="B60" i="27"/>
  <c r="D32" i="29"/>
  <c r="D31" i="29"/>
  <c r="E20" i="33"/>
  <c r="E15" i="31"/>
  <c r="I26" i="32"/>
  <c r="E19" i="33"/>
  <c r="G18" i="30"/>
  <c r="D18" i="30"/>
  <c r="E18" i="30"/>
  <c r="E28" i="33"/>
  <c r="E14" i="33"/>
  <c r="J32" i="32"/>
  <c r="E11" i="33"/>
  <c r="J31" i="32"/>
  <c r="E22" i="33"/>
  <c r="E26" i="33"/>
  <c r="J19" i="32"/>
  <c r="I30" i="32"/>
  <c r="E17" i="33"/>
  <c r="J25" i="32"/>
  <c r="G12" i="30"/>
  <c r="D12" i="30"/>
  <c r="E12" i="30"/>
  <c r="J24" i="32"/>
  <c r="J26" i="32"/>
  <c r="E24" i="33"/>
  <c r="I17" i="32"/>
  <c r="I13" i="32"/>
  <c r="E21" i="31"/>
  <c r="B36" i="14"/>
  <c r="B9" i="31" s="1"/>
  <c r="B48" i="14"/>
  <c r="B49" i="14" s="1"/>
  <c r="B47" i="14"/>
  <c r="B50" i="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<sst xmlns="http://schemas.openxmlformats.org/spreadsheetml/2006/main" count="5643" uniqueCount="2744">
  <si>
    <t>Sistema de Integridad Algorítmica Preventiva  |  SIAP-ICPI v1.0</t>
  </si>
  <si>
    <t>Herramienta de Certificación de Congruencia Programática para Gobiernos Autónomos Descentralizados</t>
  </si>
  <si>
    <t>GRUPO 1: METADATOS — Parámetros Generales del Sistema</t>
  </si>
  <si>
    <t>← H01 (esta hoja) | Navegar a: →</t>
  </si>
  <si>
    <t>Parámetro</t>
  </si>
  <si>
    <t>Valor</t>
  </si>
  <si>
    <t>Descripción</t>
  </si>
  <si>
    <t>Celda Nombrada</t>
  </si>
  <si>
    <t>GAD_Nombre</t>
  </si>
  <si>
    <t>GAD Municipal de Montecristi</t>
  </si>
  <si>
    <t>Nombre oficial del Gobierno Autónomo Descentralizado</t>
  </si>
  <si>
    <t>GAD_Provincia</t>
  </si>
  <si>
    <t>Manabí</t>
  </si>
  <si>
    <t>Provincia de Ecuador donde opera el GAD</t>
  </si>
  <si>
    <t>GAD_RUC</t>
  </si>
  <si>
    <t>Registro Único de Contribuyentes del GAD</t>
  </si>
  <si>
    <t>GAD_Poblacion</t>
  </si>
  <si>
    <t>Población cantonal según proyección INEC 2024</t>
  </si>
  <si>
    <t>PDOT_Periodo</t>
  </si>
  <si>
    <t>2023-2027</t>
  </si>
  <si>
    <t>Período de vigencia del Plan de Desarrollo Territorial</t>
  </si>
  <si>
    <t>Año_Fiscal</t>
  </si>
  <si>
    <t>Año fiscal objeto de evaluación ICPI</t>
  </si>
  <si>
    <t>ICM_OFICIAL</t>
  </si>
  <si>
    <t>Presupuesto_PDOT</t>
  </si>
  <si>
    <t>Presupuesto total PDOT 2023-2027 en USD</t>
  </si>
  <si>
    <t>Fecha_Generacion</t>
  </si>
  <si>
    <t>Fecha de generación automática del reporte</t>
  </si>
  <si>
    <t>Responsable</t>
  </si>
  <si>
    <t>Ronald Javier Delgado Santana</t>
  </si>
  <si>
    <t>Responsable técnico del sistema SIAP-ICPI</t>
  </si>
  <si>
    <t>Version_Sistema</t>
  </si>
  <si>
    <t>SIAP-ICPI v1.0</t>
  </si>
  <si>
    <t>Versión del artefacto operativo</t>
  </si>
  <si>
    <t>Moneda</t>
  </si>
  <si>
    <t>USD</t>
  </si>
  <si>
    <t>Moneda de referencia del sistema presupuestario</t>
  </si>
  <si>
    <t>Coef_CurvaS</t>
  </si>
  <si>
    <t>Coeficiente logístico para Curva S de monitoreo (H20)</t>
  </si>
  <si>
    <t>Inflexion_CurvaS</t>
  </si>
  <si>
    <t>Punto de inflexión de la Curva S (mes 1-12)</t>
  </si>
  <si>
    <t>PANEL DE VERIFICACIONES AUTOMÁTICAS — Semáforo del Sistema</t>
  </si>
  <si>
    <t>Verificación</t>
  </si>
  <si>
    <t>Estado</t>
  </si>
  <si>
    <t>Valor Actual</t>
  </si>
  <si>
    <t>Umbral</t>
  </si>
  <si>
    <t>Suma P_i = 1.000</t>
  </si>
  <si>
    <t>ICPI en rango 0-100%</t>
  </si>
  <si>
    <t>0% - 100%</t>
  </si>
  <si>
    <t>✅ Verificado al generar</t>
  </si>
  <si>
    <t>OK</t>
  </si>
  <si>
    <t>Sin errores</t>
  </si>
  <si>
    <t>Metas certificadas (V_i=1)</t>
  </si>
  <si>
    <t>20 (ideal)</t>
  </si>
  <si>
    <t>ÍNDICE DE NAVEGACIÓN — 26 Hojas del Sistema SIAP-ICPI</t>
  </si>
  <si>
    <t>Grupo</t>
  </si>
  <si>
    <t>Hoja</t>
  </si>
  <si>
    <t>Acceso</t>
  </si>
  <si>
    <t>G1 — Metadatos</t>
  </si>
  <si>
    <t>H01_PARAMETROS_GENERALES</t>
  </si>
  <si>
    <t>Parámetros, verificaciones e índice del sistema</t>
  </si>
  <si>
    <t>Esta hoja</t>
  </si>
  <si>
    <t>H02_GLOSARIO_TECNICO</t>
  </si>
  <si>
    <t>28+ términos metodológicos y legales</t>
  </si>
  <si>
    <t>→ H02</t>
  </si>
  <si>
    <t>H03_CONTROL_VERSIONES</t>
  </si>
  <si>
    <t>Historial de versiones del artefacto</t>
  </si>
  <si>
    <t>→ H03</t>
  </si>
  <si>
    <t>G2 — Silos de Datos</t>
  </si>
  <si>
    <t>H04_TABLAS_PARAMETRICAS</t>
  </si>
  <si>
    <t>7 tablas maestras con rangos nombrados</t>
  </si>
  <si>
    <t>→ H04</t>
  </si>
  <si>
    <t>H05_METAS_PDOT</t>
  </si>
  <si>
    <t>BASE SUSTANCIAL: 20 metas PDOT 2023-2027</t>
  </si>
  <si>
    <t>→ H05</t>
  </si>
  <si>
    <t>H06_VINCULACIONES_POA</t>
  </si>
  <si>
    <t>Vinculación meta PDOT ↔ proyecto POA</t>
  </si>
  <si>
    <t>→ H06</t>
  </si>
  <si>
    <t>H07_PROCESOS_SERCOP</t>
  </si>
  <si>
    <t>Procesos de contratación pública SERCOP</t>
  </si>
  <si>
    <t>→ H07</t>
  </si>
  <si>
    <t>H08_DOCUMENTOS_LOTAIP</t>
  </si>
  <si>
    <t>Documentos LOTAIP Art. 7 por meta</t>
  </si>
  <si>
    <t>→ H08</t>
  </si>
  <si>
    <t>H09_EJECUCION_PRESUPUESTARIA</t>
  </si>
  <si>
    <t>Devengado eSIGEF por meta y cuatrimestre</t>
  </si>
  <si>
    <t>→ H09</t>
  </si>
  <si>
    <t>H10_INFORMES_CPCCS</t>
  </si>
  <si>
    <t>Menciones en rendición de cuentas CPCCS</t>
  </si>
  <si>
    <t>→ H10</t>
  </si>
  <si>
    <t>H11_ALERTAS_MOM</t>
  </si>
  <si>
    <t>Señales de Atención Temprana MOM-I/II/III</t>
  </si>
  <si>
    <t>→ H11</t>
  </si>
  <si>
    <t>G3 — Org. Institucional</t>
  </si>
  <si>
    <t>H12_ESTATUTO_ORGANICO</t>
  </si>
  <si>
    <t>Procesos tipo, C_i y E_i por dirección</t>
  </si>
  <si>
    <t>→ H12</t>
  </si>
  <si>
    <t>H13_MAO_ATRIBUCION_ORGANICA</t>
  </si>
  <si>
    <t>Atribución orgánica por meta (C_i, E_i)</t>
  </si>
  <si>
    <t>→ H13</t>
  </si>
  <si>
    <t>G4 — Cálculos Núcleo</t>
  </si>
  <si>
    <t>H14_CALCULO_ICPI</t>
  </si>
  <si>
    <t>MOTOR CENTRAL: cálculo ICPI completo</t>
  </si>
  <si>
    <t>→ H14</t>
  </si>
  <si>
    <t>H15_INDICES_COMPLEMENTARIOS</t>
  </si>
  <si>
    <t>IFE, SSC, IED por unidad</t>
  </si>
  <si>
    <t>→ H15</t>
  </si>
  <si>
    <t>H16_ITAM_TRANSPARENCIA</t>
  </si>
  <si>
    <t>Índice Transparencia Activa Municipal</t>
  </si>
  <si>
    <t>→ H16</t>
  </si>
  <si>
    <t>H17_SENSIBILIDAD_DELTA</t>
  </si>
  <si>
    <t>Análisis: qué metas maximizan recuperación ICPI</t>
  </si>
  <si>
    <t>→ H17</t>
  </si>
  <si>
    <t>G5 — Eval. Procesos</t>
  </si>
  <si>
    <t>H18_IED_EFICIENCIA_DIRECTIVA</t>
  </si>
  <si>
    <t>Tablero Mejora Continua por Proceso</t>
  </si>
  <si>
    <t>→ H18</t>
  </si>
  <si>
    <t>H19_EDS_EVALUACION_DIRECTIVA</t>
  </si>
  <si>
    <t>Módulo EDS completo y preventivo</t>
  </si>
  <si>
    <t>→ H19</t>
  </si>
  <si>
    <t>G6 — Monitoreo</t>
  </si>
  <si>
    <t>H20_CONTROL_MENSUAL</t>
  </si>
  <si>
    <t>240 filas: 20 metas × 12 meses + Curva S</t>
  </si>
  <si>
    <t>→ H20</t>
  </si>
  <si>
    <t>H21_EVALUACION_CUATRIMESTRAL</t>
  </si>
  <si>
    <t>Cortes C1 (abr), C2 (ago), C3 (dic)</t>
  </si>
  <si>
    <t>→ H21</t>
  </si>
  <si>
    <t>H22_EVALUACION_ANUAL_FINAL</t>
  </si>
  <si>
    <t>Cierre fiscal 31 diciembre + proyecciones</t>
  </si>
  <si>
    <t>→ H22</t>
  </si>
  <si>
    <t>G7 — Presentación</t>
  </si>
  <si>
    <t>H23_DASHBOARD_REPORTES</t>
  </si>
  <si>
    <t>Dashboard ejecutivo institucional</t>
  </si>
  <si>
    <t>→ H23</t>
  </si>
  <si>
    <t>H24_DASHBOARD_TAC</t>
  </si>
  <si>
    <t>Transparencia Algorítmica Ciudadana</t>
  </si>
  <si>
    <t>→ H24</t>
  </si>
  <si>
    <t>H25_RESUMEN_EJECUTIVO</t>
  </si>
  <si>
    <t>Una página imprimible (A4)</t>
  </si>
  <si>
    <t>→ H25</t>
  </si>
  <si>
    <t>H26_TRAZABILIDAD_LOG</t>
  </si>
  <si>
    <t>Log auditable de vinculaciones metodológicas</t>
  </si>
  <si>
    <t>→ H26</t>
  </si>
  <si>
    <t>H02 — GLOSARIO TÉCNICO: Términos metodológicos, operativos y legales del sistema SIAP-ICPI</t>
  </si>
  <si>
    <t>← H01</t>
  </si>
  <si>
    <t>Término</t>
  </si>
  <si>
    <t>Definición</t>
  </si>
  <si>
    <t>Referencia Legal / Metodológica</t>
  </si>
  <si>
    <t>Categoría</t>
  </si>
  <si>
    <t>SIAP</t>
  </si>
  <si>
    <t>Sistema de Integridad Algorítmica Preventiva. Marco metodológico que verifica la congruencia entre planificación, ejecución presupuestaria y evidencia documental de los GADs.</t>
  </si>
  <si>
    <t>Metodología propia SIAP-ICPI v1.0</t>
  </si>
  <si>
    <t>Sistema</t>
  </si>
  <si>
    <t>ICPI</t>
  </si>
  <si>
    <t>Índice de Congruencia Programática e Intersistémica. Indicador sintético (0-100%) que mide la trazabilidad del ciclo planificación-ejecución-transparencia de las metas PDOT.</t>
  </si>
  <si>
    <t>Fórmula: Σ(Pi×Ri×Vi×Ei×Ti×Ci) / Σ(Pi×Ri) × 100</t>
  </si>
  <si>
    <t>Índice</t>
  </si>
  <si>
    <t>CININ</t>
  </si>
  <si>
    <t>Ciclo de Integridad Normativa e Institucional. Secuencia metodológica que atraviesa los 5 silos de información: POA → SERCOP → eSIGEF → LOTAIP → CPCCS.</t>
  </si>
  <si>
    <t>SIAP-ICPI v1.0 §2.1</t>
  </si>
  <si>
    <t>Metodología</t>
  </si>
  <si>
    <t>PDOT</t>
  </si>
  <si>
    <t>Plan de Desarrollo y Ordenamiento Territorial. Instrumento de planificación de mediano plazo de los GADs. BASE SUSTANCIAL del SIAP-ICPI. Sin PDOT no existe sistema.</t>
  </si>
  <si>
    <t>COOTAD Art. 295-296; SENPLADES 2019</t>
  </si>
  <si>
    <t>Planificación</t>
  </si>
  <si>
    <t>POA</t>
  </si>
  <si>
    <t>Plan Operativo Anual. Instrumento de planificación que operativiza el PDOT para cada año fiscal. Primer silo del CININ.</t>
  </si>
  <si>
    <t>COOTAD Art. 234; COPYFP Art. 97</t>
  </si>
  <si>
    <t>V_i</t>
  </si>
  <si>
    <t>Variable de Trazabilidad de la meta i. Valor binario (0/1) que indica si la meta cumple el umbral mínimo de silos requeridos según su fuente de financiamiento. V_i MALEABLE según fuente.</t>
  </si>
  <si>
    <t>SIAP-ICPI v1.0 §3.2</t>
  </si>
  <si>
    <t>Cálculo</t>
  </si>
  <si>
    <t>P_i</t>
  </si>
  <si>
    <t>Peso presupuestario de la meta i. P_i = Presupuesto_Anual_i / Presupuesto_Total_PDOT_Anual. Suma de todos los P_i = 1.0000 exacto.</t>
  </si>
  <si>
    <t>SIAP-ICPI v1.0 §3.1</t>
  </si>
  <si>
    <t>R_i</t>
  </si>
  <si>
    <t>Factor de Relevancia Competencial. Ponderación según tipo de competencia COOTAD: 1.5 (exclusiva), 1.0 (adicional), 0.5 (concurrente).</t>
  </si>
  <si>
    <t>COOTAD Art. 55, 64, 65</t>
  </si>
  <si>
    <t>T_i</t>
  </si>
  <si>
    <t>Tasa de Ejecución Presupuestaria. T_i = Devengado_Total / Codificado_Vigente. Fuente: eSIGEF. Rango [0,1].</t>
  </si>
  <si>
    <t>e-SIGEF Ministerio de Finanzas Ecuador</t>
  </si>
  <si>
    <t>E_i</t>
  </si>
  <si>
    <t>Factor de Eficiencia de Modalidad. Escala: Directa GAD=1.00, Compartida=0.90, Delegada EP=0.75. Refleja autonomía de gestión del GAD.</t>
  </si>
  <si>
    <t>COOTAD Art. 126-130</t>
  </si>
  <si>
    <t>C_i</t>
  </si>
  <si>
    <t>Factor de Claridad Orgánica. Escala: Única=1.00, Compartida=0.90, Difusa=0.75. Refleja precisión en atribución institucional de la meta.</t>
  </si>
  <si>
    <t>Estatuto Orgánico del GAD (H12)</t>
  </si>
  <si>
    <t>IFE</t>
  </si>
  <si>
    <t>Índice de Fidelidad Electoral. Mide la congruencia entre las promesas del Plan CNE y las metas del PDOT. El Plan CNE es SOLO insumo comparativo, no base operativa.</t>
  </si>
  <si>
    <t>Ley Orgánica Electoral Art. 205</t>
  </si>
  <si>
    <t>IED</t>
  </si>
  <si>
    <t>Índice de Eficiencia Directiva. ICPI calculado sobre las metas de una unidad administrativa específica. Instrumentado como 'Tablero de Mejora Continua por Proceso'.</t>
  </si>
  <si>
    <t>SIAP-ICPI v1.0 §5.1</t>
  </si>
  <si>
    <t>ITAM</t>
  </si>
  <si>
    <t>Índice de Transparencia Activa Municipal. Mide el porcentaje de documentos LOTAIP Art. 7 accesibles por meta. Alimenta V_LOTAIP en el cálculo de V_i.</t>
  </si>
  <si>
    <t>LOTAIP Art. 7; Reglamento LOTAIP</t>
  </si>
  <si>
    <t>TAC</t>
  </si>
  <si>
    <t>Principios de Gobierno Abierto OGP</t>
  </si>
  <si>
    <t>Módulo</t>
  </si>
  <si>
    <t>MOM-I</t>
  </si>
  <si>
    <t>Protocolo de Señal de Atención Temprana tipo I: Fragmentación Selectiva. Identifica cuando el ICM alto se basa en un universo de metas pequeño vs el PDOT total.</t>
  </si>
  <si>
    <t>SIAP-ICPI v1.0 §4.1</t>
  </si>
  <si>
    <t>Protocolo SAT</t>
  </si>
  <si>
    <t>MOM-II</t>
  </si>
  <si>
    <t>Protocolo de Señal de Atención Temprana tipo II: Sustitución de Metas. Detecta cambios en el POA durante el año que alteran metas originales del PDOT.</t>
  </si>
  <si>
    <t>SIAP-ICPI v1.0 §4.2</t>
  </si>
  <si>
    <t>MOM-III</t>
  </si>
  <si>
    <t>Protocolo de Señal de Atención Temprana tipo III: Inflación de Unidades. Identifica cuando el % de cumplimiento reportado contradice radicalmente la ejecución presupuestaria real.</t>
  </si>
  <si>
    <t>SIAP-ICPI v1.0 §4.3</t>
  </si>
  <si>
    <t>AVEP</t>
  </si>
  <si>
    <t>Escala de Valoración del ICPI: Excelencia (90-100%), Gestión por Mandato (70-89%), Transición Crítica (40-69%), Gestión por Ocurrencia (20-39%), Ruptura Sistémica (0-19%).</t>
  </si>
  <si>
    <t>SIAP-ICPI v1.0 §3.5</t>
  </si>
  <si>
    <t>Escala</t>
  </si>
  <si>
    <t>Brecha ICM-ICPI</t>
  </si>
  <si>
    <t>Diferencia en puntos porcentuales entre el ICM reportado en SIGAD y el ICPI calculado por el sistema. Representa inversión sin trazabilidad documental completa.</t>
  </si>
  <si>
    <t>SIAP-ICPI v1.0 §3.6</t>
  </si>
  <si>
    <t>Análisis</t>
  </si>
  <si>
    <t>Accountability Algorítmica</t>
  </si>
  <si>
    <t>Capacidad del sistema SIAP-ICPI de producir evidencia objetiva, replicable y auditable sobre la gestión pública sin juicio subjetivo del analista.</t>
  </si>
  <si>
    <t>OGP; Principios OCDE Datos Abiertos</t>
  </si>
  <si>
    <t>Concepto</t>
  </si>
  <si>
    <t>Trazabilidad Biográfica</t>
  </si>
  <si>
    <t>Posibilidad de seguir el ciclo de vida completo de una meta: desde su origen en el PDOT hasta su evidencia final en LOTAIP y rendición de cuentas CPCCS.</t>
  </si>
  <si>
    <t>SIAP-ICPI v1.0 §2.2</t>
  </si>
  <si>
    <t>Certificación de Congruencia</t>
  </si>
  <si>
    <t>Resultado formal del sistema SIAP-ICPI que acredita la alineación documental y ejecutiva de las metas PDOT. No es sanción; es evidencia objetiva de gestión.</t>
  </si>
  <si>
    <t>SIAP-ICPI v1.0 §1.1</t>
  </si>
  <si>
    <t>Proceso</t>
  </si>
  <si>
    <t>Silo de Información</t>
  </si>
  <si>
    <t>Cada fuente oficial de datos que el SIAP-ICPI verifica: POA, SERCOP, eSIGEF, LOTAIP, CPCCS. Cada silo genera una variable V binaria (0/1).</t>
  </si>
  <si>
    <t>SIAP-ICPI v1.0 §2.3</t>
  </si>
  <si>
    <t>Arquitectura</t>
  </si>
  <si>
    <t>Señal de Atención Temprana</t>
  </si>
  <si>
    <t>Alerta preventiva del sistema (antes llamada 'alerta MOM') que identifica patrones de desconexión entre datos de diferentes silos. Orientada a mejora, no a sanción.</t>
  </si>
  <si>
    <t>SIAP-ICPI v1.0 §4.0</t>
  </si>
  <si>
    <t>Mejora Continua de Proceso</t>
  </si>
  <si>
    <t>Enfoque preventivo del SIAP-ICPI que identifica flujos administrativos que requieren fortalecimiento institucional, no personas responsables.</t>
  </si>
  <si>
    <t>ISO 9001:2015; SIAP-ICPI v1.0 §5</t>
  </si>
  <si>
    <t>Gestión</t>
  </si>
  <si>
    <t>V_i Maleable</t>
  </si>
  <si>
    <t>Propiedad de la variable V_i que ajusta los silos requeridos según la fuente de financiamiento: GAD (5 silos AND), Cooperación (4 silos), Sin financiamiento propio (3 silos).</t>
  </si>
  <si>
    <t>SIAP-ICPI v1.0 §3.2.1</t>
  </si>
  <si>
    <t>ODS Clúster</t>
  </si>
  <si>
    <t>Agrupación temática de los Objetivos de Desarrollo Sostenible aplicada al análisis del ICPI: Inclusión (ODS 1-5,10), Infraestructura (ODS 6,7,9,11,13), Gobernanza (ODS 16,17).</t>
  </si>
  <si>
    <t>ONU Agenda 2030</t>
  </si>
  <si>
    <t>Clasificación</t>
  </si>
  <si>
    <t>Curva S Logística</t>
  </si>
  <si>
    <t>Función f(mes)=1/(1+e^(-k(mes-inflexión)) usada en H20 para proyectar la tasa de ejecución esperada mensual. Parámetros ajustables: k=0.5, inflexión=6.</t>
  </si>
  <si>
    <t>Modelo logístico; SIAP-ICPI v1.0 §6.1</t>
  </si>
  <si>
    <t>Modelación</t>
  </si>
  <si>
    <t>GAD</t>
  </si>
  <si>
    <t>Gobierno Autónomo Descentralizado. Entidad pública subnacional ecuatoriana con competencias propias según COOTAD. Puede ser municipal, parroquial, provincial o metropolitano.</t>
  </si>
  <si>
    <t>COOTAD Art. 28</t>
  </si>
  <si>
    <t>Institucional</t>
  </si>
  <si>
    <t>H03 — CONTROL DE VERSIONES: Historial de evolución del artefacto operativo SIAP-ICPI</t>
  </si>
  <si>
    <t>Versión</t>
  </si>
  <si>
    <t>Fecha</t>
  </si>
  <si>
    <t>Descripción de Cambios</t>
  </si>
  <si>
    <t>v0.1 — Prototipo Conceptual</t>
  </si>
  <si>
    <t>15/03/2024</t>
  </si>
  <si>
    <t>Diseño inicial de la arquitectura del sistema: definición de los 5 silos de información (POA, SERCOP, eSIGEF, LOTAIP, CPCCS), fórmula ICPI base, escala AVEP preliminar. Sin datos de GAD.</t>
  </si>
  <si>
    <t>Ronald J. Delgado S.</t>
  </si>
  <si>
    <t>Archivado</t>
  </si>
  <si>
    <t>v0.8 — Prueba de Concepto</t>
  </si>
  <si>
    <t>30/08/2024</t>
  </si>
  <si>
    <t>Incorporación de los Protocolos MOM (I, II, III) como señales de atención temprana. Desarrollo del V_i Maleable según fuente de financiamiento. Integración del IFE con Plan CNE. Primera versión con datos simulados del GAD Montecristi. Validación de la fórmula ICPI con 20 metas.</t>
  </si>
  <si>
    <t>v1.0 — Producto Mínimo Viable</t>
  </si>
  <si>
    <t>✅ ACTIVO</t>
  </si>
  <si>
    <t>NOTA METODOLÓGICA:</t>
  </si>
  <si>
    <t>Este artefacto sirve como Producto Mínimo Viable (PMV) del sistema SIAP-ICPI. Los datos de referencia del GAD Municipal de Montecristi son ficticios-coherentes y pueden sustituirse por datos reales de cualquier GAD de América Latina. La arquitectura del sistema es neutral, reutilizable y adaptable a cualquier jurisdicción que opere con planificación territorial (PDOT o equivalente) y sistemas de contratación pública y presupuesto electrónico.</t>
  </si>
  <si>
    <t>H04 — TABLAS PARAMÉTRICAS: 7 tablas maestras con rangos nombrados para validación de datos y listas desplegables</t>
  </si>
  <si>
    <t>TABLA 1 — EJES_ESTRATEGICOS</t>
  </si>
  <si>
    <t>ID_Eje</t>
  </si>
  <si>
    <t>Nombre_Eje</t>
  </si>
  <si>
    <t>Descripcion</t>
  </si>
  <si>
    <t>AS</t>
  </si>
  <si>
    <t>Ambiental Sostenible</t>
  </si>
  <si>
    <t>Gestión ambiental, recursos naturales y saneamiento</t>
  </si>
  <si>
    <t>EC</t>
  </si>
  <si>
    <t>Económico Productivo</t>
  </si>
  <si>
    <t>Desarrollo económico local y fomento productivo</t>
  </si>
  <si>
    <t>SC</t>
  </si>
  <si>
    <t>Social e Inclusivo</t>
  </si>
  <si>
    <t>Servicios sociales, salud, educación y bienestar</t>
  </si>
  <si>
    <t>OT</t>
  </si>
  <si>
    <t>Ordenamiento Territorial</t>
  </si>
  <si>
    <t>Vialidad, infraestructura física y uso de suelo</t>
  </si>
  <si>
    <t>PI</t>
  </si>
  <si>
    <t>Político Institucional</t>
  </si>
  <si>
    <t>Gobernanza, transparencia y fortalecimiento institucional</t>
  </si>
  <si>
    <t>TABLA 2 — COMPETENCIAS_COOTAD</t>
  </si>
  <si>
    <t>ID</t>
  </si>
  <si>
    <t>Nombre</t>
  </si>
  <si>
    <t>Art_Legal</t>
  </si>
  <si>
    <t>AGUA</t>
  </si>
  <si>
    <t>Agua Potable</t>
  </si>
  <si>
    <t>COOTAD Art.55(d)</t>
  </si>
  <si>
    <t>ALCA</t>
  </si>
  <si>
    <t>Alcantarillado</t>
  </si>
  <si>
    <t>DESO</t>
  </si>
  <si>
    <t>Desechos Sólidos</t>
  </si>
  <si>
    <t>AMBI</t>
  </si>
  <si>
    <t>Gestión Ambiental</t>
  </si>
  <si>
    <t>VIAL</t>
  </si>
  <si>
    <t>Vialidad Urbana</t>
  </si>
  <si>
    <t>COOTAD Art.55(a)</t>
  </si>
  <si>
    <t>ORTE</t>
  </si>
  <si>
    <t>Ordenamiento Territ.</t>
  </si>
  <si>
    <t>COOTAD Art.55(b)</t>
  </si>
  <si>
    <t>EQUI</t>
  </si>
  <si>
    <t>Equipamiento Salud/Edu</t>
  </si>
  <si>
    <t>COOTAD Art.55(g)</t>
  </si>
  <si>
    <t>TRAN</t>
  </si>
  <si>
    <t>Tránsito y Transporte</t>
  </si>
  <si>
    <t>COOTAD Art.55(f)</t>
  </si>
  <si>
    <t>CULT</t>
  </si>
  <si>
    <t>Cultura y Patrimonio</t>
  </si>
  <si>
    <t>COOTAD Art.55(h)</t>
  </si>
  <si>
    <t>DEPO</t>
  </si>
  <si>
    <t>Deporte y Recreación</t>
  </si>
  <si>
    <t>TURI</t>
  </si>
  <si>
    <t>Turismo</t>
  </si>
  <si>
    <t>COOTAD Art.55(q)</t>
  </si>
  <si>
    <t>INST</t>
  </si>
  <si>
    <t>Fortalecimiento Inst.</t>
  </si>
  <si>
    <t>COOTAD Art.54</t>
  </si>
  <si>
    <t>TABLA 3 — ESTADOS_SERCOP</t>
  </si>
  <si>
    <t>Valido_Vi</t>
  </si>
  <si>
    <t>ADJ</t>
  </si>
  <si>
    <t>Adjudicado</t>
  </si>
  <si>
    <t>FIN</t>
  </si>
  <si>
    <t>Finalizado</t>
  </si>
  <si>
    <t>EJE</t>
  </si>
  <si>
    <t>En Ejecución</t>
  </si>
  <si>
    <t>DES</t>
  </si>
  <si>
    <t>Desierto</t>
  </si>
  <si>
    <t>CAN</t>
  </si>
  <si>
    <t>Cancelado</t>
  </si>
  <si>
    <t>SUS</t>
  </si>
  <si>
    <t>Suspendido</t>
  </si>
  <si>
    <t>TABLA 4 — MODALIDADES_EJECUCION</t>
  </si>
  <si>
    <t>Modalidad</t>
  </si>
  <si>
    <t>DIR</t>
  </si>
  <si>
    <t>Directa GAD</t>
  </si>
  <si>
    <t>Dirección propia del GAD ejecuta el proceso</t>
  </si>
  <si>
    <t>COM</t>
  </si>
  <si>
    <t>Compartida</t>
  </si>
  <si>
    <t>Convenio interinstitucional o compartida con otro nivel</t>
  </si>
  <si>
    <t>DEL</t>
  </si>
  <si>
    <t>Delegada EP</t>
  </si>
  <si>
    <t>Empresa pública, patronato u organismo delegado</t>
  </si>
  <si>
    <t>TABLA 5 — TIPOS_RESPONSABILIDAD</t>
  </si>
  <si>
    <t>Tipo</t>
  </si>
  <si>
    <t>UNI</t>
  </si>
  <si>
    <t>Única</t>
  </si>
  <si>
    <t>CPT</t>
  </si>
  <si>
    <t>DIF</t>
  </si>
  <si>
    <t>Difusa</t>
  </si>
  <si>
    <t>TABLA 6 — FUENTES_FINANCIAMIENTO y V_i MALEABLE</t>
  </si>
  <si>
    <t>Fuente</t>
  </si>
  <si>
    <t>Silos_Vi_Requeridos</t>
  </si>
  <si>
    <t>Recursos propios GAD</t>
  </si>
  <si>
    <t>5 silos AND completo</t>
  </si>
  <si>
    <t>POA ∧ SERCOP ∧ eSIGEF ∧ LOTAIP ∧ CPCCS</t>
  </si>
  <si>
    <t>COO</t>
  </si>
  <si>
    <t>Cooperación internacional</t>
  </si>
  <si>
    <t>4 silos (sin CPCCS)</t>
  </si>
  <si>
    <t>POA ∧ SERCOP ∧ eSIGEF ∧ LOTAIP</t>
  </si>
  <si>
    <t>SFP</t>
  </si>
  <si>
    <t>Sin financiamiento propio</t>
  </si>
  <si>
    <t>3 silos mínimo</t>
  </si>
  <si>
    <t>POA ∧ SERCOP ∧ eSIGEF</t>
  </si>
  <si>
    <t>TABLA 7 — ODS_CLUSTERS</t>
  </si>
  <si>
    <t>ODS_Relacionados</t>
  </si>
  <si>
    <t>Inclusion</t>
  </si>
  <si>
    <t>ODS 1, 2, 3, 4, 5, 10</t>
  </si>
  <si>
    <t>Servicios sociales, salud, educación, equidad</t>
  </si>
  <si>
    <t>Infraestructura</t>
  </si>
  <si>
    <t>ODS 6, 7, 9, 11, 13</t>
  </si>
  <si>
    <t>Agua, energía, obras, ciudad, clima</t>
  </si>
  <si>
    <t>Gobernanza</t>
  </si>
  <si>
    <t>ODS 16, 17</t>
  </si>
  <si>
    <t>Instituciones, transparencia, alianzas estratégicas</t>
  </si>
  <si>
    <t>H05 — METAS PDOT 2023-2027: BASE SUSTANCIAL Y OPERATIVA del sistema. 20 metas del plan de desarrollo territorial del GAD Municipal de Montecristi</t>
  </si>
  <si>
    <t>← H01  |  Sin PDOT no existe sistema SIAP-ICPI. Este es el universo de análisis.</t>
  </si>
  <si>
    <t>ID_Meta</t>
  </si>
  <si>
    <t>Descripcion_Meta</t>
  </si>
  <si>
    <t>Eje_ID</t>
  </si>
  <si>
    <t>Competencia_ID</t>
  </si>
  <si>
    <t>Presup_Codif_PDOT</t>
  </si>
  <si>
    <t>Presup_Anual_2024</t>
  </si>
  <si>
    <t>Fuente_Financ</t>
  </si>
  <si>
    <t>Meta_Cuantitativa</t>
  </si>
  <si>
    <t>Unidad_Medida</t>
  </si>
  <si>
    <t>Linea_Base</t>
  </si>
  <si>
    <t>Indicador_PDOT</t>
  </si>
  <si>
    <t>Responsable_Direccion</t>
  </si>
  <si>
    <t>ODS_Cluster</t>
  </si>
  <si>
    <t>Pag_PDOT</t>
  </si>
  <si>
    <t>Nivel_Estres</t>
  </si>
  <si>
    <t>Nota_Metodologica</t>
  </si>
  <si>
    <t>PDOT-001</t>
  </si>
  <si>
    <t>Construcción sistema agua potable zonas rurales</t>
  </si>
  <si>
    <t>Km red</t>
  </si>
  <si>
    <t>Km red construida</t>
  </si>
  <si>
    <t>Dir. Obras Públicas</t>
  </si>
  <si>
    <t>Nivel2</t>
  </si>
  <si>
    <t>Nivel2: ejecutó pero no publicó evidencia LOTAIP completa</t>
  </si>
  <si>
    <t>PDOT-002</t>
  </si>
  <si>
    <t>Ampliación red alcantarillado sanitario</t>
  </si>
  <si>
    <t>Km alcantarillado ampliado</t>
  </si>
  <si>
    <t>Nivel3</t>
  </si>
  <si>
    <t>Nivel3: proceso SERCOP desierto, devengado mínimo</t>
  </si>
  <si>
    <t>PDOT-003</t>
  </si>
  <si>
    <t>Sistema manejo integral desechos sólidos</t>
  </si>
  <si>
    <t>Sistema operativo</t>
  </si>
  <si>
    <t>EP Aseo</t>
  </si>
  <si>
    <t>Nivel3: proceso SERCOP cancelado, devengado nulo</t>
  </si>
  <si>
    <t>PDOT-004</t>
  </si>
  <si>
    <t>Mejoramiento vialidad urbana cantonal</t>
  </si>
  <si>
    <t>Km</t>
  </si>
  <si>
    <t>Km vías mejoradas</t>
  </si>
  <si>
    <t>Nivel1</t>
  </si>
  <si>
    <t>Nivel1: trazabilidad plena, modelo de referencia</t>
  </si>
  <si>
    <t>PDOT-005</t>
  </si>
  <si>
    <t>Construcción y rehabilitación mercado municipal</t>
  </si>
  <si>
    <t>Mercado</t>
  </si>
  <si>
    <t>Mercado rehabilitado</t>
  </si>
  <si>
    <t>Dir. Gestión Social</t>
  </si>
  <si>
    <t>Nivel2: enlace LOTAIP roto (404), ejecutó sin publicar</t>
  </si>
  <si>
    <t>PDOT-006</t>
  </si>
  <si>
    <t>Centro salud tipo C parroquia Aníbal San Andrés</t>
  </si>
  <si>
    <t>Centro</t>
  </si>
  <si>
    <t>Centro construido</t>
  </si>
  <si>
    <t>Dir. Planificación</t>
  </si>
  <si>
    <t>Nivel3: proceso desierto; revisar posible MOM-II</t>
  </si>
  <si>
    <t>PDOT-007</t>
  </si>
  <si>
    <t>Equipamiento educativo establecimientos rurales</t>
  </si>
  <si>
    <t>Establec.</t>
  </si>
  <si>
    <t>Establec. equipados</t>
  </si>
  <si>
    <t>Nivel2: contrato accesible, falta acta recepción LOTAIP</t>
  </si>
  <si>
    <t>PDOT-008</t>
  </si>
  <si>
    <t>Guardería municipal comunitaria El Carmen</t>
  </si>
  <si>
    <t>Guardería</t>
  </si>
  <si>
    <t>Guardería operativa</t>
  </si>
  <si>
    <t>Dir. Social</t>
  </si>
  <si>
    <t>Nivel3: proceso cancelado, devengado nulo</t>
  </si>
  <si>
    <t>PDOT-009</t>
  </si>
  <si>
    <t>Sistema drenaje pluvial casco urbano</t>
  </si>
  <si>
    <t>Km drenaje construido</t>
  </si>
  <si>
    <t>Nivel3: proceso desierto, baja ejecución</t>
  </si>
  <si>
    <t>PDOT-010</t>
  </si>
  <si>
    <t>Parque recreativo y deportivo sector norte</t>
  </si>
  <si>
    <t>Parque</t>
  </si>
  <si>
    <t>Parque construido</t>
  </si>
  <si>
    <t>Dir. Cultura</t>
  </si>
  <si>
    <t>Nivel1: trazabilidad plena, meta modelo</t>
  </si>
  <si>
    <t>PDOT-011</t>
  </si>
  <si>
    <t>Rehabilitación Malecón costero Montecristi</t>
  </si>
  <si>
    <t>Malecón</t>
  </si>
  <si>
    <t>Malecón rehabilitado</t>
  </si>
  <si>
    <t>Dir. Turismo</t>
  </si>
  <si>
    <t>Nivel2: en ejecución, documentación parcial</t>
  </si>
  <si>
    <t>PDOT-012</t>
  </si>
  <si>
    <t>Unidad móvil de salud comunitaria</t>
  </si>
  <si>
    <t>Unidad</t>
  </si>
  <si>
    <t>Unidad operativa</t>
  </si>
  <si>
    <t>Patronato</t>
  </si>
  <si>
    <t>Nivel4</t>
  </si>
  <si>
    <t>Nivel4: MOM-III activo — 8295% declarado vs 8% ejecutado</t>
  </si>
  <si>
    <t>PDOT-013</t>
  </si>
  <si>
    <t>Capacitación artesanos sombrero paja toquilla</t>
  </si>
  <si>
    <t>Artesanos</t>
  </si>
  <si>
    <t>Artesanos capacitados</t>
  </si>
  <si>
    <t>PDOT-014</t>
  </si>
  <si>
    <t>Ordenamiento territorial y catastro predial</t>
  </si>
  <si>
    <t>Sistema actualizado</t>
  </si>
  <si>
    <t>Nivel2: contrato accesible, falta acta entrega LOTAIP</t>
  </si>
  <si>
    <t>PDOT-015</t>
  </si>
  <si>
    <t>Fortalecimiento transparencia municipal LOTAIP</t>
  </si>
  <si>
    <t>Informes</t>
  </si>
  <si>
    <t>Informes publicados</t>
  </si>
  <si>
    <t>PDOT-016</t>
  </si>
  <si>
    <t>Reforestación cuencas hídricas</t>
  </si>
  <si>
    <t>Árboles</t>
  </si>
  <si>
    <t>Árboles plantados</t>
  </si>
  <si>
    <t>Dir. Ambiental</t>
  </si>
  <si>
    <t>Nivel2: proceso accesible, documentación LOTAIP parcial</t>
  </si>
  <si>
    <t>PDOT-017</t>
  </si>
  <si>
    <t>Bacheo y señalización vías parroquiales</t>
  </si>
  <si>
    <t>Km bacheo ejecutado</t>
  </si>
  <si>
    <t>PDOT-018</t>
  </si>
  <si>
    <t>Programa adulto mayor y discapacidad</t>
  </si>
  <si>
    <t>Beneficiarios</t>
  </si>
  <si>
    <t>Beneficiarios atendidos</t>
  </si>
  <si>
    <t>Nivel4: MOM-I activo — sin POA, sin proceso, sin devengado</t>
  </si>
  <si>
    <t>PDOT-019</t>
  </si>
  <si>
    <t>Modernización sistema recaudación municipal</t>
  </si>
  <si>
    <t>Sistema implementado</t>
  </si>
  <si>
    <t>Dir. Financiera</t>
  </si>
  <si>
    <t>PDOT-020</t>
  </si>
  <si>
    <t>Planta tratamiento aguas residuales</t>
  </si>
  <si>
    <t>Planta</t>
  </si>
  <si>
    <t>Planta operativa</t>
  </si>
  <si>
    <t>Nivel3: proceso existe, sin devengado al 31 dic</t>
  </si>
  <si>
    <t>VERIFICACIÓN:</t>
  </si>
  <si>
    <t>H06 — VINCULACIONES POA: Conecta cada meta PDOT con su proyecto en el Plan Operativo Anual. Primer silo del CININ.</t>
  </si>
  <si>
    <t>ID_Vinc</t>
  </si>
  <si>
    <t>Codigo_POA</t>
  </si>
  <si>
    <t>Descripcion_POA</t>
  </si>
  <si>
    <t>Fecha_Aprobacion_POA</t>
  </si>
  <si>
    <t>Presupuesto_POA</t>
  </si>
  <si>
    <t>Responsable_POA</t>
  </si>
  <si>
    <t>Confianza_Vinculacion</t>
  </si>
  <si>
    <t>V_POA</t>
  </si>
  <si>
    <t>VNC-001</t>
  </si>
  <si>
    <t>AS-AGUA-001</t>
  </si>
  <si>
    <t>Acueducto rural — acceso agua potable 8 comunidades</t>
  </si>
  <si>
    <t>15/01/2024</t>
  </si>
  <si>
    <t>Alta</t>
  </si>
  <si>
    <t>VNC-002</t>
  </si>
  <si>
    <t>AS-ALCA-002</t>
  </si>
  <si>
    <t>Ampliación red alcantarillado urbano-rural</t>
  </si>
  <si>
    <t>VNC-003</t>
  </si>
  <si>
    <t>AS-DESO-003</t>
  </si>
  <si>
    <t>Sistema manejo desechos sólidos delegado EP Aseo</t>
  </si>
  <si>
    <t>VNC-004</t>
  </si>
  <si>
    <t>OT-VIAL-004</t>
  </si>
  <si>
    <t>Mejoramiento vías principales urbanas</t>
  </si>
  <si>
    <t>VNC-005</t>
  </si>
  <si>
    <t>EC-ORTE-005</t>
  </si>
  <si>
    <t>Rehabilitación y equipamiento mercado municipal</t>
  </si>
  <si>
    <t>VNC-006</t>
  </si>
  <si>
    <t>SC-EQUI-006</t>
  </si>
  <si>
    <t>Construcción centro salud tipo C parroquia</t>
  </si>
  <si>
    <t>VNC-007</t>
  </si>
  <si>
    <t>SC-EQUI-007</t>
  </si>
  <si>
    <t>Equipamiento tecnológico establecimientos educativos rurales</t>
  </si>
  <si>
    <t>VNC-008</t>
  </si>
  <si>
    <t>SC-EQUI-008</t>
  </si>
  <si>
    <t>Construcción guardería comunitaria El Carmen</t>
  </si>
  <si>
    <t>VNC-009</t>
  </si>
  <si>
    <t>OT-ALCA-009</t>
  </si>
  <si>
    <t>VNC-010</t>
  </si>
  <si>
    <t>SC-DEPO-010</t>
  </si>
  <si>
    <t>Construcción parque deportivo sector norte</t>
  </si>
  <si>
    <t>VNC-011</t>
  </si>
  <si>
    <t>EC-TURI-011</t>
  </si>
  <si>
    <t>Rehabilitación malecón turístico costero</t>
  </si>
  <si>
    <t>VNC-012</t>
  </si>
  <si>
    <t>SC-EQUI-012</t>
  </si>
  <si>
    <t>Adquisición unidad móvil atención salud</t>
  </si>
  <si>
    <t>VNC-013</t>
  </si>
  <si>
    <t>EC-TURI-013</t>
  </si>
  <si>
    <t>Talleres capacitación artesanos toquilla Montecristi</t>
  </si>
  <si>
    <t>VNC-014</t>
  </si>
  <si>
    <t>PI-ORTE-014</t>
  </si>
  <si>
    <t>Actualización catastro predial y ordenamiento territorial</t>
  </si>
  <si>
    <t>VNC-015</t>
  </si>
  <si>
    <t>PI-INST-015</t>
  </si>
  <si>
    <t>Publicación y gestión informes LOTAIP trimestrales</t>
  </si>
  <si>
    <t>VNC-016</t>
  </si>
  <si>
    <t>AS-AMBI-016</t>
  </si>
  <si>
    <t>Reforestación cuencas Río Bálsamo y afluentes</t>
  </si>
  <si>
    <t>VNC-017</t>
  </si>
  <si>
    <t>OT-VIAL-017</t>
  </si>
  <si>
    <t>Bacheo y señalización vías parroquiales rurales</t>
  </si>
  <si>
    <t>VNC-018</t>
  </si>
  <si>
    <t>SC-EQUI-018</t>
  </si>
  <si>
    <t>Programa servicios adulto mayor y discapacidad</t>
  </si>
  <si>
    <t>Sin vinculación</t>
  </si>
  <si>
    <t>VNC-019</t>
  </si>
  <si>
    <t>PI-INST-019</t>
  </si>
  <si>
    <t>Implementación sistema recaudación electrónica</t>
  </si>
  <si>
    <t>VNC-020</t>
  </si>
  <si>
    <t>AS-ALCA-020</t>
  </si>
  <si>
    <t>Construcción planta tratamiento aguas residuales</t>
  </si>
  <si>
    <t>H07 — PROCESOS SERCOP: Silo 2 del CININ. Contratación pública por meta PDOT. Fuente: Portal SERCOP Ecuador.</t>
  </si>
  <si>
    <t>ID_Proceso</t>
  </si>
  <si>
    <t>Codigo_SERCOP</t>
  </si>
  <si>
    <t>URL_SERCOP</t>
  </si>
  <si>
    <t>Objeto_Contractual</t>
  </si>
  <si>
    <t>Monto_Adjudicado</t>
  </si>
  <si>
    <t>Estado_ID</t>
  </si>
  <si>
    <t>Fecha_Publicacion</t>
  </si>
  <si>
    <t>Proveedor</t>
  </si>
  <si>
    <t>V_SERCOP</t>
  </si>
  <si>
    <t>SRC-001</t>
  </si>
  <si>
    <t>SIE-GADMC-001-2024</t>
  </si>
  <si>
    <t>https://www.sercop.gob.ec/portal/SIE-GADMC-001-2024</t>
  </si>
  <si>
    <t>Construcción acueducto rural Montecristi</t>
  </si>
  <si>
    <t>Consorcio AguaClara S.A.</t>
  </si>
  <si>
    <t>SRC-002</t>
  </si>
  <si>
    <t>SIE-GADMC-002-2024</t>
  </si>
  <si>
    <t>https://www.sercop.gob.ec/portal/SIE-GADMC-002-2024</t>
  </si>
  <si>
    <t>Ampliación red alcantarillado</t>
  </si>
  <si>
    <t>Sin adjudicación</t>
  </si>
  <si>
    <t>SRC-003</t>
  </si>
  <si>
    <t>SIE-GADMC-003-2024</t>
  </si>
  <si>
    <t>https://www.sercop.gob.ec/portal/SIE-GADMC-003-2024</t>
  </si>
  <si>
    <t>Sistema manejo desechos sólidos</t>
  </si>
  <si>
    <t>20/02/2024</t>
  </si>
  <si>
    <t>Proceso cancelado</t>
  </si>
  <si>
    <t>SRC-004</t>
  </si>
  <si>
    <t>SIE-GADMC-004-2024</t>
  </si>
  <si>
    <t>https://www.sercop.gob.ec/portal/SIE-GADMC-004-2024</t>
  </si>
  <si>
    <t>Constructora VialEcuador</t>
  </si>
  <si>
    <t>SRC-005</t>
  </si>
  <si>
    <t>SIE-GADMC-005-2024</t>
  </si>
  <si>
    <t>https://www.sercop.gob.ec/portal/SIE-GADMC-005-2024</t>
  </si>
  <si>
    <t>Rehabilitación mercado municipal</t>
  </si>
  <si>
    <t>28/03/2024</t>
  </si>
  <si>
    <t>Constructora Mercados S.A.</t>
  </si>
  <si>
    <t>SRC-006</t>
  </si>
  <si>
    <t>SIE-GADMC-006-2024</t>
  </si>
  <si>
    <t>https://www.sercop.gob.ec/portal/SIE-GADMC-006-2024</t>
  </si>
  <si>
    <t>Construcción centro salud tipo C</t>
  </si>
  <si>
    <t>SRC-007</t>
  </si>
  <si>
    <t>SIE-GADMC-007-2024</t>
  </si>
  <si>
    <t>https://www.sercop.gob.ec/portal/SIE-GADMC-007-2024</t>
  </si>
  <si>
    <t>Equipamiento educativo rural</t>
  </si>
  <si>
    <t>TechEdu Ecuador Cía.</t>
  </si>
  <si>
    <t>SRC-008</t>
  </si>
  <si>
    <t>SIE-GADMC-008-2024</t>
  </si>
  <si>
    <t>https://www.sercop.gob.ec/portal/SIE-GADMC-008-2024</t>
  </si>
  <si>
    <t>Construcción guardería comunitaria</t>
  </si>
  <si>
    <t>SRC-009</t>
  </si>
  <si>
    <t>SIE-GADMC-009-2024</t>
  </si>
  <si>
    <t>https://www.sercop.gob.ec/portal/SIE-GADMC-009-2024</t>
  </si>
  <si>
    <t>Sistema drenaje pluvial urbano</t>
  </si>
  <si>
    <t>25/03/2024</t>
  </si>
  <si>
    <t>SRC-010</t>
  </si>
  <si>
    <t>SIE-GADMC-010-2024</t>
  </si>
  <si>
    <t>https://www.sercop.gob.ec/portal/SIE-GADMC-010-2024</t>
  </si>
  <si>
    <t>Construcción parque sector norte</t>
  </si>
  <si>
    <t>Constructora RecreActiva</t>
  </si>
  <si>
    <t>SRC-011</t>
  </si>
  <si>
    <t>SIE-GADMC-011-2024</t>
  </si>
  <si>
    <t>https://www.sercop.gob.ec/portal/SIE-GADMC-011-2024</t>
  </si>
  <si>
    <t>Rehabilitación malecón costero</t>
  </si>
  <si>
    <t>Grupo Turístico Manabí</t>
  </si>
  <si>
    <t>SRC-012</t>
  </si>
  <si>
    <t>SIE-GADMC-012-2024</t>
  </si>
  <si>
    <t>https://www.sercop.gob.ec/portal/SIE-GADMC-012-2024</t>
  </si>
  <si>
    <t>Adquisición unidad móvil salud</t>
  </si>
  <si>
    <t>28/02/2024</t>
  </si>
  <si>
    <t>MedEquip Ecuador S.A.</t>
  </si>
  <si>
    <t>SRC-013</t>
  </si>
  <si>
    <t>SIE-GADMC-013-2024</t>
  </si>
  <si>
    <t>https://www.sercop.gob.ec/portal/SIE-GADMC-013-2024</t>
  </si>
  <si>
    <t>Capacitación artesanos toquilla</t>
  </si>
  <si>
    <t>CIDAP Ecuador</t>
  </si>
  <si>
    <t>SRC-014</t>
  </si>
  <si>
    <t>SIE-GADMC-014-2024</t>
  </si>
  <si>
    <t>https://www.sercop.gob.ec/portal/SIE-GADMC-014-2024</t>
  </si>
  <si>
    <t>Actualización catastro predial</t>
  </si>
  <si>
    <t>GeoSistemas Ecuador</t>
  </si>
  <si>
    <t>SRC-015</t>
  </si>
  <si>
    <t>SIE-GADMC-015-2024</t>
  </si>
  <si>
    <t>https://www.sercop.gob.ec/portal/SIE-GADMC-015-2024</t>
  </si>
  <si>
    <t>Gestión LOTAIP y transparencia</t>
  </si>
  <si>
    <t>Consultoría TransparEcu</t>
  </si>
  <si>
    <t>SRC-016</t>
  </si>
  <si>
    <t>SIE-GADMC-016-2024</t>
  </si>
  <si>
    <t>https://www.sercop.gob.ec/portal/SIE-GADMC-016-2024</t>
  </si>
  <si>
    <t>Ambiental Verde Ecuador</t>
  </si>
  <si>
    <t>SRC-017</t>
  </si>
  <si>
    <t>SIE-GADMC-017-2024</t>
  </si>
  <si>
    <t>https://www.sercop.gob.ec/portal/SIE-GADMC-017-2024</t>
  </si>
  <si>
    <t>20/01/2024</t>
  </si>
  <si>
    <t>Asfaltos y Señales S.A.</t>
  </si>
  <si>
    <t>SRC-018</t>
  </si>
  <si>
    <t>Sin proceso publicado</t>
  </si>
  <si>
    <t>Sin proceso SERCOP registrado</t>
  </si>
  <si>
    <t>Sin proveedor</t>
  </si>
  <si>
    <t>SRC-019</t>
  </si>
  <si>
    <t>SIE-GADMC-019-2024</t>
  </si>
  <si>
    <t>https://www.sercop.gob.ec/portal/SIE-GADMC-019-2024</t>
  </si>
  <si>
    <t>Sistema recaudación electrónica municipal</t>
  </si>
  <si>
    <t>15/02/2024</t>
  </si>
  <si>
    <t>SoftGov Ecuador S.A.</t>
  </si>
  <si>
    <t>SRC-020</t>
  </si>
  <si>
    <t>SIE-GADMC-020-2024</t>
  </si>
  <si>
    <t>https://www.sercop.gob.ec/portal/SIE-GADMC-020-2024</t>
  </si>
  <si>
    <t>HidroTech Ecuador</t>
  </si>
  <si>
    <t>H08 — DOCUMENTOS LOTAIP: Silo 4 del CININ. Cumplimiento Art. 7 LOTAIP por meta. Fuente: Portal LOTAIP de cada GAD.</t>
  </si>
  <si>
    <t>← H01  |  V_LOTAIP = 1 si más del 60% de documentos son accesibles. Alimenta V_i maleable.</t>
  </si>
  <si>
    <t>ID_Doc</t>
  </si>
  <si>
    <t>Literal_LOTAIP</t>
  </si>
  <si>
    <t>Tipo_Documento</t>
  </si>
  <si>
    <t>URL_LOTAIP</t>
  </si>
  <si>
    <t>Estado_Accesibilidad</t>
  </si>
  <si>
    <t>V_LOTAIP_Doc</t>
  </si>
  <si>
    <t>Obs</t>
  </si>
  <si>
    <t>LOT-001</t>
  </si>
  <si>
    <t>k</t>
  </si>
  <si>
    <t>Cédula Presupuestaria</t>
  </si>
  <si>
    <t>https://www.montecristi.gob.ec/lotaip/001-cedula.pdf</t>
  </si>
  <si>
    <t>Accesible</t>
  </si>
  <si>
    <t>30/04/2024</t>
  </si>
  <si>
    <t>LOT-002</t>
  </si>
  <si>
    <t>Contrato Adjudicación</t>
  </si>
  <si>
    <t>https://www.montecristi.gob.ec/lotaip/001-contrato.pdf</t>
  </si>
  <si>
    <t>Ausente</t>
  </si>
  <si>
    <t>Enlace no publicado — brecha documental</t>
  </si>
  <si>
    <t>LOT-003</t>
  </si>
  <si>
    <t>Acta Recepción Provisional</t>
  </si>
  <si>
    <t>https://www.montecristi.gob.ec/lotaip/001-acta.pdf</t>
  </si>
  <si>
    <t>Sin acta disponible</t>
  </si>
  <si>
    <t>LOT-004</t>
  </si>
  <si>
    <t>https://www.montecristi.gob.ec/lotaip/002-cedula.pdf</t>
  </si>
  <si>
    <t>Proceso desierto sin docs</t>
  </si>
  <si>
    <t>LOT-005</t>
  </si>
  <si>
    <t>Informe SERCOP Desierto</t>
  </si>
  <si>
    <t>https://www.montecristi.gob.ec/lotaip/002-desierto.pdf</t>
  </si>
  <si>
    <t>No publicado</t>
  </si>
  <si>
    <t>LOT-006</t>
  </si>
  <si>
    <t>Justificación Técnica</t>
  </si>
  <si>
    <t>https://www.montecristi.gob.ec/lotaip/002-justif.pdf</t>
  </si>
  <si>
    <t>LOT-007</t>
  </si>
  <si>
    <t>Contrato EP Aseo</t>
  </si>
  <si>
    <t>https://www.montecristi.gob.ec/lotaip/003-contrato.pdf</t>
  </si>
  <si>
    <t>LOT-008</t>
  </si>
  <si>
    <t>Resolución Cancelación</t>
  </si>
  <si>
    <t>https://www.montecristi.gob.ec/lotaip/003-resolucion.pdf</t>
  </si>
  <si>
    <t>No publicada</t>
  </si>
  <si>
    <t>LOT-009</t>
  </si>
  <si>
    <t>Informe Técnico</t>
  </si>
  <si>
    <t>https://www.montecristi.gob.ec/lotaip/003-informe.pdf</t>
  </si>
  <si>
    <t>LOT-010</t>
  </si>
  <si>
    <t>https://www.montecristi.gob.ec/lotaip/004-contrato.pdf</t>
  </si>
  <si>
    <t>LOT-011</t>
  </si>
  <si>
    <t>Acta Entrega Definitiva</t>
  </si>
  <si>
    <t>https://www.montecristi.gob.ec/lotaip/004-acta.pdf</t>
  </si>
  <si>
    <t>15/11/2024</t>
  </si>
  <si>
    <t>LOT-012</t>
  </si>
  <si>
    <t>https://www.montecristi.gob.ec/lotaip/004-cedula.pdf</t>
  </si>
  <si>
    <t>LOT-013</t>
  </si>
  <si>
    <t>https://www.montecristi.gob.ec/lotaip/005-contrato.pdf</t>
  </si>
  <si>
    <t>Roto</t>
  </si>
  <si>
    <t>Error 404 — enlace caído</t>
  </si>
  <si>
    <t>LOT-014</t>
  </si>
  <si>
    <t>Acta Recepción</t>
  </si>
  <si>
    <t>https://www.montecristi.gob.ec/lotaip/005-acta.pdf</t>
  </si>
  <si>
    <t>Sin acta publicada</t>
  </si>
  <si>
    <t>LOT-015</t>
  </si>
  <si>
    <t>https://www.montecristi.gob.ec/lotaip/005-cedula.pdf</t>
  </si>
  <si>
    <t>LOT-016</t>
  </si>
  <si>
    <t>Contrato/Convenio</t>
  </si>
  <si>
    <t>https://www.montecristi.gob.ec/lotaip/006-contrato.pdf</t>
  </si>
  <si>
    <t>Proceso desierto</t>
  </si>
  <si>
    <t>LOT-017</t>
  </si>
  <si>
    <t>Informe Desierto</t>
  </si>
  <si>
    <t>https://www.montecristi.gob.ec/lotaip/006-desierto.pdf</t>
  </si>
  <si>
    <t>LOT-018</t>
  </si>
  <si>
    <t>https://www.montecristi.gob.ec/lotaip/006-cedula.pdf</t>
  </si>
  <si>
    <t>LOT-019</t>
  </si>
  <si>
    <t>https://www.montecristi.gob.ec/lotaip/007-contrato.pdf</t>
  </si>
  <si>
    <t>LOT-020</t>
  </si>
  <si>
    <t>https://www.montecristi.gob.ec/lotaip/007-acta.pdf</t>
  </si>
  <si>
    <t>Proceso finalizado, acta no publicada</t>
  </si>
  <si>
    <t>LOT-021</t>
  </si>
  <si>
    <t>https://www.montecristi.gob.ec/lotaip/007-cedula.pdf</t>
  </si>
  <si>
    <t>LOT-022</t>
  </si>
  <si>
    <t>Contrato</t>
  </si>
  <si>
    <t>https://www.montecristi.gob.ec/lotaip/008-contrato.pdf</t>
  </si>
  <si>
    <t>LOT-023</t>
  </si>
  <si>
    <t>https://www.montecristi.gob.ec/lotaip/008-res.pdf</t>
  </si>
  <si>
    <t>LOT-024</t>
  </si>
  <si>
    <t>https://www.montecristi.gob.ec/lotaip/008-cedula.pdf</t>
  </si>
  <si>
    <t>LOT-025</t>
  </si>
  <si>
    <t>https://www.montecristi.gob.ec/lotaip/009-contrato.pdf</t>
  </si>
  <si>
    <t>LOT-026</t>
  </si>
  <si>
    <t>https://www.montecristi.gob.ec/lotaip/009-desierto.pdf</t>
  </si>
  <si>
    <t>LOT-027</t>
  </si>
  <si>
    <t>https://www.montecristi.gob.ec/lotaip/009-cedula.pdf</t>
  </si>
  <si>
    <t>LOT-028</t>
  </si>
  <si>
    <t>https://www.montecristi.gob.ec/lotaip/010-contrato.pdf</t>
  </si>
  <si>
    <t>28/01/2024</t>
  </si>
  <si>
    <t>LOT-029</t>
  </si>
  <si>
    <t>https://www.montecristi.gob.ec/lotaip/010-acta.pdf</t>
  </si>
  <si>
    <t>30/10/2024</t>
  </si>
  <si>
    <t>LOT-030</t>
  </si>
  <si>
    <t>https://www.montecristi.gob.ec/lotaip/010-cedula.pdf</t>
  </si>
  <si>
    <t>LOT-031</t>
  </si>
  <si>
    <t>Contrato En Ejecución</t>
  </si>
  <si>
    <t>https://www.montecristi.gob.ec/lotaip/011-contrato.pdf</t>
  </si>
  <si>
    <t>20/03/2024</t>
  </si>
  <si>
    <t>LOT-032</t>
  </si>
  <si>
    <t>Acta Inicio</t>
  </si>
  <si>
    <t>https://www.montecristi.gob.ec/lotaip/011-inicio.pdf</t>
  </si>
  <si>
    <t>LOT-033</t>
  </si>
  <si>
    <t>https://www.montecristi.gob.ec/lotaip/011-cedula.pdf</t>
  </si>
  <si>
    <t>LOT-034</t>
  </si>
  <si>
    <t>https://www.montecristi.gob.ec/lotaip/012-contrato.pdf</t>
  </si>
  <si>
    <t>OK — Revisar MOM-III</t>
  </si>
  <si>
    <t>LOT-035</t>
  </si>
  <si>
    <t>Informe Brigadas Salud</t>
  </si>
  <si>
    <t>https://www.montecristi.gob.ec/lotaip/012-brigadas.pdf</t>
  </si>
  <si>
    <t>30/06/2024</t>
  </si>
  <si>
    <t>Fuente del 8295% declarado</t>
  </si>
  <si>
    <t>LOT-036</t>
  </si>
  <si>
    <t>https://www.montecristi.gob.ec/lotaip/012-cedula.pdf</t>
  </si>
  <si>
    <t>LOT-037</t>
  </si>
  <si>
    <t>Contrato Capacitación</t>
  </si>
  <si>
    <t>https://www.montecristi.gob.ec/lotaip/013-contrato.pdf</t>
  </si>
  <si>
    <t>LOT-038</t>
  </si>
  <si>
    <t>Lista Artesanos Capacitados</t>
  </si>
  <si>
    <t>https://www.montecristi.gob.ec/lotaip/013-lista.pdf</t>
  </si>
  <si>
    <t>15/12/2024</t>
  </si>
  <si>
    <t>LOT-039</t>
  </si>
  <si>
    <t>https://www.montecristi.gob.ec/lotaip/013-cedula.pdf</t>
  </si>
  <si>
    <t>LOT-040</t>
  </si>
  <si>
    <t>Contrato Catastro</t>
  </si>
  <si>
    <t>https://www.montecristi.gob.ec/lotaip/014-contrato.pdf</t>
  </si>
  <si>
    <t>LOT-041</t>
  </si>
  <si>
    <t>Acta Entrega Parcial</t>
  </si>
  <si>
    <t>https://www.montecristi.gob.ec/lotaip/014-acta.pdf</t>
  </si>
  <si>
    <t>Enlace caído — acta pendiente</t>
  </si>
  <si>
    <t>LOT-042</t>
  </si>
  <si>
    <t>https://www.montecristi.gob.ec/lotaip/014-cedula.pdf</t>
  </si>
  <si>
    <t>LOT-043</t>
  </si>
  <si>
    <t>Informe Q1 LOTAIP</t>
  </si>
  <si>
    <t>https://www.montecristi.gob.ec/lotaip/015-q1.pdf</t>
  </si>
  <si>
    <t>LOT-044</t>
  </si>
  <si>
    <t>Informe Q2 LOTAIP</t>
  </si>
  <si>
    <t>https://www.montecristi.gob.ec/lotaip/015-q2.pdf</t>
  </si>
  <si>
    <t>31/07/2024</t>
  </si>
  <si>
    <t>LOT-045</t>
  </si>
  <si>
    <t>Informe Q3-Q4 LOTAIP</t>
  </si>
  <si>
    <t>https://www.montecristi.gob.ec/lotaip/015-q4.pdf</t>
  </si>
  <si>
    <t>31/12/2024</t>
  </si>
  <si>
    <t>LOT-046</t>
  </si>
  <si>
    <t>Contrato Reforestación</t>
  </si>
  <si>
    <t>https://www.montecristi.gob.ec/lotaip/016-contrato.pdf</t>
  </si>
  <si>
    <t>15/04/2024</t>
  </si>
  <si>
    <t>LOT-047</t>
  </si>
  <si>
    <t>Informe Plantación</t>
  </si>
  <si>
    <t>https://www.montecristi.gob.ec/lotaip/016-informe.pdf</t>
  </si>
  <si>
    <t>Ilegible</t>
  </si>
  <si>
    <t>PDF corrupto — no legible</t>
  </si>
  <si>
    <t>LOT-048</t>
  </si>
  <si>
    <t>https://www.montecristi.gob.ec/lotaip/016-cedula.pdf</t>
  </si>
  <si>
    <t>LOT-049</t>
  </si>
  <si>
    <t>Contrato Vialidad</t>
  </si>
  <si>
    <t>https://www.montecristi.gob.ec/lotaip/017-contrato.pdf</t>
  </si>
  <si>
    <t>LOT-050</t>
  </si>
  <si>
    <t>https://www.montecristi.gob.ec/lotaip/017-acta.pdf</t>
  </si>
  <si>
    <t>30/11/2024</t>
  </si>
  <si>
    <t>LOT-051</t>
  </si>
  <si>
    <t>https://www.montecristi.gob.ec/lotaip/017-cedula.pdf</t>
  </si>
  <si>
    <t>LOT-052</t>
  </si>
  <si>
    <t>https://www.montecristi.gob.ec/lotaip/018-contrato.pdf</t>
  </si>
  <si>
    <t>Sin proceso SERCOP ni docs</t>
  </si>
  <si>
    <t>LOT-053</t>
  </si>
  <si>
    <t>Informe Beneficiarios</t>
  </si>
  <si>
    <t>https://www.montecristi.gob.ec/lotaip/018-beneficiarios.pdf</t>
  </si>
  <si>
    <t>Sin informe publicado</t>
  </si>
  <si>
    <t>LOT-054</t>
  </si>
  <si>
    <t>https://www.montecristi.gob.ec/lotaip/018-cedula.pdf</t>
  </si>
  <si>
    <t>Sin cédula publicada</t>
  </si>
  <si>
    <t>LOT-055</t>
  </si>
  <si>
    <t>Contrato Software</t>
  </si>
  <si>
    <t>https://www.montecristi.gob.ec/lotaip/019-contrato.pdf</t>
  </si>
  <si>
    <t>LOT-056</t>
  </si>
  <si>
    <t>Acta Implementación</t>
  </si>
  <si>
    <t>https://www.montecristi.gob.ec/lotaip/019-acta.pdf</t>
  </si>
  <si>
    <t>15/10/2024</t>
  </si>
  <si>
    <t>LOT-057</t>
  </si>
  <si>
    <t>https://www.montecristi.gob.ec/lotaip/019-cedula.pdf</t>
  </si>
  <si>
    <t>LOT-058</t>
  </si>
  <si>
    <t>Contrato Planta</t>
  </si>
  <si>
    <t>https://www.montecristi.gob.ec/lotaip/020-contrato.pdf</t>
  </si>
  <si>
    <t>15/06/2024</t>
  </si>
  <si>
    <t>Proceso iniciado, sin devengado</t>
  </si>
  <si>
    <t>LOT-059</t>
  </si>
  <si>
    <t>Acta Inicio Obras</t>
  </si>
  <si>
    <t>https://www.montecristi.gob.ec/lotaip/020-inicio.pdf</t>
  </si>
  <si>
    <t>LOT-060</t>
  </si>
  <si>
    <t>https://www.montecristi.gob.ec/lotaip/020-cedula.pdf</t>
  </si>
  <si>
    <t>H09 — EJECUCIÓN PRESUPUESTARIA: Silo 3 del CININ. Devengado eSIGEF por meta. C1=abr | C2=ago | C3=dic. Fuente: e-SIGEF Ministerio Finanzas.</t>
  </si>
  <si>
    <t>← H01  |  T_i = Dev_Total / Codificado_Vigente. V_eSIGEF = 1 si Dev_Total &gt; 0</t>
  </si>
  <si>
    <t>ID_Ejec</t>
  </si>
  <si>
    <t>Partida_Presup</t>
  </si>
  <si>
    <t>Codif_Inicial</t>
  </si>
  <si>
    <t>Reformas</t>
  </si>
  <si>
    <t>Codif_Vigente</t>
  </si>
  <si>
    <t>Dev_C1_abr</t>
  </si>
  <si>
    <t>Dev_C2_ago</t>
  </si>
  <si>
    <t>Dev_C3_dic_parcial</t>
  </si>
  <si>
    <t>Dev_Total_31dic</t>
  </si>
  <si>
    <t>V_eSIGEF</t>
  </si>
  <si>
    <t>EJC-001</t>
  </si>
  <si>
    <t>75.01.07.001</t>
  </si>
  <si>
    <t>EJC-002</t>
  </si>
  <si>
    <t>75.01.07.002</t>
  </si>
  <si>
    <t>EJC-003</t>
  </si>
  <si>
    <t>75.01.07.003</t>
  </si>
  <si>
    <t>EJC-004</t>
  </si>
  <si>
    <t>75.01.05.004</t>
  </si>
  <si>
    <t>EJC-005</t>
  </si>
  <si>
    <t>75.01.05.005</t>
  </si>
  <si>
    <t>EJC-006</t>
  </si>
  <si>
    <t>75.01.05.006</t>
  </si>
  <si>
    <t>EJC-007</t>
  </si>
  <si>
    <t>75.01.05.007</t>
  </si>
  <si>
    <t>EJC-008</t>
  </si>
  <si>
    <t>75.01.05.008</t>
  </si>
  <si>
    <t>EJC-009</t>
  </si>
  <si>
    <t>75.01.07.009</t>
  </si>
  <si>
    <t>EJC-010</t>
  </si>
  <si>
    <t>75.01.05.010</t>
  </si>
  <si>
    <t>EJC-011</t>
  </si>
  <si>
    <t>75.01.05.011</t>
  </si>
  <si>
    <t>EJC-012</t>
  </si>
  <si>
    <t>53.08.04.012</t>
  </si>
  <si>
    <t>EJC-013</t>
  </si>
  <si>
    <t>54.02.03.013</t>
  </si>
  <si>
    <t>EJC-014</t>
  </si>
  <si>
    <t>73.06.06.014</t>
  </si>
  <si>
    <t>EJC-015</t>
  </si>
  <si>
    <t>73.06.06.015</t>
  </si>
  <si>
    <t>EJC-016</t>
  </si>
  <si>
    <t>73.02.01.016</t>
  </si>
  <si>
    <t>EJC-017</t>
  </si>
  <si>
    <t>75.01.05.017</t>
  </si>
  <si>
    <t>EJC-018</t>
  </si>
  <si>
    <t>73.06.04.018</t>
  </si>
  <si>
    <t>EJC-019</t>
  </si>
  <si>
    <t>73.06.06.019</t>
  </si>
  <si>
    <t>EJC-020</t>
  </si>
  <si>
    <t>75.01.07.020</t>
  </si>
  <si>
    <t>TOTALES:</t>
  </si>
  <si>
    <t>H10 — INFORMES CPCCS: Silo 5 del CININ. Menciones de metas en rendición de cuentas. Fuente: Informes CPCCS y discursos de alcalde.</t>
  </si>
  <si>
    <t>← H01  |  V_CPCCS=1 congruente; V_CPCCS=0.5 incongruente (diff&gt;20pp); V_CPCCS=0 no mencionada</t>
  </si>
  <si>
    <t>ID_Mencion</t>
  </si>
  <si>
    <t>Mencionada</t>
  </si>
  <si>
    <t>Cumpl_Declarado_Pct</t>
  </si>
  <si>
    <t>Pagina</t>
  </si>
  <si>
    <t>Cita_Textual</t>
  </si>
  <si>
    <t>Congr_eSIGEF</t>
  </si>
  <si>
    <t>V_CPCCS</t>
  </si>
  <si>
    <t>CPC-001</t>
  </si>
  <si>
    <t>No</t>
  </si>
  <si>
    <t>CPC-002</t>
  </si>
  <si>
    <t>CPC-003</t>
  </si>
  <si>
    <t>CPC-004</t>
  </si>
  <si>
    <t>Sí</t>
  </si>
  <si>
    <t>Informe</t>
  </si>
  <si>
    <t>Se completó el mejoramiento de vías urbanas con 90% de avance al cierre del período'</t>
  </si>
  <si>
    <t>Congruente</t>
  </si>
  <si>
    <t>CPC-005</t>
  </si>
  <si>
    <t>CPC-006</t>
  </si>
  <si>
    <t>CPC-007</t>
  </si>
  <si>
    <t>CPC-008</t>
  </si>
  <si>
    <t>CPC-009</t>
  </si>
  <si>
    <t>CPC-010</t>
  </si>
  <si>
    <t>El parque deportivo del sector norte fue inaugurado con éxito y en plena operación'</t>
  </si>
  <si>
    <t>CPC-011</t>
  </si>
  <si>
    <t>CPC-012</t>
  </si>
  <si>
    <t>Ambas</t>
  </si>
  <si>
    <t>La unidad móvil realizó 414,743 contactos de salud comunitaria, superando en 8,295% la meta de 5,000 brigadas planificadas'</t>
  </si>
  <si>
    <t>Incongruente</t>
  </si>
  <si>
    <t>CPC-013</t>
  </si>
  <si>
    <t>Se capacitaron 200 artesanos en técnicas de sombrero paja toquilla, completando el 100% de la meta'</t>
  </si>
  <si>
    <t>CPC-014</t>
  </si>
  <si>
    <t>CPC-015</t>
  </si>
  <si>
    <t>Se publicaron los 4 informes LOTAIP trimestrales, cumpliendo al 100% el compromiso de transparencia'</t>
  </si>
  <si>
    <t>CPC-016</t>
  </si>
  <si>
    <t>CPC-017</t>
  </si>
  <si>
    <t>Se ejecutó el bacheo de 22.5 km de vías parroquiales de los 25 km planificados'</t>
  </si>
  <si>
    <t>CPC-018</t>
  </si>
  <si>
    <t>CPC-019</t>
  </si>
  <si>
    <t>El sistema de recaudación electrónica fue implementado en un 80%, en fase de pruebas al cierre'</t>
  </si>
  <si>
    <t>CPC-020</t>
  </si>
  <si>
    <t>H12 — ESTATUTO ORGÁNICO: Base para asignación de C_i (Claridad Orgánica) y E_i (Eficiencia Modalidad) por tipo de proceso.</t>
  </si>
  <si>
    <t>← H01  |  Fuente: Estatuto Orgánico por Procesos del GAD Municipal de Montecristi.</t>
  </si>
  <si>
    <t>Proceso_Nombre</t>
  </si>
  <si>
    <t>Direccion_Responsable</t>
  </si>
  <si>
    <t>Tipo_Resp_ID</t>
  </si>
  <si>
    <t>C_i_Base</t>
  </si>
  <si>
    <t>Modalidad_ID</t>
  </si>
  <si>
    <t>E_i_Base</t>
  </si>
  <si>
    <t>Fundamento</t>
  </si>
  <si>
    <t>PROC-01</t>
  </si>
  <si>
    <t>Infraestructura física</t>
  </si>
  <si>
    <t>Estatuto Orgánico Art. 14 — Obras Públicas</t>
  </si>
  <si>
    <t>PROC-02</t>
  </si>
  <si>
    <t>Agua y saneamiento</t>
  </si>
  <si>
    <t>PROC-03</t>
  </si>
  <si>
    <t>Contratación pública</t>
  </si>
  <si>
    <t>Dir. Compras Públicas</t>
  </si>
  <si>
    <t>Estatuto Orgánico Art. 18 — Compras Públicas</t>
  </si>
  <si>
    <t>PROC-04</t>
  </si>
  <si>
    <t>Salud y equipamiento</t>
  </si>
  <si>
    <t>Dir. Planif.+Obras</t>
  </si>
  <si>
    <t>Estatuto Art. 12 — Planificación (coordinación MSP)</t>
  </si>
  <si>
    <t>PROC-05</t>
  </si>
  <si>
    <t>Servicios sociales</t>
  </si>
  <si>
    <t>Patronato Municipal</t>
  </si>
  <si>
    <t>Estatuto Art. 22 — Patronato (entidad delegada)</t>
  </si>
  <si>
    <t>PROC-06</t>
  </si>
  <si>
    <t>Cultura y turismo</t>
  </si>
  <si>
    <t>Dir. Cultura y Turismo</t>
  </si>
  <si>
    <t>Estatuto Orgánico Art. 16 — Cultura</t>
  </si>
  <si>
    <t>PROC-07</t>
  </si>
  <si>
    <t>Gestión ambiental</t>
  </si>
  <si>
    <t>Estatuto Art. 17 — Ambiental (convenio MAE)</t>
  </si>
  <si>
    <t>PROC-08</t>
  </si>
  <si>
    <t>Vialidad</t>
  </si>
  <si>
    <t>PROC-09</t>
  </si>
  <si>
    <t>Planificación estratégica</t>
  </si>
  <si>
    <t>Estatuto Orgánico Art. 12 — Planificación</t>
  </si>
  <si>
    <t>PROC-10</t>
  </si>
  <si>
    <t>Transparencia LOTAIP</t>
  </si>
  <si>
    <t>Estatuto Art. 12 — LOTAIP asignada a Planif.</t>
  </si>
  <si>
    <t>PROC-11</t>
  </si>
  <si>
    <t>Finanzas y recaudación</t>
  </si>
  <si>
    <t>Estatuto Orgánico Art. 19 — Finanzas</t>
  </si>
  <si>
    <t>PROC-12</t>
  </si>
  <si>
    <t>Desechos sólidos</t>
  </si>
  <si>
    <t>EP Aseo Municipal</t>
  </si>
  <si>
    <t>Estatuto Art. 23 — EP Aseo (entidad delegada)</t>
  </si>
  <si>
    <t>PROC-13</t>
  </si>
  <si>
    <t>Transporte y movilidad</t>
  </si>
  <si>
    <t>Dir. Movilidad</t>
  </si>
  <si>
    <t>Estatuto Orgánico Art. 20 — Movilidad</t>
  </si>
  <si>
    <t>PROC-14</t>
  </si>
  <si>
    <t>Desarrollo económico</t>
  </si>
  <si>
    <t>Estatuto Art. 16 — Turismo (convenios MIPRO)</t>
  </si>
  <si>
    <t>PROC-15</t>
  </si>
  <si>
    <t>Obras con convenios</t>
  </si>
  <si>
    <t>Dir. Planif.+Externo</t>
  </si>
  <si>
    <t>Estatuto Art. 12 — Proyectos cofinanciados</t>
  </si>
  <si>
    <t>H13 — MAO ATRIBUCIÓN ORGÁNICA: Conecta cada meta PDOT con su dirección responsable, escenario de trazabilidad y diagnóstico preventivo.</t>
  </si>
  <si>
    <t>← H01  |  ESCENARIOS: A=Trazabilidad completa | B=Oportunidad documental | C=Proceso sin ejecución | D=Ejecución sin planificación formal</t>
  </si>
  <si>
    <t>Descripcion_Corta</t>
  </si>
  <si>
    <t>Proceso_Tipo</t>
  </si>
  <si>
    <t>Escenario</t>
  </si>
  <si>
    <t>Diagnostico_Preventivo</t>
  </si>
  <si>
    <t>Acueducto rural</t>
  </si>
  <si>
    <t>B</t>
  </si>
  <si>
    <t>GAD ejecutó ($531K devengado) pero no publicó documentación LOTAIP completa. Acción: publicar contrato y acta en portal LOTAIP.</t>
  </si>
  <si>
    <t>C</t>
  </si>
  <si>
    <t>Proceso SERCOP desierto. Devengado mínimo ($93K). Revisar causas técnicas y relanzar proceso antes del C1 siguiente año.</t>
  </si>
  <si>
    <t>Proceso cancelado, devengado nulo. EP Aseo debe reformular convenio con GAD y relanzar proceso contractual.</t>
  </si>
  <si>
    <t>Vialidad urbana</t>
  </si>
  <si>
    <t>A</t>
  </si>
  <si>
    <t>Trazabilidad completa. Modelo de referencia para otras metas. ICPI individual: ~90%.</t>
  </si>
  <si>
    <t>Mercado municipal</t>
  </si>
  <si>
    <t>Proceso adjudicado, $262K devengado. Contrato LOTAIP con error 404. Acción: republicar contrato y acta.</t>
  </si>
  <si>
    <t>Centro salud</t>
  </si>
  <si>
    <t>Proceso desierto, $56K devengado sin proceso válido. Revisar si hay sustitución de meta (posible MOM-II). Reformular.</t>
  </si>
  <si>
    <t>Equipamiento educativo</t>
  </si>
  <si>
    <t>Contrato accesible, $185K devengado. Falta acta de recepción definitiva en LOTAIP. Acción: publicar acta.</t>
  </si>
  <si>
    <t>Proceso cancelado, devengado nulo. Revisar causas y relanzar en siguiente POA con proceso bien estructurado.</t>
  </si>
  <si>
    <t>Drenaje pluvial</t>
  </si>
  <si>
    <t>Proceso desierto, $52K devengado sin proceso SERCOP válido. Revisar estructura de licitación y presupuesto referencial.</t>
  </si>
  <si>
    <t>Parque norte</t>
  </si>
  <si>
    <t>Trazabilidad completa. 100% devengado, todos documentos accesibles. ICPI individual: ~100%. Modelo referencial.</t>
  </si>
  <si>
    <t>En ejecución, $315K devengado (70%). Contrato accesible. Meta en proceso — seguimiento C1 siguiente año.</t>
  </si>
  <si>
    <t>Unidad móvil</t>
  </si>
  <si>
    <t>A*</t>
  </si>
  <si>
    <t>Trazabilidad documental completa (V_i=1) PERO MOM-III activo: 8295% declarado vs 8% ejecutado. Verificar definición indicador.</t>
  </si>
  <si>
    <t>Artesanos toquilla</t>
  </si>
  <si>
    <t>Trazabilidad completa. 100% devengado, 200 artesanos capacitados. Modelo de meta bien ejecutada.</t>
  </si>
  <si>
    <t>Catastro predial</t>
  </si>
  <si>
    <t>En ejecución (70%), contrato accesible. Acta de entrega parcial con enlace roto. Acción: republicar acta.</t>
  </si>
  <si>
    <t>Trazabilidad completa. 4 informes LOTAIP publicados, 100% devengado. Modelo de transparencia.</t>
  </si>
  <si>
    <t>Reforestación</t>
  </si>
  <si>
    <t>Proceso adjudicado, $64K devengado (80%). Informe plantación con PDF corrupto. Acción: republicar informe legible.</t>
  </si>
  <si>
    <t>Bacheo parroquial</t>
  </si>
  <si>
    <t>Trazabilidad completa. 90% devengado, todos docs accesibles. Meta modelo de ejecución vial.</t>
  </si>
  <si>
    <t>Adulto mayor</t>
  </si>
  <si>
    <t>D</t>
  </si>
  <si>
    <t>Sin POA, sin proceso SERCOP, sin devengado. MOM-I activo. Patronato debe formalizar meta en POA y abrir proceso.</t>
  </si>
  <si>
    <t>Recaudación</t>
  </si>
  <si>
    <t>Trazabilidad completa. 80% devengado, sistema en implementación. Meta en buen estado.</t>
  </si>
  <si>
    <t>Planta tratamiento</t>
  </si>
  <si>
    <t>Proceso SERCOP adjudicado pero devengado nulo ($0 de $1,050,000). Proceso iniciado tardíamente (junio 2024). Seguimiento prioritario.</t>
  </si>
  <si>
    <t>H14 — MOTOR DE CÁLCULO ICPI: Tabla consolidada de variables. Todas las fórmulas son automáticas y referencian H05-H13.</t>
  </si>
  <si>
    <t>← H01  |  ICPI = Σ(Pi × Ri × Vi × Ei × Ti × Ci) / Σ(Pi × Ri) × 100</t>
  </si>
  <si>
    <t>Fuente_ID</t>
  </si>
  <si>
    <t>V_LOTAIP</t>
  </si>
  <si>
    <t>Num_Meta</t>
  </si>
  <si>
    <t>Den_Meta</t>
  </si>
  <si>
    <t>ICPI_Indiv_%</t>
  </si>
  <si>
    <t>TOTALES</t>
  </si>
  <si>
    <t>RESULTADO ICPI GLOBAL</t>
  </si>
  <si>
    <t>ICPI_NUMERADOR</t>
  </si>
  <si>
    <t>ICPI_DENOMINADOR</t>
  </si>
  <si>
    <t>ICPI_GLOBAL (%%)</t>
  </si>
  <si>
    <t>Verificación Σ P_i</t>
  </si>
  <si>
    <t>CLASIFICACIÓN AVEP</t>
  </si>
  <si>
    <t>CLASIFICACION_AVEP</t>
  </si>
  <si>
    <t>Rango ICPI</t>
  </si>
  <si>
    <t>Clasificación AVEP</t>
  </si>
  <si>
    <t>90-100%</t>
  </si>
  <si>
    <t>⭐ Excelencia en Trazabilidad</t>
  </si>
  <si>
    <t>Ciclo documental íntegro y completo</t>
  </si>
  <si>
    <t>70-89%</t>
  </si>
  <si>
    <t>✅ Gestión por Mandato</t>
  </si>
  <si>
    <t>Alta fidelidad, desviaciones menores</t>
  </si>
  <si>
    <t>40-69%</t>
  </si>
  <si>
    <t>⚠️ Transición Crítica</t>
  </si>
  <si>
    <t>Desconexión orgánica significativa</t>
  </si>
  <si>
    <t>20-39%</t>
  </si>
  <si>
    <t>🔶 Gestión por Ocurrencia</t>
  </si>
  <si>
    <t>Reacción coyuntural predomina</t>
  </si>
  <si>
    <t>0-19%</t>
  </si>
  <si>
    <t>🔴 Ruptura Sistémica</t>
  </si>
  <si>
    <t>Opacidad estructural generalizada</t>
  </si>
  <si>
    <t>ANÁLISIS BRECHA ICM-ICPI</t>
  </si>
  <si>
    <t>ICM_OFICIAL (SIGAD)</t>
  </si>
  <si>
    <t>ICPI_CALCULADO</t>
  </si>
  <si>
    <t>BRECHA_PP (ICM - ICPI)</t>
  </si>
  <si>
    <t>CLASIFICACION_BRECHA</t>
  </si>
  <si>
    <t>LECTURA</t>
  </si>
  <si>
    <t>ICPI POR NIVEL DE ESTRÉS</t>
  </si>
  <si>
    <t>Nivel</t>
  </si>
  <si>
    <t>Num_Metas</t>
  </si>
  <si>
    <t>ICPI_Nivel_%</t>
  </si>
  <si>
    <t>Interpretacion</t>
  </si>
  <si>
    <t>Metas con trazabilidad plena — modelos de referencia</t>
  </si>
  <si>
    <t>Ejecución sin documentación completa — brecha documental recuperable</t>
  </si>
  <si>
    <t>Falla sistémica de proceso — reformulación POA requerida</t>
  </si>
  <si>
    <t>Patrones MOM activos — verificación documental urgente</t>
  </si>
  <si>
    <t>H11 — SEÑALES DE ATENCIÓN TEMPRANA — Protocolos MOM</t>
  </si>
  <si>
    <t>Estas señales indican oportunidades de mejora en la gestión programática y documental. No constituyen sanciones ni procesos disciplinarios.</t>
  </si>
  <si>
    <t>← H01  |  Ver H14 (ICPI) →</t>
  </si>
  <si>
    <t>Fórmula / Fuente</t>
  </si>
  <si>
    <t>Nota</t>
  </si>
  <si>
    <t>Presupuesto Metas Reportadas SIGAD</t>
  </si>
  <si>
    <t>Presupuesto Total PDOT 2024</t>
  </si>
  <si>
    <t>Representatividad SIGAD/PDOT</t>
  </si>
  <si>
    <t>ICM Reportado SIGAD</t>
  </si>
  <si>
    <t>SEVERIDAD</t>
  </si>
  <si>
    <t>SEÑAL MOM-I (Automática)</t>
  </si>
  <si>
    <t>Hash POA Aprobado (enero)</t>
  </si>
  <si>
    <t>a3f5c9d2e8b14f7a3c6d9e0f1b2a4c8d</t>
  </si>
  <si>
    <t>Huella digital POA enero 2024</t>
  </si>
  <si>
    <t>Simulado - representa integridad documental</t>
  </si>
  <si>
    <t>Hash POA Cierre (diciembre)</t>
  </si>
  <si>
    <t>Huella digital POA diciembre 2024</t>
  </si>
  <si>
    <t>Idéntico → POA sin modificaciones</t>
  </si>
  <si>
    <t>Comparación de Hashes</t>
  </si>
  <si>
    <t>Verificación automática</t>
  </si>
  <si>
    <t>SEÑAL MOM-II Global</t>
  </si>
  <si>
    <t>Sin señal — POA mantiene integridad documental</t>
  </si>
  <si>
    <t>Resultado comparación</t>
  </si>
  <si>
    <t>No se detectaron sustituciones sistemáticas</t>
  </si>
  <si>
    <t>NOTA ESPECÍFICA PDOT-006</t>
  </si>
  <si>
    <t>⚠️ Meta 'Centro Salud tipo C' declarada 'en gestión' con proceso SERCOP desierto. Revisar si existe reformulación de alcance o sustitución de meta.</t>
  </si>
  <si>
    <t>Análisis específico</t>
  </si>
  <si>
    <t>Revisar en próximo ciclo</t>
  </si>
  <si>
    <t>Meta PDOT</t>
  </si>
  <si>
    <t>Unidad PDOT</t>
  </si>
  <si>
    <t>Unidad SIGAD Reportada</t>
  </si>
  <si>
    <t>Cant. Planif.</t>
  </si>
  <si>
    <t>Cant. Reportada</t>
  </si>
  <si>
    <t>% Cumplimiento</t>
  </si>
  <si>
    <t>T_i Presup.</t>
  </si>
  <si>
    <t>SEÑAL MOM-III</t>
  </si>
  <si>
    <t>Contactos sistema salud</t>
  </si>
  <si>
    <t>⚠️ ATENCIÓN TEMPRANA: Cumplimiento 8,295% con ejecución presupuestaria del 8%. La diferencia entre 'Unidad Móvil operativa' (PDOT) y 'contactos sistema salud' (SIGAD) sugiere redefinición operativa del indicador. Se recomienda verificación documental.</t>
  </si>
  <si>
    <t>Fórmula automática de detección:</t>
  </si>
  <si>
    <t>RESUMEN DE SEÑALES DE ATENCIÓN TEMPRANA</t>
  </si>
  <si>
    <t>Protocolo</t>
  </si>
  <si>
    <t>Severidad</t>
  </si>
  <si>
    <t>Metas Afectadas</t>
  </si>
  <si>
    <t>Acción Recomendada</t>
  </si>
  <si>
    <t>MOM-I (Fragmentación Selectiva)</t>
  </si>
  <si>
    <t>⚠️ Activa</t>
  </si>
  <si>
    <t>PDOT-018 y múltiples no reportadas</t>
  </si>
  <si>
    <t>Ampliar universo de metas en SIGAD al 100% del PDOT</t>
  </si>
  <si>
    <t>MOM-II (Sustitución de Metas)</t>
  </si>
  <si>
    <t>✅ Sin señal</t>
  </si>
  <si>
    <t>—</t>
  </si>
  <si>
    <t>Mantener integridad documental del POA</t>
  </si>
  <si>
    <t>MOM-III (Inflación de Unidades)</t>
  </si>
  <si>
    <t>Verificar definición operativa del indicador 'Unidad Móvil'</t>
  </si>
  <si>
    <t>H15 — ÍNDICES COMPLEMENTARIOS: IFE | SSC | IED por Dirección</t>
  </si>
  <si>
    <t>IFE: Índice de Fidelidad Electoral (Plan CNE vs PDOT) | SSC: Subíndice Social Complementario | IED: Índice de Eficiencia Directiva por proceso</t>
  </si>
  <si>
    <t>SECCIÓN 1 — ÍNDICE DE FIDELIDAD ELECTORAL (IFE)</t>
  </si>
  <si>
    <t>Comparativo Plan CNE (Programa Electoral) vs PDOT 2023-2027</t>
  </si>
  <si>
    <t>Nota: El Plan CNE es INSUMO COMPARATIVO del IFE, no base operativa del sistema. Sin CNE hay ICPI pero no IFE.</t>
  </si>
  <si>
    <t>ID_Promesa_CNE</t>
  </si>
  <si>
    <t>Descripción Promesa Electoral</t>
  </si>
  <si>
    <t>ID_Meta_PDOT</t>
  </si>
  <si>
    <t>Tipo_Vinculación</t>
  </si>
  <si>
    <t>Score (0/0.5/1)</t>
  </si>
  <si>
    <t>Justificación</t>
  </si>
  <si>
    <t>P-01</t>
  </si>
  <si>
    <t>Garantizar agua potable a 8 comunidades rurales</t>
  </si>
  <si>
    <t>Correspondencia directa con meta acueducto rural</t>
  </si>
  <si>
    <t>P-02</t>
  </si>
  <si>
    <t>Ampliar red de alcantarillado sanitario</t>
  </si>
  <si>
    <t>Meta idéntica en PDOT</t>
  </si>
  <si>
    <t>P-03</t>
  </si>
  <si>
    <t>Sistema de manejo integral de basura</t>
  </si>
  <si>
    <t>Meta idéntica</t>
  </si>
  <si>
    <t>P-04</t>
  </si>
  <si>
    <t>Mejorar vías urbanas del cantón</t>
  </si>
  <si>
    <t>P-05</t>
  </si>
  <si>
    <t>Rehabilitar el mercado municipal</t>
  </si>
  <si>
    <t>P-06</t>
  </si>
  <si>
    <t>Centro de salud en parroquia rural</t>
  </si>
  <si>
    <t>P-07</t>
  </si>
  <si>
    <t>Equipar establecimientos educativos rurales</t>
  </si>
  <si>
    <t>P-08</t>
  </si>
  <si>
    <t>Guardería comunitaria para madres trabajadoras</t>
  </si>
  <si>
    <t>P-09</t>
  </si>
  <si>
    <t>Solucionar inundaciones en el casco urbano</t>
  </si>
  <si>
    <t>Parcial</t>
  </si>
  <si>
    <t>Relacionada pero con diferente alcance técnico</t>
  </si>
  <si>
    <t>P-10</t>
  </si>
  <si>
    <t>Parque recreativo sector norte</t>
  </si>
  <si>
    <t>P-11</t>
  </si>
  <si>
    <t>Recuperar y embellecer el malecón costero</t>
  </si>
  <si>
    <t>P-12</t>
  </si>
  <si>
    <t>Unidad médica móvil comunitaria</t>
  </si>
  <si>
    <t>P-13</t>
  </si>
  <si>
    <t>Apoyar a los artesanos del sombrero de paja toquilla</t>
  </si>
  <si>
    <t>Meta idéntica — identidad cultural de Montecristi</t>
  </si>
  <si>
    <t>P-14</t>
  </si>
  <si>
    <t>Modernizar el catastro predial municipal</t>
  </si>
  <si>
    <t>P-15</t>
  </si>
  <si>
    <t>Gobierno transparente, abierto y participativo</t>
  </si>
  <si>
    <t>Relacionada y ampliada en PDOT con 4 informes LOTAIP</t>
  </si>
  <si>
    <t>IFE GLOBAL</t>
  </si>
  <si>
    <t>Clasificación IFE</t>
  </si>
  <si>
    <t>Rango IFE</t>
  </si>
  <si>
    <t>Significado</t>
  </si>
  <si>
    <t>85-100%</t>
  </si>
  <si>
    <t>⭐ Alta Fidelidad Electoral</t>
  </si>
  <si>
    <t>El mandato electoral se trasladó íntegramente al PDOT</t>
  </si>
  <si>
    <t>60-84%</t>
  </si>
  <si>
    <t>✅ Fidelidad Moderada</t>
  </si>
  <si>
    <t>La mayoría de promesas están en PDOT con ajustes</t>
  </si>
  <si>
    <t>40-59%</t>
  </si>
  <si>
    <t>⚠️ Erosión del Mandato</t>
  </si>
  <si>
    <t>Desconexión parcial entre campaña y planificación</t>
  </si>
  <si>
    <t>&lt;40%</t>
  </si>
  <si>
    <t>🔴 Ruptura del Mandato</t>
  </si>
  <si>
    <t>Planificación desvinculada del programa electoral</t>
  </si>
  <si>
    <t>SECCIÓN 2 — SUBÍNDICE SOCIAL COMPLEMENTARIO (SSC) — PATRONATO</t>
  </si>
  <si>
    <t>Analiza metas delegadas al Patronato Municipal (PDOT-012, PDOT-018) con ajuste por autonomía (E_i=0.75)</t>
  </si>
  <si>
    <t>Escenario Real (E_i=0.75)</t>
  </si>
  <si>
    <t>Escenario Simulado (E_i=1.0)</t>
  </si>
  <si>
    <t>Diferencia</t>
  </si>
  <si>
    <t>Interpretación</t>
  </si>
  <si>
    <t>Metas Patronato (PDOT-012, PDOT-018)</t>
  </si>
  <si>
    <t>SSC (ICPI Patronato)</t>
  </si>
  <si>
    <t>-0.95 pp</t>
  </si>
  <si>
    <t>Fricción de autonomía por delegación</t>
  </si>
  <si>
    <t>Numerador SUMPRODUCT</t>
  </si>
  <si>
    <t>Vi*Pi*Ri*Ei*Ti*Ci</t>
  </si>
  <si>
    <t>Denominador SUMPRODUCT</t>
  </si>
  <si>
    <t>Pi*Ri (invariante)</t>
  </si>
  <si>
    <t>Peso_Autonomía (diferencia porcentual)</t>
  </si>
  <si>
    <t>Reducción por E_i=0.75 vs 1.0</t>
  </si>
  <si>
    <t>Lectura: "La delegación al Patronato introduce una fricción de autonomía (E_i=0.75) que reduce la trazabilidad directa del GAD en ~25% respecto al escenario de ejecución directa."</t>
  </si>
  <si>
    <t>SECCIÓN 3 — ÍNDICE DE EFICIENCIA DIRECTIVA (IED) — RESUMEN POR PROCESO</t>
  </si>
  <si>
    <t>IED = ICPI calculado exclusivamente sobre las metas de cada unidad administrativa</t>
  </si>
  <si>
    <t>Unidad / Dirección</t>
  </si>
  <si>
    <t>N° Metas</t>
  </si>
  <si>
    <t>IED (%)</t>
  </si>
  <si>
    <t>Nivel AVEP</t>
  </si>
  <si>
    <t>Escenarios Predominantes</t>
  </si>
  <si>
    <t>Oportunidad Principal</t>
  </si>
  <si>
    <t>B y C predominan</t>
  </si>
  <si>
    <t>Publicar documentos LOTAIP en SERCOP y eSIGEF</t>
  </si>
  <si>
    <t>A y B</t>
  </si>
  <si>
    <t>Completar actas de entrega LOTAIP</t>
  </si>
  <si>
    <t>Dir. Cultura / Deporte</t>
  </si>
  <si>
    <t>⭐ Proceso Ejemplar</t>
  </si>
  <si>
    <t>A predomina</t>
  </si>
  <si>
    <t>Replicar modelo de trazabilidad en otras unidades</t>
  </si>
  <si>
    <t>✅ Proceso Sólido</t>
  </si>
  <si>
    <t>Mantener y monitorear continuidad</t>
  </si>
  <si>
    <t>Dir. Social / Gestión Social</t>
  </si>
  <si>
    <t>🔶 Proceso con Brechas</t>
  </si>
  <si>
    <t>B y C</t>
  </si>
  <si>
    <t>Completar publicación LOTAIP en contratos</t>
  </si>
  <si>
    <t>✅ Proceso en Desarrollo</t>
  </si>
  <si>
    <t>Publicar informe final de cumplimiento</t>
  </si>
  <si>
    <t>Mantener cadencia de publicación</t>
  </si>
  <si>
    <t>🔴 Oportunidad Crítica</t>
  </si>
  <si>
    <t>D y C</t>
  </si>
  <si>
    <t>Formalizar en POA + completar proceso contractual</t>
  </si>
  <si>
    <t>NOTA: "El IED no evalúa personas, evalúa procesos. Un IED bajo indica que los flujos administrativos del proceso requieren fortalecimiento, no que el equipo humano sea ineficiente."</t>
  </si>
  <si>
    <t>H16 — ITAM: ÍNDICE DE TRANSPARENCIA ACTIVA MUNICIPAL — Cumplimiento LOTAIP Art. 7 por Meta</t>
  </si>
  <si>
    <t>ITAM produce los datos que el Dashboard TAC comunica al ciudadano. Son complementarios: ITAM es interno, TAC es ciudadano.</t>
  </si>
  <si>
    <t>Cédulas/RUC (a1)</t>
  </si>
  <si>
    <t>Fichas POA (a4)</t>
  </si>
  <si>
    <t>Contratos/Procesos (k)</t>
  </si>
  <si>
    <t>Actas Entrega</t>
  </si>
  <si>
    <t>Docs_Requeridos</t>
  </si>
  <si>
    <t>Docs_Accesibles</t>
  </si>
  <si>
    <t>ITAM_Meta_%</t>
  </si>
  <si>
    <t>Nivel_ITAM</t>
  </si>
  <si>
    <t>V_LOTAIP_Final</t>
  </si>
  <si>
    <t>Recomendación</t>
  </si>
  <si>
    <t>Publicar contrato y acta de entrega-recepción en portal LOTAIP</t>
  </si>
  <si>
    <t>Publicar resolución de proceso desierto y reformulación</t>
  </si>
  <si>
    <t>Publicar resolución de cancelación y estado actual</t>
  </si>
  <si>
    <t>✅ Trazabilidad documental completa — mantener</t>
  </si>
  <si>
    <t>Roto (404)</t>
  </si>
  <si>
    <t>Reparar enlace contrato y publicar acta recepción</t>
  </si>
  <si>
    <t>Publicar resolución SERCOP desierto y plan alternativo</t>
  </si>
  <si>
    <t>Publicar acta de entrega de equipos educativos</t>
  </si>
  <si>
    <t>Publicar resolución de proceso desierto y acciones</t>
  </si>
  <si>
    <t>✅ Trazabilidad completa — replicar en otras metas</t>
  </si>
  <si>
    <t>Reemplazar acta ilegible con versión escaneada legible</t>
  </si>
  <si>
    <t>✅ Documentación completa — verificar coherencia unidades SIGAD</t>
  </si>
  <si>
    <t>✅ Trazabilidad completa — modelo de buenas prácticas</t>
  </si>
  <si>
    <t>Reparar enlace acta recepción catastro predial</t>
  </si>
  <si>
    <t>✅ Transparencia LOTAIP completa — coherente con mandato</t>
  </si>
  <si>
    <t>Publicar informe final de plantación y geo-referenciación</t>
  </si>
  <si>
    <t>✅ Trazabilidad completa en vialidad parroquial</t>
  </si>
  <si>
    <t>Incorporar meta a POA y publicar plan de atención adulto mayor</t>
  </si>
  <si>
    <t>✅ Sistema recaudación con documentación completa</t>
  </si>
  <si>
    <t>Publicar avance de estudios y diseño de planta tratamiento</t>
  </si>
  <si>
    <t>ITAM GLOBAL (ponderado por P_i)</t>
  </si>
  <si>
    <t>Nivel ITAM Global</t>
  </si>
  <si>
    <t>Lectura: "El ITAM global de ~62% indica que más de la mitad del presupuesto estratégico carece de documentación LOTAIP completa y accesible. Esta es la principal causa de V_i=0 en metas con ejecución real. La regularización documental es la palanca de mejora más eficiente del ICPI."</t>
  </si>
  <si>
    <t>H17 — ANÁLISIS DE SENSIBILIDAD DELTA-ICPI: ¿Qué metas, si se mejoran, más elevan el ICPI?</t>
  </si>
  <si>
    <t>Ordena metas por su potencial de mejora. ΔICPI_Doc = si V_i→1 (publicación LOTAIP) | ΔICPI_Max = si además T_i→1 (ejecución completa)</t>
  </si>
  <si>
    <t>Descripción Corta</t>
  </si>
  <si>
    <t>Vi Actual</t>
  </si>
  <si>
    <t>Ti Actual</t>
  </si>
  <si>
    <t>ICPI_Individual_%</t>
  </si>
  <si>
    <t>ΔICPI_Documental (V_i→1)</t>
  </si>
  <si>
    <t>ΔICPI_Máximo (V_i→1, T_i→1)</t>
  </si>
  <si>
    <t>Nivel_Prioridad</t>
  </si>
  <si>
    <t>Tipo_Mejora</t>
  </si>
  <si>
    <t>Recomendación Específica</t>
  </si>
  <si>
    <t>🔴 Prioridad Crítica</t>
  </si>
  <si>
    <t>Ejecutiva</t>
  </si>
  <si>
    <t>Completar proceso contractual válido (SERCOP) y devengado</t>
  </si>
  <si>
    <t>Publicar estudios/diseños; acelerar devengado en Q1 2025</t>
  </si>
  <si>
    <t>Documental + Ejecutiva</t>
  </si>
  <si>
    <t>Publicar resolución y reformular proceso contractual Q1 2025</t>
  </si>
  <si>
    <t>🟡 Prioridad Media</t>
  </si>
  <si>
    <t>Revisar si meta puede reformularse con menor presupuesto; publicar resolución SERCOP</t>
  </si>
  <si>
    <t>Retomar proceso contractual cancelado; revisar modalidad EP</t>
  </si>
  <si>
    <t>Mantenimiento</t>
  </si>
  <si>
    <t>✅ Meta con alta ejecución — publicar documentación LOTAIP para certificar</t>
  </si>
  <si>
    <t>Evaluar viabilidad de retomar proceso; publicar estado actual</t>
  </si>
  <si>
    <t>🟢 Marginal</t>
  </si>
  <si>
    <t>Publicar contrato y acta entrega en portal LOTAIP</t>
  </si>
  <si>
    <t>✅ Meta certificada — mantener prácticas</t>
  </si>
  <si>
    <t>Incorporar urgentemente al POA e iniciar proceso SERCOP Q1 2025</t>
  </si>
  <si>
    <t>⚠️ Verificar coherencia entre unidad PDOT y unidad SIGAD reportada</t>
  </si>
  <si>
    <t>✅ En ejecución — completar documentación al cierre</t>
  </si>
  <si>
    <t>Reparar enlace acta recepción catastro en portal LOTAIP</t>
  </si>
  <si>
    <t>Equipamiento edu</t>
  </si>
  <si>
    <t>Publicar acta de entrega de equipos en portal LOTAIP</t>
  </si>
  <si>
    <t>Publicar informe final reforestación con evidencia georreferenciada</t>
  </si>
  <si>
    <t>✅ Meta certificada — vialidad parroquial completa</t>
  </si>
  <si>
    <t>✅ Meta certificada — modernización financiera</t>
  </si>
  <si>
    <t>✅ Meta certificada — modelo de referencia</t>
  </si>
  <si>
    <t>✅ Meta certificada — identidad cultural Montecristi</t>
  </si>
  <si>
    <t>Transparencia</t>
  </si>
  <si>
    <t>✅ Meta certificada — estándar de transparencia</t>
  </si>
  <si>
    <t>💡 INSIGHT PRINCIPAL:</t>
  </si>
  <si>
    <t>Si el GAD regulariza documentación LOTAIP de las metas con Prioridad Crítica (PDOT-002, PDOT-020, PDOT-009), el ICPI podría subir de 41% a ~58% solo completando publicación documental sin necesidad de ejecutar más presupuesto.</t>
  </si>
  <si>
    <t>H18 — TABLERO DE MEJORA CONTINUA POR PROCESO — Índice de Eficiencia Directiva (IED)</t>
  </si>
  <si>
    <t>Identifica oportunidades de fortalecimiento institucional por unidad administrativa. El IED evalúa procesos, no personas.</t>
  </si>
  <si>
    <t>Metas</t>
  </si>
  <si>
    <t>Semáforo</t>
  </si>
  <si>
    <t>🟡</t>
  </si>
  <si>
    <t>⚠️ Proceso con Brechas</t>
  </si>
  <si>
    <t>B y C predominan (falta SERCOP válido o LOTAIP)</t>
  </si>
  <si>
    <t>Fortalecer publicación en portal SERCOP y LOTAIP</t>
  </si>
  <si>
    <t>🔴</t>
  </si>
  <si>
    <t>C predomina (planificado sin proceso)</t>
  </si>
  <si>
    <t>Completar procesos contractuales y publicar actas</t>
  </si>
  <si>
    <t>🟢</t>
  </si>
  <si>
    <t>A predomina (trazabilidad completa)</t>
  </si>
  <si>
    <t>Replicar modelo en otras unidades del GAD</t>
  </si>
  <si>
    <t>Mantener y monitorear continuidad documental</t>
  </si>
  <si>
    <t>🔶 Gestión con Brechas</t>
  </si>
  <si>
    <t>Completar publicación LOTAIP en contratos ejecutados</t>
  </si>
  <si>
    <t>B (ejecutó, parcial LOTAIP)</t>
  </si>
  <si>
    <t>Publicar informe final de reforestación</t>
  </si>
  <si>
    <t>A (trazabilidad completa)</t>
  </si>
  <si>
    <t>Mantener ritmo de publicación documental</t>
  </si>
  <si>
    <t>🔴 Proceso Crítico</t>
  </si>
  <si>
    <t>D y C (sin POA, sin proceso)</t>
  </si>
  <si>
    <t>Formalizar en POA urgente + iniciar SERCOP Q1 2025</t>
  </si>
  <si>
    <t>ESCALA DE REFERENCIA IED</t>
  </si>
  <si>
    <t>Rango IED</t>
  </si>
  <si>
    <t>95-100%</t>
  </si>
  <si>
    <t>⭐ Proceso Ejemplar — replicar prácticas</t>
  </si>
  <si>
    <t>Compartir metodología con otras unidades</t>
  </si>
  <si>
    <t>85-94%</t>
  </si>
  <si>
    <t>✅ Proceso Sólido — mantener y monitorear</t>
  </si>
  <si>
    <t>Monitoreo mensual de continuidad</t>
  </si>
  <si>
    <t>70-84%</t>
  </si>
  <si>
    <t>✅ Proceso en Desarrollo — fortalecimiento puntual</t>
  </si>
  <si>
    <t>Completar elementos documentales faltantes</t>
  </si>
  <si>
    <t>55-69%</t>
  </si>
  <si>
    <t>⚠️ Proceso con Brechas — intervención focalizada</t>
  </si>
  <si>
    <t>Plan de mejora con indicadores y plazos</t>
  </si>
  <si>
    <t>&lt;55%</t>
  </si>
  <si>
    <t>🔴 Proceso Crítico — rediseño de flujos recomendado</t>
  </si>
  <si>
    <t>Intervención inmediata y acompañamiento técnico</t>
  </si>
  <si>
    <t>⚠️ NOTA METODOLÓGICA IMPORTANTE:</t>
  </si>
  <si>
    <t>"El IED no evalúa personas, evalúa procesos. Un IED bajo indica que los flujos administrativos del proceso requieren fortalecimiento, no que el equipo humano sea ineficiente. La trazabilidad documental depende de sistemas y protocolos institucionales, no solo del esfuerzo individual."</t>
  </si>
  <si>
    <t>Sistema preventivo. Identifica brechas en flujos de proceso para fortalecimiento institucional proactivo.</t>
  </si>
  <si>
    <t>SECCIÓN 1 — RESUMEN EJECUTIVO IED POR UNIDAD</t>
  </si>
  <si>
    <t>N°Metas</t>
  </si>
  <si>
    <t>IED%</t>
  </si>
  <si>
    <t>V_i Promedio</t>
  </si>
  <si>
    <t>T_i Promedio</t>
  </si>
  <si>
    <t>Metas Escenario A</t>
  </si>
  <si>
    <t>Metas Escenario B/C/D</t>
  </si>
  <si>
    <t>🔶 Proceso con Brechas Profundas</t>
  </si>
  <si>
    <t>🔴 Proceso Crítico Urgente</t>
  </si>
  <si>
    <t>SECCIÓN 2 — DETALLE POR META Y ESCENARIO DE TRAZABILIDAD</t>
  </si>
  <si>
    <t>Diagnóstico</t>
  </si>
  <si>
    <t>Trazabilidad completa — proceso ejemplar</t>
  </si>
  <si>
    <t>Mantener cadencia documental</t>
  </si>
  <si>
    <t>Trazabilidad completa</t>
  </si>
  <si>
    <t>Alta ejecución, publicar docs LOTAIP</t>
  </si>
  <si>
    <t>Publicar contrato y acta entrega en LOTAIP</t>
  </si>
  <si>
    <t>Proceso desierto, mínimo devengado</t>
  </si>
  <si>
    <t>Reformular proceso contractual Q1 2025</t>
  </si>
  <si>
    <t>Proceso desierto — sin contrato válido</t>
  </si>
  <si>
    <t>Relanzar proceso SERCOP con nuevo diseño</t>
  </si>
  <si>
    <t>Proceso existe, sin ejecución real</t>
  </si>
  <si>
    <t>Acelerar devengado — está en año 1 del ciclo</t>
  </si>
  <si>
    <t>Meta certificada — transparencia completa</t>
  </si>
  <si>
    <t>Mantener 4 informes anuales</t>
  </si>
  <si>
    <t>Ejecutó, falta acta LOTAIP</t>
  </si>
  <si>
    <t>Publicar acta entrega equipos Q4 2024</t>
  </si>
  <si>
    <t>Falta acta LOTAIP reparable</t>
  </si>
  <si>
    <t>Reparar enlace acta recepción sistema catastro</t>
  </si>
  <si>
    <t>Proceso desierto — revisar MOM-II</t>
  </si>
  <si>
    <t>Reformular meta y proceso con IESS/MSP</t>
  </si>
  <si>
    <t>Dir. Cultura/Deporte</t>
  </si>
  <si>
    <t>Trazabilidad completa — modelo de referencia</t>
  </si>
  <si>
    <t>Compartir metodología con Dir. Obras</t>
  </si>
  <si>
    <t>Trazabilidad completa — identidad cultural</t>
  </si>
  <si>
    <t>Documentar modelo para replicación</t>
  </si>
  <si>
    <t>En ejecución, documentación parcial</t>
  </si>
  <si>
    <t>Completar documentos al cierre del contrato</t>
  </si>
  <si>
    <t>Ejecutó sin LOTAIP completo</t>
  </si>
  <si>
    <t>Publicar contrato rehabilitación en LOTAIP</t>
  </si>
  <si>
    <t>Proceso cancelado — sin devengado</t>
  </si>
  <si>
    <t>Evaluar reactivación guardería Q1 2025</t>
  </si>
  <si>
    <t>Ejecutó plantación, falta informe final</t>
  </si>
  <si>
    <t>Publicar georeferenciación y evidencia fotográfica</t>
  </si>
  <si>
    <t>Trazabilidad completa — sistema funcional</t>
  </si>
  <si>
    <t>Mantener publicaciones de reportes</t>
  </si>
  <si>
    <t>Docs presentes pero unidades inconsistentes</t>
  </si>
  <si>
    <t>Verificar y reconciliar unidad SIGAD con PDOT</t>
  </si>
  <si>
    <t>Sin POA, sin SERCOP, sin devengado</t>
  </si>
  <si>
    <t>Incorporar urgentemente al POA 2025</t>
  </si>
  <si>
    <t>SECCIÓN 3 — PLAN DE FORTALECIMIENTO (Unidades con IED &lt; 70%)</t>
  </si>
  <si>
    <t>Causa Raíz</t>
  </si>
  <si>
    <t>Escenario Predominante</t>
  </si>
  <si>
    <t>Plazo</t>
  </si>
  <si>
    <t>Indicador de Mejora</t>
  </si>
  <si>
    <t>Contratos adjudicados sin publicación LOTAIP completa; procesos SERCOP desiertos sin reformulación</t>
  </si>
  <si>
    <t>1) Publicar contratos PDOT-001 en LOTAIP Q4 2024; 2) Relanzar SERCOP PDOT-009 Q1 2025; 3) Acelerar devengado PDOT-020</t>
  </si>
  <si>
    <t>Q4 2024 – Q1 2025</t>
  </si>
  <si>
    <t>IED &gt; 65% al C1 2025</t>
  </si>
  <si>
    <t>Meta PDOT-006 con proceso desierto; falta actas LOTAIP en dos metas</t>
  </si>
  <si>
    <t>C y B</t>
  </si>
  <si>
    <t>1) Publicar acta PDOT-007 y reparar enlace PDOT-014; 2) Reformular PDOT-006 con MS/IESS</t>
  </si>
  <si>
    <t>Q4 2024</t>
  </si>
  <si>
    <t>IED &gt; 55% al C1 2025</t>
  </si>
  <si>
    <t>Metas con ejecución parcial sin documentación; PDOT-008 cancelada</t>
  </si>
  <si>
    <t>1) Publicar contrato PDOT-005 en LOTAIP; 2) Evaluar reactivación PDOT-008 o reformulación</t>
  </si>
  <si>
    <t>Q1 2025</t>
  </si>
  <si>
    <t>IED &gt; 50% al C1 2025</t>
  </si>
  <si>
    <t>PDOT-018 ausente del POA; inconsistencia indicadores PDOT-012</t>
  </si>
  <si>
    <t>D y A*</t>
  </si>
  <si>
    <t>1) Incorporar PDOT-018 al POA 2025 urgente; 2) Reconciliar unidad medida PDOT-012 con SIGAD</t>
  </si>
  <si>
    <t>Inmediato</t>
  </si>
  <si>
    <t>IED &gt; 25% al C1 2025; PDOT-018 en POA</t>
  </si>
  <si>
    <t>SECCIÓN 4 — CERTIFICACIÓN DE PROCESOS EFICIENTES (IED ≥ 85%)</t>
  </si>
  <si>
    <t>Unidades con IED ≥ 85% reciben certificación algorítmica de trazabilidad:</t>
  </si>
  <si>
    <t>Certificación</t>
  </si>
  <si>
    <t>✅ Certificado — Trazabilidad Plena. Esta evidencia objetiva respalda la gestión ante cualquier proceso de revisión institucional.</t>
  </si>
  <si>
    <t>✅ Certificado — Trazabilidad Sólida. El proceso cumple estándares de accountability algorítmico del SIAP-ICPI.</t>
  </si>
  <si>
    <t>SECCIÓN 5 — NOTA METODOLÓGICA: C_i y E_i</t>
  </si>
  <si>
    <t>C_i (Índice de Responsabilidad): Pondera si la responsabilidad de la meta es única (C_i=1.0), compartida con otra institución (C_i=0.9) o difusa entre múltiples actores (C_i=0.75). Una responsabilidad compartida reduce la trazabilidad directa del GAD.</t>
  </si>
  <si>
    <t>E_i (Índice de Modalidad de Ejecución): Refleja si el GAD ejecuta directamente (E_i=1.0), en convenio con otra institución (E_i=0.9) o a través de empresa pública/patronato delegado (E_i=0.75). La delegación introduce una capa adicional de complejidad en el seguimiento documental.</t>
  </si>
  <si>
    <t>Ambos índices son descriptivos del contexto institucional, no punitivos. Un E_i=0.75 no implica ineficiencia sino mayor complejidad de coordinación en el flujo documental.</t>
  </si>
  <si>
    <t>H20 — CONTROL DE AVANCE MENSUAL — Curva S Logística vs Ejecución Real (20 metas × 12 meses)</t>
  </si>
  <si>
    <t>Curva S: T_esperado = 1/(1+EXP(-0.5*(Mes-6))) | Semáforo: 🟢 ≥90% esperado | 🟡 70-89% | 🔴 &lt;70%</t>
  </si>
  <si>
    <t>Mes_Num</t>
  </si>
  <si>
    <t>Mes_Nombre</t>
  </si>
  <si>
    <t>T_i_Esperado_CurvaS</t>
  </si>
  <si>
    <t>T_i_Real_Simulado</t>
  </si>
  <si>
    <t>Desviación</t>
  </si>
  <si>
    <t>Alerta_Temprana</t>
  </si>
  <si>
    <t>Enero</t>
  </si>
  <si>
    <t>Febrero</t>
  </si>
  <si>
    <t>Marzo</t>
  </si>
  <si>
    <t>Abril</t>
  </si>
  <si>
    <t>Mayo</t>
  </si>
  <si>
    <t>Junio</t>
  </si>
  <si>
    <t>Julio</t>
  </si>
  <si>
    <t>Agosto</t>
  </si>
  <si>
    <t>Septiembre</t>
  </si>
  <si>
    <t>Octubre</t>
  </si>
  <si>
    <t>Noviembre</t>
  </si>
  <si>
    <t>Diciembre</t>
  </si>
  <si>
    <t>⚠️ Revisar avance cuatrimestral</t>
  </si>
  <si>
    <t>PARÁMETROS CURVA S (ajustables):</t>
  </si>
  <si>
    <t>Coeficiente:</t>
  </si>
  <si>
    <t>Punto de inflexión (mes):</t>
  </si>
  <si>
    <t>RESUMEN MES 12 (CIERRE ANUAL):</t>
  </si>
  <si>
    <t>T_i_Final_Real</t>
  </si>
  <si>
    <t>T_i_CurvaS_Final</t>
  </si>
  <si>
    <t>ICPI_Contribution_%</t>
  </si>
  <si>
    <t>🟡 Parcial</t>
  </si>
  <si>
    <t>🔴 Déficit</t>
  </si>
  <si>
    <t>🟢 Cumplido</t>
  </si>
  <si>
    <t>H21 — EVALUACIÓN CUATRIMESTRAL: C1 (30-abr) | C2 (31-ago) | C3 (31-dic) — Ciclo Presupuestario Ecuatoriano</t>
  </si>
  <si>
    <t>Alineado con ciclo presupuestario ecuatoriano. Reformas presupuestarias típicas: mayo y septiembre.</t>
  </si>
  <si>
    <t>Descripción_Corta</t>
  </si>
  <si>
    <t>Nivel_Estrés</t>
  </si>
  <si>
    <t>C1_Ti_Abr</t>
  </si>
  <si>
    <t>C1_Vi</t>
  </si>
  <si>
    <t>C1_ICPI_i%</t>
  </si>
  <si>
    <t>C2_Ti_Ago</t>
  </si>
  <si>
    <t>C2_Vi</t>
  </si>
  <si>
    <t>C2_ICPI_i%</t>
  </si>
  <si>
    <t>C3_Ti_Dic</t>
  </si>
  <si>
    <t>C3_Vi</t>
  </si>
  <si>
    <t>C3_ICPI_i%</t>
  </si>
  <si>
    <t>Tendencia</t>
  </si>
  <si>
    <t>Proyección_Cierre</t>
  </si>
  <si>
    <t>↑↑ Mejora sostenida</t>
  </si>
  <si>
    <t>✅ Alcanzará objetivo</t>
  </si>
  <si>
    <t>🔴 En riesgo</t>
  </si>
  <si>
    <t>→ Estable</t>
  </si>
  <si>
    <t>⚠️ Puede alcanzar</t>
  </si>
  <si>
    <t>Malecón costero</t>
  </si>
  <si>
    <t>ICPI GLOBAL POR CORTE CUATRIMESTRAL</t>
  </si>
  <si>
    <t>Corte</t>
  </si>
  <si>
    <t>ICPI Global %</t>
  </si>
  <si>
    <t>Señal Principal</t>
  </si>
  <si>
    <t>C1 (Abr)</t>
  </si>
  <si>
    <t>Metas grandes sin devengado significativo al Q1</t>
  </si>
  <si>
    <t>C2 (Ago)</t>
  </si>
  <si>
    <t>31/08/2024</t>
  </si>
  <si>
    <t>Metas Nivel2 empiezan a contribuir; Nivel3 sin avance</t>
  </si>
  <si>
    <t>C3 (Dic)</t>
  </si>
  <si>
    <t>ICPI final — brechas documentales son el factor limitante</t>
  </si>
  <si>
    <t>⚠️ SEÑALES DE ATENCIÓN TEMPRANA POR CORTE:</t>
  </si>
  <si>
    <t>Metas con T_i &lt; 30% al C1 y P_i &gt; 5% requieren revisión de proceso contractual antes del C2. Metas grandes PDOT-001 y PDOT-020 deben monitorear devengado mensual.</t>
  </si>
  <si>
    <t>H22 — EVALUACIÓN ANUAL FINAL 2024 — Cierre Definitivo 31 de Diciembre</t>
  </si>
  <si>
    <t>GAD Municipal de Montecristi | Período PDOT 2023-2027 | Año Fiscal 2024</t>
  </si>
  <si>
    <t>SECCIÓN 1 — RESULTADO ICPI GLOBAL FINAL 2024</t>
  </si>
  <si>
    <t>ICPI GLOBAL 2024</t>
  </si>
  <si>
    <t>⚠️ Transición Crítica (40-69%)</t>
  </si>
  <si>
    <t>ICM SIGAD Reportado</t>
  </si>
  <si>
    <t>Clasificación Brecha</t>
  </si>
  <si>
    <t>🔴 Brecha Crítica (&gt;50pp)</t>
  </si>
  <si>
    <t>Metas con V_i=1 (trazables)</t>
  </si>
  <si>
    <t>Presupuesto certificado</t>
  </si>
  <si>
    <t>$5,619,500 de $9,525,000 (59.0%)</t>
  </si>
  <si>
    <t>SECCIÓN 2 — ANÁLISIS BRECHA ICM-ICPI POR NIVEL DE ESTRÉS</t>
  </si>
  <si>
    <t>ICPI_Nivel%</t>
  </si>
  <si>
    <t>Acción 2025</t>
  </si>
  <si>
    <t>Nivel 1 — Trazabilidad Plena</t>
  </si>
  <si>
    <t>PDOT-004,010,013,015,017,019</t>
  </si>
  <si>
    <t>Metas modelo con ciclo documental íntegro</t>
  </si>
  <si>
    <t>Replicar prácticas al resto del portafolio</t>
  </si>
  <si>
    <t>Nivel 2 — Brecha Documental Recuperable</t>
  </si>
  <si>
    <t>PDOT-001,005,007,011,014,016</t>
  </si>
  <si>
    <t>Ejecutaron pero LOTAIP incompleto — recuperable</t>
  </si>
  <si>
    <t>Publicar documentos faltantes antes del C1 2025</t>
  </si>
  <si>
    <t>Nivel 3 — Falla Sistémica de Proceso</t>
  </si>
  <si>
    <t>PDOT-002,003,006,008,009,020</t>
  </si>
  <si>
    <t>Sin proceso contractual válido o devengado nulo</t>
  </si>
  <si>
    <t>Reformulación POA 2025 + nuevos procesos SERCOP</t>
  </si>
  <si>
    <t>Nivel 4 — Patrones MOM Activos</t>
  </si>
  <si>
    <t>PDOT-012, PDOT-018</t>
  </si>
  <si>
    <t>MOM-III (inflación unidades) y MOM-I (sin POA)</t>
  </si>
  <si>
    <t>Verificar indicadores + incorporar al POA urgente</t>
  </si>
  <si>
    <t>SECCIÓN 3 — ICPI POR EJE ESTRATÉGICO</t>
  </si>
  <si>
    <t>Eje</t>
  </si>
  <si>
    <t>Peso Presup %</t>
  </si>
  <si>
    <t>ICPI_Eje%</t>
  </si>
  <si>
    <t>Observación</t>
  </si>
  <si>
    <t>AS — Ambiental Sostenible</t>
  </si>
  <si>
    <t>Agua, alcantarillado, desechos, ambiente</t>
  </si>
  <si>
    <t>Metas más pesadas en presupuesto con mayor brecha</t>
  </si>
  <si>
    <t>EC — Económico Productivo</t>
  </si>
  <si>
    <t>Mercado, malecón, artesanos</t>
  </si>
  <si>
    <t>✅</t>
  </si>
  <si>
    <t>Trazabilidad relativamente buena en sector productivo</t>
  </si>
  <si>
    <t>SC — Social e Inclusivo</t>
  </si>
  <si>
    <t>Salud, educación, deporte, bienestar</t>
  </si>
  <si>
    <t>⚠️</t>
  </si>
  <si>
    <t>Mixto: parque y capacitación bien; guardería y adultos mayor mal</t>
  </si>
  <si>
    <t>OT — Ordenamiento Territorial</t>
  </si>
  <si>
    <t>Vialidad, drenaje, catastro</t>
  </si>
  <si>
    <t>Vialidad urbana y bacheo bien; drenaje pluvial sin proceso</t>
  </si>
  <si>
    <t>PI — Político Institucional</t>
  </si>
  <si>
    <t>Transparencia, catastro, recaudación</t>
  </si>
  <si>
    <t>Mejor ICPI por Eje — gobernanza y transparencia fuerte</t>
  </si>
  <si>
    <t>SECCIÓN 4 — TOP 5 MAYOR ICPI (Certificadas) Y BOTTOM 5 MENOR ICPI (Oportunidades)</t>
  </si>
  <si>
    <t>Posición</t>
  </si>
  <si>
    <t>ICPI_Individual%</t>
  </si>
  <si>
    <t>🥇 1°</t>
  </si>
  <si>
    <t>🥇 2°</t>
  </si>
  <si>
    <t>Capacitación artesanos sombrero toquilla</t>
  </si>
  <si>
    <t>🥇 3°</t>
  </si>
  <si>
    <t>Fortalecimiento transparencia LOTAIP</t>
  </si>
  <si>
    <t>🥇 4°</t>
  </si>
  <si>
    <t>🥇 5°</t>
  </si>
  <si>
    <t>🔴 16°</t>
  </si>
  <si>
    <t>Nivel4 MOM-I</t>
  </si>
  <si>
    <t>🔴 17°</t>
  </si>
  <si>
    <t>🔴 18°</t>
  </si>
  <si>
    <t>🔴 19°</t>
  </si>
  <si>
    <t>🔴 20°</t>
  </si>
  <si>
    <t>Centro salud tipo C parroquia San Andrés</t>
  </si>
  <si>
    <t>SECCIÓN 5 — IFE FINAL: ÍNDICE DE FIDELIDAD ELECTORAL</t>
  </si>
  <si>
    <t>IFE Global</t>
  </si>
  <si>
    <t>⭐ Alta Fidelidad Electoral (≥85%)</t>
  </si>
  <si>
    <t>13 de 15 promesas electorales se tradujeron íntegramente al PDOT 2023-2027. 2 promesas con vinculación parcial (P-09, P-15).</t>
  </si>
  <si>
    <t>Conclusión</t>
  </si>
  <si>
    <t>El mandato ciudadano fue respetado en la planificación estratégica del GAD.</t>
  </si>
  <si>
    <t>SECCIÓN 6 — ITAM GLOBAL: TRANSPARENCIA ACTIVA MUNICIPAL</t>
  </si>
  <si>
    <t>ITAM Global Ponderado</t>
  </si>
  <si>
    <t>Medio ⚠️ — Oportunidad de mejora documental</t>
  </si>
  <si>
    <t>Causa Principal</t>
  </si>
  <si>
    <t>Contratos LOTAIP ausentes/rotos en metas Nivel2 y Nivel3 de mayor presupuesto</t>
  </si>
  <si>
    <t>Meta 2025</t>
  </si>
  <si>
    <t>Alcanzar ITAM &gt; 80% mediante protocolo mensual de publicación LOTAIP</t>
  </si>
  <si>
    <t>SECCIÓN 7 — SEÑALES MOM ACTIVADAS EN 2024</t>
  </si>
  <si>
    <t>⚠️ ACTIVA — Severidad Alta — ICM basado en 10.3% del presupuesto PDOT</t>
  </si>
  <si>
    <t>✅ SIN SEÑAL — POA mantuvo integridad documental</t>
  </si>
  <si>
    <t>⚠️ ACTIVA — Severidad Alta — PDOT-012: 8,295% cumplimiento vs 8% ejecución presupuestaria</t>
  </si>
  <si>
    <t>SECCIÓN 8 — RECOMENDACIONES PARA POA 2025</t>
  </si>
  <si>
    <t>N°</t>
  </si>
  <si>
    <t>Meta(s) Afectada(s)</t>
  </si>
  <si>
    <t>Indicador de Éxito</t>
  </si>
  <si>
    <t>R1</t>
  </si>
  <si>
    <t>Ampliar universo de metas reportadas en SIGAD al 100% del PDOT</t>
  </si>
  <si>
    <t>Todas las 20 metas</t>
  </si>
  <si>
    <t>Representatividad SIGAD &gt; 80%</t>
  </si>
  <si>
    <t>R2</t>
  </si>
  <si>
    <t>Implementar protocolo de publicación LOTAIP mensual por contrato</t>
  </si>
  <si>
    <t>PDOT-001,005,007,014,016</t>
  </si>
  <si>
    <t>ITAM &gt; 80% al C1 2025</t>
  </si>
  <si>
    <t>R3</t>
  </si>
  <si>
    <t>Verificar definición operativa de indicadores antes del inicio del ejercicio</t>
  </si>
  <si>
    <t>Ene 2025</t>
  </si>
  <si>
    <t>Coherencia entre unidad PDOT y SIGAD documentada</t>
  </si>
  <si>
    <t>R4</t>
  </si>
  <si>
    <t>Incorporar PDOT-018 al POA 2025 con proceso contractual SERCOP</t>
  </si>
  <si>
    <t>POA 2025 con PDOT-018 formalizado</t>
  </si>
  <si>
    <t>R5</t>
  </si>
  <si>
    <t>Relanzar procesos SERCOP para metas Nivel3 canceladas/desiertas</t>
  </si>
  <si>
    <t>PDOT-003,008,009</t>
  </si>
  <si>
    <t>Procesos SERCOP activos al C1 2025</t>
  </si>
  <si>
    <t>SECCIÓN 9 — PROYECCIÓN PDOT 2023-2027 (5 años)</t>
  </si>
  <si>
    <t>T_i promedio ponderado 2024</t>
  </si>
  <si>
    <t>0.47 (47% del presupuesto anual devengado)</t>
  </si>
  <si>
    <t>Proyección acumulada 2027 al ritmo actual</t>
  </si>
  <si>
    <t>47% × 4 años restantes = 188% del presupuesto PDOT → teóricamente completo con aceleración</t>
  </si>
  <si>
    <t>Observación crítica</t>
  </si>
  <si>
    <t>Los ejes AS y SC requieren aceleración significativa. Sin mejora en procesos SERCOP y publicación LOTAIP, el ICPI se mantendrá bajo.</t>
  </si>
  <si>
    <t>Meta ICPI para 2025</t>
  </si>
  <si>
    <t>Objetivo: ICPI &gt; 55% mediante regularización documental y nuevos procesos Q1</t>
  </si>
  <si>
    <t>Palanca de mayor impacto</t>
  </si>
  <si>
    <t>Regularizar LOTAIP en PDOT-001, PDOT-002, PDOT-020 elevaría ICPI a ~60% en 2025</t>
  </si>
  <si>
    <t>GAD Municipal de Montecristi — Año Fiscal 2024 — Para uso del Alcalde y Equipo Directivo</t>
  </si>
  <si>
    <t>← H01  |  → H24 Vista Ciudadana  |  → H22 Evaluación Anual</t>
  </si>
  <si>
    <t>━━━━━━━━━━━━━━━━━━━━━━━━━━━━━━━━━━━━━━━━━━━━━━━━━━━━━━━━━━━━━━━━━━━━━━━━━━━━━━━━━━━━━━━━━━━━━━━━━━━━━━━━━━━━</t>
  </si>
  <si>
    <t>PANEL 1 — INDICADORES CLAVE DE DESEMPEÑO (KPIs)</t>
  </si>
  <si>
    <t>ICM SIGAD REPORTADO</t>
  </si>
  <si>
    <t>BRECHA ICM-ICPI</t>
  </si>
  <si>
    <t>METAS TRAZABLES</t>
  </si>
  <si>
    <t>PANEL 2 — ICPI POR EJE ESTRATÉGICO</t>
  </si>
  <si>
    <t>ICPI%</t>
  </si>
  <si>
    <t>Peso Presupuestal</t>
  </si>
  <si>
    <t>PANEL 3 — TABLERO DE PROCESOS (IED por Dirección)</t>
  </si>
  <si>
    <t>Dirección/Unidad</t>
  </si>
  <si>
    <t>Proceso con Brechas</t>
  </si>
  <si>
    <t>Proceso con Brechas Profundas</t>
  </si>
  <si>
    <t>Proceso Ejemplar</t>
  </si>
  <si>
    <t>Proceso Sólido</t>
  </si>
  <si>
    <t>Proceso Crítico</t>
  </si>
  <si>
    <t>Proceso en Desarrollo</t>
  </si>
  <si>
    <t>Proceso Crítico Urgente</t>
  </si>
  <si>
    <t>PANEL 4 — TOP 5 METAS CERTIFICADAS Y TOP 5 OPORTUNIDADES</t>
  </si>
  <si>
    <t>🥇 METAS CERTIFICADAS</t>
  </si>
  <si>
    <t>PDOT-010 — Parque norte</t>
  </si>
  <si>
    <t>Nivel1 ⭐</t>
  </si>
  <si>
    <t>PDOT-013 — Artesanos toquilla</t>
  </si>
  <si>
    <t>PDOT-015 — Transparencia LOTAIP</t>
  </si>
  <si>
    <t>PDOT-017 — Bacheo parroquial</t>
  </si>
  <si>
    <t>PDOT-004 — Vialidad urbana</t>
  </si>
  <si>
    <t>🔴 PRINCIPALES OPORTUNIDADES DE MEJORA</t>
  </si>
  <si>
    <t>PDOT-018 — Adulto mayor (MOM-I)</t>
  </si>
  <si>
    <t>Nivel4 ⚠️</t>
  </si>
  <si>
    <t>PDOT-006 — Centro salud</t>
  </si>
  <si>
    <t>PDOT-008 — Guardería</t>
  </si>
  <si>
    <t>PDOT-009 — Drenaje pluvial</t>
  </si>
  <si>
    <t>PDOT-003 — Desechos sólidos</t>
  </si>
  <si>
    <t>PANEL 5 — SEÑALES DE ATENCIÓN TEMPRANA (MOM)</t>
  </si>
  <si>
    <t>⚠️ MOM-I ACTIVA</t>
  </si>
  <si>
    <t>Fragmentación Selectiva</t>
  </si>
  <si>
    <t>ICM 92% basado en 10.3% del presupuesto PDOT</t>
  </si>
  <si>
    <t>✅ MOM-II Sin señal</t>
  </si>
  <si>
    <t>Sustitución de Metas</t>
  </si>
  <si>
    <t>POA mantiene integridad documental</t>
  </si>
  <si>
    <t>⚠️ MOM-III ACTIVA</t>
  </si>
  <si>
    <t>Inflación de Unidades</t>
  </si>
  <si>
    <t>PDOT-012: 8,295% declarado vs 8% ejecución real</t>
  </si>
  <si>
    <t>PANEL 6 — IFE: FIDELIDAD AL MANDATO ELECTORAL</t>
  </si>
  <si>
    <t>IFE Global 2024</t>
  </si>
  <si>
    <t>13 de 15 promesas electorales en PDOT</t>
  </si>
  <si>
    <t>El mandato ciudadano fue respetado en planificación</t>
  </si>
  <si>
    <t>PANEL 7 — ICPI POR NIVEL DE ESTRÉS</t>
  </si>
  <si>
    <t>Nivel 2 — Brecha Documental</t>
  </si>
  <si>
    <t>Nivel 3 — Falla Sistémica</t>
  </si>
  <si>
    <t>Nivel 4 — Patrones MOM</t>
  </si>
  <si>
    <t>RENDICIÓN DE CUENTAS</t>
  </si>
  <si>
    <t>SSC – CONTROL SOCIAL</t>
  </si>
  <si>
    <t>TRANSPARENCIA LOTAIP</t>
  </si>
  <si>
    <t>80%+</t>
  </si>
  <si>
    <t>Índice SSC CPCCS</t>
  </si>
  <si>
    <t>Cumpl. Art.7 LOTAIP</t>
  </si>
  <si>
    <t>Participación · Transparencia · Rendición de Cuentas · Control Social  |  Art.100 CRE · LOTAIP · CPCCS</t>
  </si>
  <si>
    <t>▌ A. INDICADORES CLAVE DE ACCIÓN CIUDADANA (TAC)</t>
  </si>
  <si>
    <t>PRESENTADO</t>
  </si>
  <si>
    <t>RC Anual Obligatorio</t>
  </si>
  <si>
    <t>✓ Cumple | Obligatorio</t>
  </si>
  <si>
    <t>⚠ Bajo | Meta ≥ 3.0</t>
  </si>
  <si>
    <t>✓ Cumple | Meta ≥ 70%</t>
  </si>
  <si>
    <t xml:space="preserve"> </t>
  </si>
  <si>
    <t>▌ B. DESGLOSE POR DIMENSIÓN TAC</t>
  </si>
  <si>
    <t>DIMENSIÓN</t>
  </si>
  <si>
    <t>INSTRUMENTO LEGAL</t>
  </si>
  <si>
    <t>OBLIGACIÓN</t>
  </si>
  <si>
    <t>INDICADOR</t>
  </si>
  <si>
    <t>CUMPLIMIENTO</t>
  </si>
  <si>
    <t>ESTADO</t>
  </si>
  <si>
    <t>PUNTOS</t>
  </si>
  <si>
    <t>PONDERACIÓN</t>
  </si>
  <si>
    <t>APORTE TAC</t>
  </si>
  <si>
    <t>Participación Ciudadana</t>
  </si>
  <si>
    <t>Art. 100 CRE</t>
  </si>
  <si>
    <t>Silla Vacía / Audiencias</t>
  </si>
  <si>
    <t>Sesiones con participación</t>
  </si>
  <si>
    <t>✓ Cumple</t>
  </si>
  <si>
    <t>Rendición de Cuentas</t>
  </si>
  <si>
    <t>CPCCS / LOTAIP</t>
  </si>
  <si>
    <t>RC Anual obligatoria</t>
  </si>
  <si>
    <t>RC presentada a tiempo</t>
  </si>
  <si>
    <t>Acceso Información</t>
  </si>
  <si>
    <t>Art. 18 CRE / LOTAIP</t>
  </si>
  <si>
    <t>Publicación Art.7</t>
  </si>
  <si>
    <t>% cumpl. literal LOTAIP</t>
  </si>
  <si>
    <t>Control Social</t>
  </si>
  <si>
    <t>CPCCS</t>
  </si>
  <si>
    <t>Respuesta a observaciones</t>
  </si>
  <si>
    <t>Índice SSC</t>
  </si>
  <si>
    <t>⚠ Bajo</t>
  </si>
  <si>
    <t>Transparencia Activa</t>
  </si>
  <si>
    <t>LOTAIP Art.7</t>
  </si>
  <si>
    <t>Publicación página web</t>
  </si>
  <si>
    <t>% publicación ítems</t>
  </si>
  <si>
    <t>Veedurías Ciudadanas</t>
  </si>
  <si>
    <t>Atención veedurías</t>
  </si>
  <si>
    <t>N° veedurías atendidas</t>
  </si>
  <si>
    <t>TOTAL TAC</t>
  </si>
  <si>
    <t>▌ C. SEGUIMIENTO CRONOLÓGICO  –  ACCIÓN CIUDADANA 2024</t>
  </si>
  <si>
    <t>EVENTO / MECANISMO</t>
  </si>
  <si>
    <t>FECHA</t>
  </si>
  <si>
    <t>PARTICIPANTES</t>
  </si>
  <si>
    <t>RESULTADO</t>
  </si>
  <si>
    <t>DOCUMENTACIÓN</t>
  </si>
  <si>
    <t>Silla Vacía – Sesión Ordinaria</t>
  </si>
  <si>
    <t>Ene 2024</t>
  </si>
  <si>
    <t>28 ciudadanos</t>
  </si>
  <si>
    <t>Propuestas de vialidad</t>
  </si>
  <si>
    <t>Acta SO-001-2024</t>
  </si>
  <si>
    <t>✓</t>
  </si>
  <si>
    <t>Audiencia Pública – PDOT</t>
  </si>
  <si>
    <t>45 ciudadanos</t>
  </si>
  <si>
    <t>Observaciones al PDOT</t>
  </si>
  <si>
    <t>Informe RC-2024</t>
  </si>
  <si>
    <t>Rendición de Cuentas Anual</t>
  </si>
  <si>
    <t>Abr 2024</t>
  </si>
  <si>
    <t>67 asistentes</t>
  </si>
  <si>
    <t>RC aprobada CPCCS</t>
  </si>
  <si>
    <t>Informe CPCCS-2024</t>
  </si>
  <si>
    <t>Veeduría Ciudadana – Obras</t>
  </si>
  <si>
    <t>5 veedores</t>
  </si>
  <si>
    <t>3 observaciones</t>
  </si>
  <si>
    <t>Oficio V-001-2024</t>
  </si>
  <si>
    <t>15 ciudadanos</t>
  </si>
  <si>
    <t>Propuestas sociales</t>
  </si>
  <si>
    <t>Acta SO-009-2024</t>
  </si>
  <si>
    <t>Consulta Previa – Comunidades</t>
  </si>
  <si>
    <t>Comunidades</t>
  </si>
  <si>
    <t>En proceso</t>
  </si>
  <si>
    <t>Pendiente</t>
  </si>
  <si>
    <t>⏳</t>
  </si>
  <si>
    <t>▌ D. MARCO LEGAL TAC  –  BASE NORMATIVA</t>
  </si>
  <si>
    <t>NORMATIVA</t>
  </si>
  <si>
    <t>ARTÍCULO</t>
  </si>
  <si>
    <t>MECANISMO</t>
  </si>
  <si>
    <t>FRECUENCIA</t>
  </si>
  <si>
    <t>RESPONSABLE</t>
  </si>
  <si>
    <t>Constitución CRE</t>
  </si>
  <si>
    <t>Art. 100</t>
  </si>
  <si>
    <t>Participación ciudadana</t>
  </si>
  <si>
    <t>Silla Vacía / Cabildos</t>
  </si>
  <si>
    <t>Permanente</t>
  </si>
  <si>
    <t>Secretaría General</t>
  </si>
  <si>
    <t>COOTAD</t>
  </si>
  <si>
    <t>Art. 311</t>
  </si>
  <si>
    <t>Informe Anual CPCCS</t>
  </si>
  <si>
    <t>Anual</t>
  </si>
  <si>
    <t>Alcaldía / CPCCS</t>
  </si>
  <si>
    <t>LOTAIP</t>
  </si>
  <si>
    <t>Art. 7</t>
  </si>
  <si>
    <t>Transparencia activa</t>
  </si>
  <si>
    <t>Mensual</t>
  </si>
  <si>
    <t>Secretaría TICs</t>
  </si>
  <si>
    <t>Reglamento</t>
  </si>
  <si>
    <t>Veedurías / SSC</t>
  </si>
  <si>
    <t>Según solicitud</t>
  </si>
  <si>
    <t>CPCCS / GAD</t>
  </si>
  <si>
    <t>LOPC</t>
  </si>
  <si>
    <t>Art. 77</t>
  </si>
  <si>
    <t>Consulta Previa</t>
  </si>
  <si>
    <t>Talleres participativos</t>
  </si>
  <si>
    <t>Según proyecto</t>
  </si>
  <si>
    <t>▌ E. RECOMENDACIONES  –  FORTALECIMIENTO TAC</t>
  </si>
  <si>
    <t>ÁREA DE MEJORA</t>
  </si>
  <si>
    <t>INDICADOR BAJO</t>
  </si>
  <si>
    <t>RECOMENDACIÓN</t>
  </si>
  <si>
    <t>PLAZO</t>
  </si>
  <si>
    <t>PRIORIDAD</t>
  </si>
  <si>
    <t>SSC 2.85% &lt; 3.0</t>
  </si>
  <si>
    <t>Implementar protocolo de atención y respuesta a observaciones ciudadanas dentro de 15 días hábiles</t>
  </si>
  <si>
    <t>🔴 ALTA</t>
  </si>
  <si>
    <t>Proceso incompleto</t>
  </si>
  <si>
    <t>Completar talleres y documentar acuerdo con comunidades antes de inicio de obras</t>
  </si>
  <si>
    <t>Art.7 faltantes</t>
  </si>
  <si>
    <t>Actualizar mensualmente los 24 ítems LOTAIP en el portal web institucional</t>
  </si>
  <si>
    <t>🟡 MEDIA</t>
  </si>
  <si>
    <t>Participación</t>
  </si>
  <si>
    <t>Asistencia baja</t>
  </si>
  <si>
    <t>Difundir sesiones de Silla Vacía con 15 días de anticipación por redes sociales</t>
  </si>
  <si>
    <t>GAD Municipal  |  Período de Evaluación: 2024  |  Índice ICPI Resultante: 41.24%</t>
  </si>
  <si>
    <t>▌ 1. ÍNDICES MAESTROS DEL SISTEMA SIAP-ICPI</t>
  </si>
  <si>
    <t>Índice ICPI Global</t>
  </si>
  <si>
    <t>Meta: ≥ 60%</t>
  </si>
  <si>
    <t>Transparencia y Acceso</t>
  </si>
  <si>
    <t>Fortalecimiento Institucional</t>
  </si>
  <si>
    <t>Meta: ≥ 80%</t>
  </si>
  <si>
    <t>SSC</t>
  </si>
  <si>
    <t>Control Social Ciudadano</t>
  </si>
  <si>
    <t>Meta: ≥ 3.0</t>
  </si>
  <si>
    <t>Eficiencia Directiva Obras</t>
  </si>
  <si>
    <t>Meta: ≥ 70%</t>
  </si>
  <si>
    <t>Acción Ciudadana</t>
  </si>
  <si>
    <t>▌ 2. EJECUCIÓN PRESUPUESTARIA CONSOLIDADA</t>
  </si>
  <si>
    <t>COMPONENTE</t>
  </si>
  <si>
    <t>PRESUPUESTO ($)</t>
  </si>
  <si>
    <t>DEVENGADO ($)</t>
  </si>
  <si>
    <t>% EJEC.</t>
  </si>
  <si>
    <t>CUATRIMESTRE</t>
  </si>
  <si>
    <t>TENDENCIA</t>
  </si>
  <si>
    <t>Obras Públicas</t>
  </si>
  <si>
    <t>C3: 41.2%</t>
  </si>
  <si>
    <t>→ En progreso</t>
  </si>
  <si>
    <t>C3: 18.6%</t>
  </si>
  <si>
    <t>⬆ Acelerando</t>
  </si>
  <si>
    <t>Cultura y Deporte</t>
  </si>
  <si>
    <t>C3: 78.4%</t>
  </si>
  <si>
    <t>✓ Completado</t>
  </si>
  <si>
    <t>C3: 65.8%</t>
  </si>
  <si>
    <t>✓ En meta</t>
  </si>
  <si>
    <t>Social</t>
  </si>
  <si>
    <t>C3: 25.1%</t>
  </si>
  <si>
    <t>⚠ Bajo riesgo</t>
  </si>
  <si>
    <t>Ambiental</t>
  </si>
  <si>
    <t>C3: 61.3%</t>
  </si>
  <si>
    <t>Financiero</t>
  </si>
  <si>
    <t>C3: 60.0%</t>
  </si>
  <si>
    <t>C3: 1.8%</t>
  </si>
  <si>
    <t>🔴 Crítico</t>
  </si>
  <si>
    <t>TOTAL PRESUPUESTO</t>
  </si>
  <si>
    <t>→ En control</t>
  </si>
  <si>
    <t>▌ 3. ALERTAS PRIORITARIAS  –  MONITOR DE OPORTUNIDADES Y METAS (MOM)</t>
  </si>
  <si>
    <t>NIVEL MOM</t>
  </si>
  <si>
    <t>PROYECTO</t>
  </si>
  <si>
    <t>VALOR ACTUAL</t>
  </si>
  <si>
    <t>META</t>
  </si>
  <si>
    <t>% DESV.</t>
  </si>
  <si>
    <t>ACCIÓN RECOMENDADA</t>
  </si>
  <si>
    <t>Avance físico</t>
  </si>
  <si>
    <t>Ejecutar inmediatamente – señal crítica</t>
  </si>
  <si>
    <t>Ejecución presup</t>
  </si>
  <si>
    <t>Acelerar proceso de contratación</t>
  </si>
  <si>
    <t>Desempeño físico</t>
  </si>
  <si>
    <t>Revisar cronograma – riesgo cumplimiento</t>
  </si>
  <si>
    <t>Avance técnico</t>
  </si>
  <si>
    <t>Monitoreo mensual suficiente</t>
  </si>
  <si>
    <t>▌ 4. EVALUACIONES PERIÓDICAS  –  AVANCE ICPI POR PERÍODO</t>
  </si>
  <si>
    <t>PERÍODO</t>
  </si>
  <si>
    <t>INICIO</t>
  </si>
  <si>
    <t>CIERRE</t>
  </si>
  <si>
    <t>ICPI ESPERADO</t>
  </si>
  <si>
    <t>ICPI REAL</t>
  </si>
  <si>
    <t>DESVIACIÓN</t>
  </si>
  <si>
    <t>HOJA REF.</t>
  </si>
  <si>
    <t>Cuatrimestre 1</t>
  </si>
  <si>
    <t>H21</t>
  </si>
  <si>
    <t>Cuatrimestre 2</t>
  </si>
  <si>
    <t>Cuatrimestre 3</t>
  </si>
  <si>
    <t>Anual 2024</t>
  </si>
  <si>
    <t>🔴 Bajo meta</t>
  </si>
  <si>
    <t>H22</t>
  </si>
  <si>
    <t>▌ 5. PROYECTOS CRÍTICOS PDOT  –  TOP 5 POR ÍNDICE DELTA</t>
  </si>
  <si>
    <t>NOMBRE</t>
  </si>
  <si>
    <t>MONTO ($)</t>
  </si>
  <si>
    <t>EJEC. FÍSICA</t>
  </si>
  <si>
    <t>EJEC. FINANC.</t>
  </si>
  <si>
    <t>DELTA (φ)</t>
  </si>
  <si>
    <t>SEMÁFORO</t>
  </si>
  <si>
    <t>ACCIÓN</t>
  </si>
  <si>
    <t>Alcantarillado Norte</t>
  </si>
  <si>
    <t>🔴 Rojo</t>
  </si>
  <si>
    <t>Reunión urgente con contratista</t>
  </si>
  <si>
    <t>Adoquinado Sector 3</t>
  </si>
  <si>
    <t>Verificar disponibilidad de materiales</t>
  </si>
  <si>
    <t>Centro de Salud Comunitario</t>
  </si>
  <si>
    <t>🟡 Amarillo</t>
  </si>
  <si>
    <t>Acelerar trámites de permisos</t>
  </si>
  <si>
    <t>Parque Recreacional</t>
  </si>
  <si>
    <t>Intervención directa Alcaldía</t>
  </si>
  <si>
    <t>Sistema Agua Potable</t>
  </si>
  <si>
    <t>Monitoreo semanal</t>
  </si>
  <si>
    <t>▌ 6. RECOMENDACIONES EJECUTIVAS  –  ACCIONES PRIORITARIAS 2025</t>
  </si>
  <si>
    <t>ÁREA</t>
  </si>
  <si>
    <t>DESCRIPCIÓN DE LA ACCIÓN</t>
  </si>
  <si>
    <t>INDICADOR IMPACTADO</t>
  </si>
  <si>
    <t>🔴 CRÍTICA</t>
  </si>
  <si>
    <t>Implementar protocolo SSC: respuesta obligatoria a ciudadanos en ≤15 días hábiles con registro en plataforma</t>
  </si>
  <si>
    <t>SSC (2.85%→3.0%)</t>
  </si>
  <si>
    <t>Intervención directa Alcaldía en Parque Recreacional: reunión emergencia contratista + cronograma acelerado</t>
  </si>
  <si>
    <t>ICPI / IED Obras</t>
  </si>
  <si>
    <t>Alcaldía / Planif.</t>
  </si>
  <si>
    <t>Desbloquear ejecución Patronato (2.9%): identificar obstáculos contractuales y resolver en 30 días</t>
  </si>
  <si>
    <t>IED Patronato</t>
  </si>
  <si>
    <t>Patronato / DAF</t>
  </si>
  <si>
    <t>PDOT-020/002/009</t>
  </si>
  <si>
    <t>Reunión urgente con contratistas de proyectos en rojo: establecer hitos semanales y reportes de avance cada 15 días</t>
  </si>
  <si>
    <t>Δ Delta críticos</t>
  </si>
  <si>
    <t>Dirección de Obras</t>
  </si>
  <si>
    <t>En gestión</t>
  </si>
  <si>
    <t>Acelerar contratación de estudios pendientes: publicar procesos SERCOP antes del 31 de enero 2025</t>
  </si>
  <si>
    <t>IED Planificación</t>
  </si>
  <si>
    <t>🟢 NORMAL</t>
  </si>
  <si>
    <t>Actualizar mensualmente los 24 ítems Art.7 LOTAIP en portal web; designar responsable de transparencia activa</t>
  </si>
  <si>
    <t>ITAM (62.1%→70%)</t>
  </si>
  <si>
    <t>TICs / Secretaría</t>
  </si>
  <si>
    <t>Programado</t>
  </si>
  <si>
    <t>Difundir sesiones Silla Vacía con 15 días de anticipación por redes sociales para aumentar asistencia ciudadana</t>
  </si>
  <si>
    <t>IFE / TAC</t>
  </si>
  <si>
    <t>Comunicación Social</t>
  </si>
  <si>
    <t>▌ 7. SEMÁFORO GLOBAL DEL SISTEMA SIAP-ICPI  –  ESTADO CONSOLIDADO 2024</t>
  </si>
  <si>
    <t>ÍNDICE ICPI GLOBAL</t>
  </si>
  <si>
    <t>🔴 BAJO META</t>
  </si>
  <si>
    <t>Meta: ≥ 60%  |  Brecha: -18.8pp</t>
  </si>
  <si>
    <t>EJECUCIÓN PRESUPUESTARIA</t>
  </si>
  <si>
    <t>🟡 EN PROCESO</t>
  </si>
  <si>
    <t>Meta anual: 100%  |  C3 completado</t>
  </si>
  <si>
    <t>TRANSPARENCIA Y CONTROL</t>
  </si>
  <si>
    <t>🟡 MEJORABLE</t>
  </si>
  <si>
    <t>ITAM 62.1%  |  SSC bajo: 2.85%</t>
  </si>
  <si>
    <t>▌ 8. VALIDACIÓN Y FIRMAS RESPONSABLES</t>
  </si>
  <si>
    <t>ELABORADO POR</t>
  </si>
  <si>
    <t>____________________</t>
  </si>
  <si>
    <t>Dirección de Planificación</t>
  </si>
  <si>
    <t>REVISADO POR</t>
  </si>
  <si>
    <t>Dirección Administrativa</t>
  </si>
  <si>
    <t>APROBADO POR</t>
  </si>
  <si>
    <t>Alcaldía Municipal</t>
  </si>
  <si>
    <t>SISTEMA SIAP-ICPI  |  H25 – RESUMEN EJECUTIVO CONSOLIDADO  |  GAD Municipal  |  Período: 2024  |  Versión 3.0  |  CONFIDENCIAL – USO INTERNO</t>
  </si>
  <si>
    <t>Registro inmutable de todas las modificaciones, cargas de datos y eventos del sistema SIAP-ICPI  |  Propósito: Auditoría · Trazabilidad · Control de calidad</t>
  </si>
  <si>
    <t>▌ A. INFORMACIÓN DEL SISTEMA</t>
  </si>
  <si>
    <t>Sistema:</t>
  </si>
  <si>
    <t>Entidad:</t>
  </si>
  <si>
    <t>GAD Municipal</t>
  </si>
  <si>
    <t>Período:</t>
  </si>
  <si>
    <t>Enero – Diciembre 2024</t>
  </si>
  <si>
    <t>Responsable:</t>
  </si>
  <si>
    <t>Total de hojas:</t>
  </si>
  <si>
    <t>26 (H01–H26)</t>
  </si>
  <si>
    <t>Estado sistema:</t>
  </si>
  <si>
    <t>✓ ACTIVO</t>
  </si>
  <si>
    <t>Última ejecución:</t>
  </si>
  <si>
    <t>Cuatrimestre 3 – Dic 2024</t>
  </si>
  <si>
    <t>ICPI resultante:</t>
  </si>
  <si>
    <t>Versión modelo:</t>
  </si>
  <si>
    <t>3.0 – Calibrado</t>
  </si>
  <si>
    <t>Fecha LOG:</t>
  </si>
  <si>
    <t>▌ B. REGISTRO DE HOJAS DEL SISTEMA  –  INVENTARIO COMPLETO SIAP-ICPI</t>
  </si>
  <si>
    <t>HOJA</t>
  </si>
  <si>
    <t>CATEGORÍA</t>
  </si>
  <si>
    <t>DESCRIPCIÓN</t>
  </si>
  <si>
    <t>FILAS DATOS</t>
  </si>
  <si>
    <t>ÚLTIMA MOD.</t>
  </si>
  <si>
    <t>VALIDADO</t>
  </si>
  <si>
    <t>H01</t>
  </si>
  <si>
    <t>PARAMETROS_GENERALES</t>
  </si>
  <si>
    <t>Config.</t>
  </si>
  <si>
    <t>Parámetros maestros del sistema</t>
  </si>
  <si>
    <t>✓ Activa</t>
  </si>
  <si>
    <t>~50</t>
  </si>
  <si>
    <t>2024-Q3</t>
  </si>
  <si>
    <t>H02</t>
  </si>
  <si>
    <t>PROYECTOS_PDOT</t>
  </si>
  <si>
    <t>Datos base</t>
  </si>
  <si>
    <t>Catálogo completo de proyectos PDOT</t>
  </si>
  <si>
    <t>~25</t>
  </si>
  <si>
    <t>H03</t>
  </si>
  <si>
    <t>AVANCE_FISICO</t>
  </si>
  <si>
    <t>Registro avance físico por proyecto/mes</t>
  </si>
  <si>
    <t>~300</t>
  </si>
  <si>
    <t>H04</t>
  </si>
  <si>
    <t>AVANCE_FINANCIERO</t>
  </si>
  <si>
    <t>Registro devengado y pagado mensual</t>
  </si>
  <si>
    <t>H05</t>
  </si>
  <si>
    <t>CRONOGRAMA_BASE</t>
  </si>
  <si>
    <t>Planif.</t>
  </si>
  <si>
    <t>Cronograma contractual base</t>
  </si>
  <si>
    <t>2024-Q1</t>
  </si>
  <si>
    <t>H06</t>
  </si>
  <si>
    <t>INDICADORES_POA</t>
  </si>
  <si>
    <t>Metas POA vinculadas al PDOT</t>
  </si>
  <si>
    <t>~80</t>
  </si>
  <si>
    <t>H07</t>
  </si>
  <si>
    <t>CONTRATOS</t>
  </si>
  <si>
    <t>Registro contractual y garantías</t>
  </si>
  <si>
    <t>H08</t>
  </si>
  <si>
    <t>DOCUMENTOS_LOTAIP</t>
  </si>
  <si>
    <t>Cumplimiento Art.7 LOTAIP</t>
  </si>
  <si>
    <t>~30</t>
  </si>
  <si>
    <t>H09</t>
  </si>
  <si>
    <t>DEVENGADOS_ACTUALIZADOS</t>
  </si>
  <si>
    <t>Devengado actualizado y proyección</t>
  </si>
  <si>
    <t>H10</t>
  </si>
  <si>
    <t>INFORMES_CPCCS</t>
  </si>
  <si>
    <t>Ciudadano</t>
  </si>
  <si>
    <t>Informes rendición de cuentas CPCCS</t>
  </si>
  <si>
    <t>~20</t>
  </si>
  <si>
    <t>H11</t>
  </si>
  <si>
    <t>ALERTAS_MOM</t>
  </si>
  <si>
    <t>Monitor MOM-I/II/III señales de alerta</t>
  </si>
  <si>
    <t>~35</t>
  </si>
  <si>
    <t>H12</t>
  </si>
  <si>
    <t>CURVA_S_BASE</t>
  </si>
  <si>
    <t>Curva S contractual base (linea base)</t>
  </si>
  <si>
    <t>~240</t>
  </si>
  <si>
    <t>H13</t>
  </si>
  <si>
    <t>MATRIZ_PONDERACION</t>
  </si>
  <si>
    <t>Ponderaciones Ti y Vi por proyecto</t>
  </si>
  <si>
    <t>H14</t>
  </si>
  <si>
    <t>CALCULO_ICPI</t>
  </si>
  <si>
    <t>Cálculo ICPI calibrado = 41.24%</t>
  </si>
  <si>
    <t>H15</t>
  </si>
  <si>
    <t>INDICES_COMPLEMENTARIOS</t>
  </si>
  <si>
    <t>IFE=86.7%, SSC=2.85%, IED resumen</t>
  </si>
  <si>
    <t>~60</t>
  </si>
  <si>
    <t>H16</t>
  </si>
  <si>
    <t>ITAM_TRANSPARENCIA</t>
  </si>
  <si>
    <t>Índice ITAM = 62.1%</t>
  </si>
  <si>
    <t>H17</t>
  </si>
  <si>
    <t>SENSIBILIDAD_DELTA</t>
  </si>
  <si>
    <t>Análisis delta φ – proyectos críticos</t>
  </si>
  <si>
    <t>~40</t>
  </si>
  <si>
    <t>H18</t>
  </si>
  <si>
    <t>IED_EFICIENCIA_DIRECTIVA</t>
  </si>
  <si>
    <t>IED por componente presupuestario</t>
  </si>
  <si>
    <t>H19</t>
  </si>
  <si>
    <t>EDS_EVALUACION_DIRECTIVA</t>
  </si>
  <si>
    <t>Evaluación desempeño sectorial por plan</t>
  </si>
  <si>
    <t>~45</t>
  </si>
  <si>
    <t>H20</t>
  </si>
  <si>
    <t>CONTROL_MENSUAL</t>
  </si>
  <si>
    <t>Control</t>
  </si>
  <si>
    <t>Curva S real vs planificada – 240 filas</t>
  </si>
  <si>
    <t>EVALUACION_CUATRIMESTRAL</t>
  </si>
  <si>
    <t>C1=6.2%, C2=18.6%, C3=41.2%</t>
  </si>
  <si>
    <t>EVALUACION_ANUAL_FINAL</t>
  </si>
  <si>
    <t>Evaluación anual consolidada 2024</t>
  </si>
  <si>
    <t>~70</t>
  </si>
  <si>
    <t>H23</t>
  </si>
  <si>
    <t>DASHBOARD_REPORTES</t>
  </si>
  <si>
    <t>Reporting</t>
  </si>
  <si>
    <t>Dashboard ejecutivo consolidado</t>
  </si>
  <si>
    <t>~55</t>
  </si>
  <si>
    <t>H24</t>
  </si>
  <si>
    <t>DASHBOARD_TAC</t>
  </si>
  <si>
    <t>Tablero Acción Ciudadana – Art.100 CRE</t>
  </si>
  <si>
    <t>H25</t>
  </si>
  <si>
    <t>RESUMEN_EJECUTIVO</t>
  </si>
  <si>
    <t>Resumen ejecutivo consolidado del sistema</t>
  </si>
  <si>
    <t>~78</t>
  </si>
  <si>
    <t>H26</t>
  </si>
  <si>
    <t>TRAZABILIDAD_LOG</t>
  </si>
  <si>
    <t>Auditoría</t>
  </si>
  <si>
    <t>Este LOG – registro de trazabilidad del sistema</t>
  </si>
  <si>
    <t>~120</t>
  </si>
  <si>
    <t>▌ C. LOG DE EVENTOS CRONOLÓGICO  –  HISTORIAL DE EJECUCIÓN DEL SISTEMA 2024</t>
  </si>
  <si>
    <t>#</t>
  </si>
  <si>
    <t>EVENTO</t>
  </si>
  <si>
    <t>HOJA(S) AFECTADA(S)</t>
  </si>
  <si>
    <t>TIPO</t>
  </si>
  <si>
    <t>IMPACTO ICPI</t>
  </si>
  <si>
    <t>USUARIO</t>
  </si>
  <si>
    <t>Carga datos PDOT inicial</t>
  </si>
  <si>
    <t>H02, H05</t>
  </si>
  <si>
    <t>Ingreso de 25 proyectos PDOT con montos y cronogramas base</t>
  </si>
  <si>
    <t>CARGA</t>
  </si>
  <si>
    <t>Base</t>
  </si>
  <si>
    <t>✓ OK</t>
  </si>
  <si>
    <t>Calibración parámetros ICPI</t>
  </si>
  <si>
    <t>H13, H14</t>
  </si>
  <si>
    <t>Calibración Ti: PDOT-001=0.85, PDOT-020=0.20, PDOT-002=0.06</t>
  </si>
  <si>
    <t>CONFIG</t>
  </si>
  <si>
    <t>ICPI base</t>
  </si>
  <si>
    <t>Alcaldía</t>
  </si>
  <si>
    <t>Carga avance físico Enero</t>
  </si>
  <si>
    <t>H03, H20</t>
  </si>
  <si>
    <t>Registro avance mensual 25 proyectos. Avance promedio: 2.1%</t>
  </si>
  <si>
    <t>Dir. Obras</t>
  </si>
  <si>
    <t>Carga avance físico Febrero</t>
  </si>
  <si>
    <t>Avance mensual acumulado: 4.8%. Sin alertas MOM activas</t>
  </si>
  <si>
    <t>Carga avance físico Marzo</t>
  </si>
  <si>
    <t>Avance acumulado: 6.2%. C1 cerrado con ICPI-C1=6.2%</t>
  </si>
  <si>
    <t>Evaluación Cuatrimestre 1</t>
  </si>
  <si>
    <t>H21, H22</t>
  </si>
  <si>
    <t>C1: ICPI=6.2% vs meta 12%. MOM-I sin señal. Alerta leve planif.</t>
  </si>
  <si>
    <t>EVAL</t>
  </si>
  <si>
    <t>ICPI 6.2%</t>
  </si>
  <si>
    <t>Activación señal MOM-II PDOT-020</t>
  </si>
  <si>
    <t>PDOT-020 desviación 38% sobre curva S. Notificación enviada</t>
  </si>
  <si>
    <t>ALERTA</t>
  </si>
  <si>
    <t>⚠ Activa</t>
  </si>
  <si>
    <t>Carga avance financiero Q1-Q2</t>
  </si>
  <si>
    <t>H04, H09</t>
  </si>
  <si>
    <t>Devengado acumulado $1.8M (15.1% del presupuesto total)</t>
  </si>
  <si>
    <t>DAF</t>
  </si>
  <si>
    <t>Revisión extraordinaria PDOT-002</t>
  </si>
  <si>
    <t>H03, H17</t>
  </si>
  <si>
    <t>Análisis delta φ PDOT-002=0.41. Reunión contratista convocada</t>
  </si>
  <si>
    <t>REVISION</t>
  </si>
  <si>
    <t>Δ crítico</t>
  </si>
  <si>
    <t>Evaluación Cuatrimestre 2</t>
  </si>
  <si>
    <t>C2: ICPI=18.6% vs meta 36%. MOM-II activa PDOT-009, 020</t>
  </si>
  <si>
    <t>ICPI 18.6%</t>
  </si>
  <si>
    <t>Activación señal MOM-I PDOT-012</t>
  </si>
  <si>
    <t>PDOT-012 avance 3.1% vs 50% esperado. Señal MOM-I crítica</t>
  </si>
  <si>
    <t>🔴 Crítica</t>
  </si>
  <si>
    <t>Actualización ITAM – LOTAIP Q3</t>
  </si>
  <si>
    <t>Revisión 24 ítems LOTAIP. ITAM actualizado a 62.1%</t>
  </si>
  <si>
    <t>ITAM 62.1%</t>
  </si>
  <si>
    <t>TICs</t>
  </si>
  <si>
    <t>Carga avance físico Oct-Nov</t>
  </si>
  <si>
    <t>Avance acumulado: 38.4%. Proyección C3 en riesgo</t>
  </si>
  <si>
    <t>RC Anual presentada CPCCS</t>
  </si>
  <si>
    <t>H10, H15</t>
  </si>
  <si>
    <t>RC 2024 presentada. IFE=86.7%, SSC=2.85%. RC aprobada</t>
  </si>
  <si>
    <t>IFE 86.7%</t>
  </si>
  <si>
    <t>Carga avance físico Diciembre</t>
  </si>
  <si>
    <t>Avance final acumulado 2024: 41.2%. Cierre Cuatrimestre 3</t>
  </si>
  <si>
    <t>Evaluación Cuatrimestre 3 / Anual</t>
  </si>
  <si>
    <t>H21, H22, H23</t>
  </si>
  <si>
    <t>C3: ICPI=41.2% vs meta 75%. Anual: 41.24% vs meta 100%</t>
  </si>
  <si>
    <t>ICPI 41.24%</t>
  </si>
  <si>
    <t>Generación Dashboard H23</t>
  </si>
  <si>
    <t>Dashboard ejecutivo generado. 8 componentes IED publicados</t>
  </si>
  <si>
    <t>REPORTE</t>
  </si>
  <si>
    <t>Generación H24 TAC</t>
  </si>
  <si>
    <t>Dashboard TAC: IFE=86.7%, RC=SI, SSC=2.85%. Publicado</t>
  </si>
  <si>
    <t>Generación H25 Resumen Ejecutivo</t>
  </si>
  <si>
    <t>Resumen ejecutivo consolidado. 7 secciones completadas</t>
  </si>
  <si>
    <t>Generación H26 LOG Trazabilidad</t>
  </si>
  <si>
    <t>LOG creado automáticamente. 20 eventos registrados</t>
  </si>
  <si>
    <t>▌ D. CONTROL DE CALIDAD  –  VERIFICACIÓN AUTOMÁTICA DE CONSISTENCIA</t>
  </si>
  <si>
    <t>VERIFICACIÓN</t>
  </si>
  <si>
    <t>FÓRMULA / CRITERIO</t>
  </si>
  <si>
    <t>UMBRAL</t>
  </si>
  <si>
    <t>ICPI suma ponderaciones Ti</t>
  </si>
  <si>
    <t>ΣTi × Vi  donde Vi=1</t>
  </si>
  <si>
    <t>≤ 100%</t>
  </si>
  <si>
    <t>ICPI en rango válido</t>
  </si>
  <si>
    <t>0% ≤ ICPI ≤ 100%</t>
  </si>
  <si>
    <t>0–100%</t>
  </si>
  <si>
    <t>Total Ti calibradas = 1.00</t>
  </si>
  <si>
    <t>Σ (Ti calibrado × Vi) = 1</t>
  </si>
  <si>
    <t>Curva S: filas completas</t>
  </si>
  <si>
    <t>H20 debe tener 240 filas de datos</t>
  </si>
  <si>
    <t>240 filas</t>
  </si>
  <si>
    <t>MOM-I señal correcta</t>
  </si>
  <si>
    <t>φ(PDOT-012) &gt; 0.7  →  señal MOM-I</t>
  </si>
  <si>
    <t>φ = 0.87</t>
  </si>
  <si>
    <t>&gt; 0.70</t>
  </si>
  <si>
    <t>IFE en rango CPCCS</t>
  </si>
  <si>
    <t>0% ≤ IFE ≤ 100%</t>
  </si>
  <si>
    <t>SSC calculado correctamente</t>
  </si>
  <si>
    <t>SSC = (obs.atendidas / obs.recibidas) × 100</t>
  </si>
  <si>
    <t>ITAM suma dimensiones = 100%</t>
  </si>
  <si>
    <t>Σ pesos ITAM = 100%</t>
  </si>
  <si>
    <t>Ejecución financiera coherente</t>
  </si>
  <si>
    <t>Devengado ≤ Presupuesto para cada componente</t>
  </si>
  <si>
    <t>Verificado</t>
  </si>
  <si>
    <t>Cuatrimestres suman al anual</t>
  </si>
  <si>
    <t>C1 + C2 + C3_delta ≈ ICPI Anual (±2%)</t>
  </si>
  <si>
    <t>41.2% ≈ 41.24%</t>
  </si>
  <si>
    <t>±2%</t>
  </si>
  <si>
    <t>N° hojas sistema completo</t>
  </si>
  <si>
    <t>H01–H26 todas activas</t>
  </si>
  <si>
    <t>26 / 26</t>
  </si>
  <si>
    <t>LOG actualizado al cierre</t>
  </si>
  <si>
    <t>Última entrada LOG = fecha cierre período</t>
  </si>
  <si>
    <t>▌ E. LEYENDA  –  TIPOS DE EVENTO, SEMÁFOROS Y CONVENCIONES DEL SISTEMA</t>
  </si>
  <si>
    <t>TIPOS DE EVENTO</t>
  </si>
  <si>
    <t>SEMÁFOROS ICPI</t>
  </si>
  <si>
    <t>Ingreso de datos en hojas base</t>
  </si>
  <si>
    <t>🟢 Verde</t>
  </si>
  <si>
    <t>ICPI ≥ 60%</t>
  </si>
  <si>
    <t>Cumple meta</t>
  </si>
  <si>
    <t>Configuración de parámetros</t>
  </si>
  <si>
    <t>ICPI 40–59%</t>
  </si>
  <si>
    <t>Bajo meta, en proceso</t>
  </si>
  <si>
    <t>Evaluación periódica (C1/C2/C3/Anual)</t>
  </si>
  <si>
    <t>ICPI &lt; 40%</t>
  </si>
  <si>
    <t>Crítico – intervención</t>
  </si>
  <si>
    <t>Señal MOM activa</t>
  </si>
  <si>
    <t>⚠ Naranja</t>
  </si>
  <si>
    <t>SSC &lt; 3.0%</t>
  </si>
  <si>
    <t>Control social bajo</t>
  </si>
  <si>
    <t>Revisión extraordinaria</t>
  </si>
  <si>
    <t>Evento institucional (RC, veedurías)</t>
  </si>
  <si>
    <t>Generación de informe o dashboard</t>
  </si>
  <si>
    <t>SISTEMA SIAP-ICPI  |  H26 – TRAZABILIDAD LOG  |  20 eventos registrados  |  26 hojas auditadas  |  12 controles de calidad  |  CONFIDENCIAL</t>
  </si>
  <si>
    <t>MOM-I · FRAGMENTACIÓN SELECTIVA DEL UNIVERSO EVALUADO §3.6.1</t>
  </si>
  <si>
    <t>MOM-II · SUSTITUCIÓN ESTRATÉGICA DE METAS §3.6.2</t>
  </si>
  <si>
    <t>MOM-III · INFLACIÓN DE UNIDADES DE MEDIDA §3.6.3</t>
  </si>
  <si>
    <t>✅ ESPÍRITU DEL SISTEMA: Las alertas MOM son señales de atención temprana para mejorar la gestión programática y documental. No constituyen sanciones ni reemplazan la potestad de la CGE. El SIAP-ICPI habla AL GAD, no CONTRA él.</t>
  </si>
  <si>
    <t>FRAGMENTACIÓN SELECTIVA §3.6.1: Ocurre cuando el GAD reporta cumplimiento alto en SIGAD basándose en un subconjunto pequeño del presupuesto total del PDOT, excluyendo estratégicamente las metas de mayor inversión que no fueron ejecutadas. Condición: ICM≥80% Y representatividad presupuestaria &lt;10%. Base legal: COPFP Art. 9, 41, 54.</t>
  </si>
  <si>
    <t>SUSTITUCIÓN ESTRATÉGICA §3.6.2: Ocurre cuando el GAD reforma el POA durante el año fiscal, eliminando metas complejas y costosas y sustitutyéndolas por actividades baratas y fácilmente ejecutables, sin seguir el procedimiento formal del Art. 295 COOTAD. Detectado via hash SHA-256 del POA (comparación enero vs. diciembre). Base legal: COOTAD Art. 295 + COPFP Art. 97.</t>
  </si>
  <si>
    <t>INFLACIÓN DE UNIDADES §3.6.3: Ocurre cuando el GAD mantiene formalmente el nombre de la meta original pero redefine operativamente la unidad de medida, transformando métricas verificables en métricas elásticas no verificables (ej: de 'brigadas físicas' a 'contactos'). Condición: Cumplimiento reportado &gt;500% Y T_i &lt;10% Y unidad_reporte ≠ unidad_PDOT. Base legal: COPFP Art. 117 + COA Art. 196.</t>
  </si>
  <si>
    <t>Tipo_Dictamen</t>
  </si>
  <si>
    <t>Código</t>
  </si>
  <si>
    <t>Ejemplo_Aplicado</t>
  </si>
  <si>
    <t>Base_Legal</t>
  </si>
  <si>
    <t>DIC-A</t>
  </si>
  <si>
    <t>Desviación producida por inconsistencias en el registro, cambios no documentados en unidad de medida o errores humanos en el reporte. Sin evidencia de dolo administrativo. Afecta T_i pero no invalida la meta.</t>
  </si>
  <si>
    <t>Proceso SERCOP declarado desierto por especificaciones técnicas complejas</t>
  </si>
  <si>
    <t>COA Art. 196</t>
  </si>
  <si>
    <t>DIC-B</t>
  </si>
  <si>
    <t>Violación directa de disposiciones del Art. 77 COOTAD o Art. 7 LOTAIP. PAC Fantasma: asignación presupuestaria en el POA que nunca se materializa en contrato adjudicado ni en ejecución devengada.</t>
  </si>
  <si>
    <t>Meta PDOT-018: Sin POA, sin SERCOP, sin devengado al cierre</t>
  </si>
  <si>
    <t>COOTAD Art. 77 + LOSNCP Art. 22</t>
  </si>
  <si>
    <t>DIC-C</t>
  </si>
  <si>
    <t>Distorsión intencional de metas para inflar artificialmente el ICM. Gaming confirmado: variación desproporcionada del cumplimiento sin respaldo en devengado real. Constituye falta de motivación del acto administrativo.</t>
  </si>
  <si>
    <t>Meta PDOT-012: Cumplimiento 8,295% con devengado 8%. Cambio unidad: 'Unidad Móvil' → 'contactos telefónicos'</t>
  </si>
  <si>
    <t>COA Art. 196 + COPFP Art. 117</t>
  </si>
  <si>
    <t>⚠️ NOTA METODOLÓGICA:</t>
  </si>
  <si>
    <t>Transparencia Algorítmica Ciudadana. Módulo de presentación de QUADRUM que traduce los resultados técnicos del ITAM a lenguaje accesible para el ciudadano (H24). TAC comunica al ciudadano los resultados que ITAM produjo internamente. Son complementarios, no contradictorios: ITAM produce datos, TAC los presenta. TAC es el módulo de presentación de QUADRUM.</t>
  </si>
  <si>
    <t>Hash SHA-256</t>
  </si>
  <si>
    <t>Función criptográfica de resumen que genera una huella digital única e irreversible de 256 bits para cualquier documento. En SIAP-ICPI se usa para detectar modificaciones no autorizadas al POA (protocolo MOM-II). Si el hash del POA-enero ≠ hash POA-diciembre, el sistema activa la alerta de sustitución estratégica de metas. IMPORTANTE: SHA-256 es el ingrediente criptográfico que fundamenta blockchain, pero usarlo de forma local (sin red distribuida) NO constituye blockchain. Es el nivel 1 de inmutabilidad del PMV. El nivel 3 (blockchain Polygon) está previsto en la hoja de ruta QUADRUM.</t>
  </si>
  <si>
    <t>§3.6.2 + Acuerdo MEF 067</t>
  </si>
  <si>
    <t>Criptografía</t>
  </si>
  <si>
    <t>QUADRUM</t>
  </si>
  <si>
    <t>Nombre comercial de la plataforma GovTech que implementa el motor metodológico SIAP-ICPI para su uso por GADs municipales y organismos bilaterales. QUADRUM integra el cálculo del ICPI, los protocolos MOM y el módulo ciudadano TAC en una interfaz operativa. Relación: QUADRUM implementa SIAP-ICPI y comunica sus resultados a través de TAC. El artefacto Excel es el PMV v1.0 de QUADRUM.</t>
  </si>
  <si>
    <t>Ordenanza Municipal Alfaro Virtus.0</t>
  </si>
  <si>
    <t>Plataforma</t>
  </si>
  <si>
    <t>Plataforma_Comercial</t>
  </si>
  <si>
    <t>Nombre comercial de la plataforma GovTech que implementa el SIAP-ICPI. QUADRUM es la marca para presentación ante GADs, organismos bilaterales y el DGIP CAF-ESPOL.</t>
  </si>
  <si>
    <t>INTERPRETACIÓN ICPI GLOBAL</t>
  </si>
  <si>
    <t>Fuente: H01–H14 SIAP-ICPI v1.0 | Plataforma QUADRUM</t>
  </si>
  <si>
    <t>Sistema SIAP-ICPI | Portal Ciudadano de Transparencia — TAC | Generado automáticamente | Plataforma QUADRUM | v1.0</t>
  </si>
  <si>
    <t>⚠️ DATOS DE REFERENCIA — Este artefacto contiene datos ficticios coherentes para demostración metodológica del SIAP-ICPI. Para implementación real: reemplazar con datos del PDOT vigente del GAD. Los datos reales del GAD Montecristi 2024 se cargarán en el Artefacto B para el Diplomado CAF-ESPOL (DGIP 2026).</t>
  </si>
  <si>
    <t>← H01  |  Portal Ciudadano de Transparencia — TAC  |  Plataforma QUADRUM</t>
  </si>
  <si>
    <t>← H01  |  Log auditable de vinculaciones metodológicas  |  SIAP-ICPI v1.0</t>
  </si>
  <si>
    <t>← H01  |  → H23 Dashboard Ejecutivo  |  → H24 Vista Ciudadana TAC</t>
  </si>
  <si>
    <t>PDOT período correcto</t>
  </si>
  <si>
    <t>Versión del sistema</t>
  </si>
  <si>
    <t>SISTEMA SIAP-ICPI  |  H25 RESUMEN EJECUTIVO  |  Confidencial – Uso Interno  |  v1.0 – 2024  |  Plataforma QUADRUM</t>
  </si>
  <si>
    <t>T_i Prom.</t>
  </si>
  <si>
    <t>Descripción + Hallazgo</t>
  </si>
  <si>
    <t>Metas modelo — ciclo completo y trazable</t>
  </si>
  <si>
    <t>⚠️ Ejecutaron (~76% T_i) pero sin evidencia LOTAIP completa — el ICPI pena por V_i parcial</t>
  </si>
  <si>
    <t>Sin contrato válido o devengado — proceso SERCOP desierto o cancelado</t>
  </si>
  <si>
    <t>Alertas MOM activas — patrones de opacidad detectados</t>
  </si>
  <si>
    <t>ℹ️ Nota: ICPI_Nivel% = congruencia programática certificable del grupo (incluye V_i, T_i, E_i, C_i). T_i Prom. = ejecución presupuestaria promedio del grupo (gris). Nivel 2: alta ejecución (~76%) pero brechas documentales reducen el ICPI a 81%.</t>
  </si>
  <si>
    <t>ICM en rango válido (0–1)</t>
  </si>
  <si>
    <t>0 &lt; ICM ≤ 1</t>
  </si>
  <si>
    <t>ICM oficial reportado en SIGAD para año fiscal 2024. Valor real: 1.00 (100%). Fuente: Reporte SIGAD oficial GAD Montecristi, 9 metas ingresadas, $3,939,101.48. NOTA METODOLÓGICA: ICM=100% sobre 41.4% del presupuesto estratégico SIAP activa MOM-I con severidad Alta.</t>
  </si>
  <si>
    <t>H04B_DATOS_CNE — SILO 0: Plan de Trabajo Electoral CNE  |  Fuente: Plan Trabajo Alcalde Luis Jonathan Toro Largacha, Elecciones Seccionales 2023, Período 2023-2027</t>
  </si>
  <si>
    <t>← H01  |  El Plan CNE es INSUMO COMPARATIVO del IFE (§3.7.1). Sin CNE hay ICPI pero no IFE. CNE ≠ base operativa del sistema. La base operativa siempre es el PDOT.</t>
  </si>
  <si>
    <t>A · IDENTIFICACIÓN DEL PLAN DE TRABAJO CNE</t>
  </si>
  <si>
    <t>Candidato</t>
  </si>
  <si>
    <t>Luis Jonathan Toro Largacha</t>
  </si>
  <si>
    <t>Partido</t>
  </si>
  <si>
    <t>AVANZA Lista 8 + MACHETE Lista 61</t>
  </si>
  <si>
    <t>Dignidad</t>
  </si>
  <si>
    <t>Alcalde del Cantón Montecristi</t>
  </si>
  <si>
    <t>Elecciones</t>
  </si>
  <si>
    <t>Seccionales 2023</t>
  </si>
  <si>
    <t>Período</t>
  </si>
  <si>
    <t>Población</t>
  </si>
  <si>
    <t>116,186 habitantes (INEC proyección 2022)</t>
  </si>
  <si>
    <t>Ejes_Plan</t>
  </si>
  <si>
    <t>5 (Económico, Institucional, Social, Ambiental, Territorial)</t>
  </si>
  <si>
    <t>Total_Promesas_CNE</t>
  </si>
  <si>
    <t>ODS_Vinculados</t>
  </si>
  <si>
    <t>ODS 1,2,3,4,5,6,7,8,9,10,11,13,16,17</t>
  </si>
  <si>
    <t>Registro_CNE</t>
  </si>
  <si>
    <t>Plan Trabajo Electoral CNE — Expediente Elecciones Seccionales 2023</t>
  </si>
  <si>
    <t>B · PROMESAS CNE — MATRIZ PLURIANUAL POR EJE (§3.7.1)</t>
  </si>
  <si>
    <t>Esta tabla es la FUENTE del IFE. Cada promesa se vincula a una meta PDOT para calcular el score V_j. Score 1.0 = verde, 0.5 = amarillo, 0.0 = rojo.</t>
  </si>
  <si>
    <t>ID_Promesa</t>
  </si>
  <si>
    <t>Eje_CNE</t>
  </si>
  <si>
    <t>Objetivo_Especifico_CNE</t>
  </si>
  <si>
    <t>Meta_Promesa_CNE</t>
  </si>
  <si>
    <t>Competencia_Vinculada</t>
  </si>
  <si>
    <t>Año1</t>
  </si>
  <si>
    <t>Año2</t>
  </si>
  <si>
    <t>Año3</t>
  </si>
  <si>
    <t>Año4</t>
  </si>
  <si>
    <t>Tipo_Vinculacion</t>
  </si>
  <si>
    <t>Score_IFE</t>
  </si>
  <si>
    <t>Justificacion_Vinculacion</t>
  </si>
  <si>
    <t>EJE ECONÓMICO</t>
  </si>
  <si>
    <t>EC-001</t>
  </si>
  <si>
    <t>Económico</t>
  </si>
  <si>
    <t>Obj 16: Procesar carne fresca alta calidad</t>
  </si>
  <si>
    <t>Desarrollar capacidades productivas y comerciales del sector artesanal y agropecuario</t>
  </si>
  <si>
    <t>Turismo-Desarrollo Económico</t>
  </si>
  <si>
    <t>ODS 8, 9</t>
  </si>
  <si>
    <t>Capacitación artesanos sombrero paja toquilla — correspondencia directa</t>
  </si>
  <si>
    <t>EC-002</t>
  </si>
  <si>
    <t>Obj 6: TICs para trámites ciudadanos</t>
  </si>
  <si>
    <t>Implementar plataforma digital de servicios municipales</t>
  </si>
  <si>
    <t>ODS 9, 16</t>
  </si>
  <si>
    <t>Modernización sistema recaudación — tecnología municipal</t>
  </si>
  <si>
    <t>EC-003</t>
  </si>
  <si>
    <t>Alianzas sector privado</t>
  </si>
  <si>
    <t>Gestionar 28 convenios de cooperación para fortalecimiento institucional</t>
  </si>
  <si>
    <t>Cooperación Internacional</t>
  </si>
  <si>
    <t>ODS 17</t>
  </si>
  <si>
    <t>28 convenios coinciden exactamente con meta SIGAD-001</t>
  </si>
  <si>
    <t>EC-004</t>
  </si>
  <si>
    <t>Turismo sostenible</t>
  </si>
  <si>
    <t>Rehabilitar malecón costero para fomento turístico</t>
  </si>
  <si>
    <t>ODS 8, 11</t>
  </si>
  <si>
    <t>Malecón costero Montecristi — identificación directa</t>
  </si>
  <si>
    <t>EC-005</t>
  </si>
  <si>
    <t>Mercado y comercio local</t>
  </si>
  <si>
    <t>Rehabilitar y modernizar mercado municipal</t>
  </si>
  <si>
    <t>ODS 11</t>
  </si>
  <si>
    <t>Rehabilitación mercado municipal — meta directa</t>
  </si>
  <si>
    <t>EJE INSTITUCIONAL</t>
  </si>
  <si>
    <t>IN-001</t>
  </si>
  <si>
    <t>Obj 12: Participación ciudadana</t>
  </si>
  <si>
    <t>Crear espacios de participación para informar sobre recursos públicos</t>
  </si>
  <si>
    <t>ODS 16</t>
  </si>
  <si>
    <t>Transparencia municipal LOTAIP — correspondencia directa</t>
  </si>
  <si>
    <t>IN-002</t>
  </si>
  <si>
    <t>Obj: Rendición de cuentas</t>
  </si>
  <si>
    <t>Mecanismos periódicos y públicos de rendición de cuentas</t>
  </si>
  <si>
    <t>Fortalecimiento transparencia — objetivo idéntico</t>
  </si>
  <si>
    <t>IN-003</t>
  </si>
  <si>
    <t>Ordenamiento territorial</t>
  </si>
  <si>
    <t>Modernizar el sistema de catastro predial para planificación</t>
  </si>
  <si>
    <t>ODS 11, 16</t>
  </si>
  <si>
    <t>Catastro predial — meta idéntica</t>
  </si>
  <si>
    <t>IN-004</t>
  </si>
  <si>
    <t>Recursos municipales</t>
  </si>
  <si>
    <t>Modernizar sistema de recaudación y gestión financiera</t>
  </si>
  <si>
    <t>Modernización recaudación — correspondencia directa</t>
  </si>
  <si>
    <t>EJE SOCIAL</t>
  </si>
  <si>
    <t>SC-001</t>
  </si>
  <si>
    <t>Educación</t>
  </si>
  <si>
    <t>Equipar establecimientos educativos rurales y mejorar infraestructura</t>
  </si>
  <si>
    <t>Equipamiento Salud/Educación</t>
  </si>
  <si>
    <t>ODS 4</t>
  </si>
  <si>
    <t>Equipamiento educativo establecimientos rurales — meta idéntica</t>
  </si>
  <si>
    <t>SC-002</t>
  </si>
  <si>
    <t>Salud</t>
  </si>
  <si>
    <t>Construir centro de salud en parroquia rural Aníbal San Andrés</t>
  </si>
  <si>
    <t>ODS 3</t>
  </si>
  <si>
    <t>Centro salud tipo C — correspondencia directa</t>
  </si>
  <si>
    <t>SC-003</t>
  </si>
  <si>
    <t>Obj 13: Espacios recreativos</t>
  </si>
  <si>
    <t>Brindar espacios de entretenimiento en parroquias del cantón</t>
  </si>
  <si>
    <t>ODS 3, 11</t>
  </si>
  <si>
    <t>Parque recreativo sector norte — meta coincidente</t>
  </si>
  <si>
    <t>SC-004</t>
  </si>
  <si>
    <t>ODS 1, 5</t>
  </si>
  <si>
    <t>Guardería El Carmen — correspondencia directa</t>
  </si>
  <si>
    <t>SC-005</t>
  </si>
  <si>
    <t>Adultos mayores y discapacidad</t>
  </si>
  <si>
    <t>Programa de atención a grupos vulnerables: adultos mayores y discapacidad</t>
  </si>
  <si>
    <t>Servicios Sociales</t>
  </si>
  <si>
    <t>ODS 1, 3, 10</t>
  </si>
  <si>
    <t>Programa adulto mayor y discapacidad — meta idéntica</t>
  </si>
  <si>
    <t>EJE AMBIENTAL</t>
  </si>
  <si>
    <t>AM-001</t>
  </si>
  <si>
    <t>Mejorar abastecimiento agua potable sectores rurales</t>
  </si>
  <si>
    <t>ODS 6</t>
  </si>
  <si>
    <t>Sistema agua potable zonas rurales — correspondencia directa</t>
  </si>
  <si>
    <t>AM-002</t>
  </si>
  <si>
    <t>Alcantarillado y aguas residuales</t>
  </si>
  <si>
    <t>Ampliar red alcantarillado y tratar aguas residuales</t>
  </si>
  <si>
    <t>Alcantarillado sanitario + planta tratamiento — metas idénticas</t>
  </si>
  <si>
    <t>AM-003</t>
  </si>
  <si>
    <t>Obj 19: Control ambiental</t>
  </si>
  <si>
    <t>Reforestar cuencas hídricas y proteger recursos naturales</t>
  </si>
  <si>
    <t>ODS 13, 15</t>
  </si>
  <si>
    <t>Reforestación cuencas híricas — correspondencia directa</t>
  </si>
  <si>
    <t>EJE TERRITORIAL</t>
  </si>
  <si>
    <t>TE-001</t>
  </si>
  <si>
    <t>Territorial</t>
  </si>
  <si>
    <t>Obj 15: Vialidad cantonal</t>
  </si>
  <si>
    <t>Mejorar vialidad urbana con planificación actualizada</t>
  </si>
  <si>
    <t>ODS 9, 11</t>
  </si>
  <si>
    <t>Mejoramiento vialidad urbana cantonal — meta idéntica</t>
  </si>
  <si>
    <t>TE-002</t>
  </si>
  <si>
    <t>Vías parroquiales</t>
  </si>
  <si>
    <t>Mantenimiento bacheo y señalización vías parroquiales rurales</t>
  </si>
  <si>
    <t>ODS 9</t>
  </si>
  <si>
    <t>Bacheo vías parroquiales — correspondencia directa</t>
  </si>
  <si>
    <t>TE-003</t>
  </si>
  <si>
    <t>Asentamientos humanos</t>
  </si>
  <si>
    <t>Solucionar problema de inundaciones en casco urbano</t>
  </si>
  <si>
    <t>ODS 11, 13</t>
  </si>
  <si>
    <t>Drenaje pluvial relacionado con inundaciones — alcance diferente</t>
  </si>
  <si>
    <t>C · ÍNDICE DE FIDELIDAD ELECTORAL (IFE) §3.7.1</t>
  </si>
  <si>
    <t>IFE = (Σ V_j) / m × 100  |  Donde V_j = score de vinculación promesa-PDOT. Alta fidelidad = la promesa quedó plasmada en el PDOT.</t>
  </si>
  <si>
    <t>Fórmula</t>
  </si>
  <si>
    <t>IFE_Numerador (Σ V_j)</t>
  </si>
  <si>
    <t>IFE_Denominador (m = núm. promesas)</t>
  </si>
  <si>
    <t>20 promesas totales (5 ejes)</t>
  </si>
  <si>
    <t>IFE_GLOBAL</t>
  </si>
  <si>
    <t>IFE por Eje</t>
  </si>
  <si>
    <t>%</t>
  </si>
  <si>
    <t>IFE_Económico</t>
  </si>
  <si>
    <t>5 promesas — sector productivo, TICs, convenios, turismo, mercado</t>
  </si>
  <si>
    <t>IFE_Institucional</t>
  </si>
  <si>
    <t>4 promesas — participación, rendición, catastro, recaudación</t>
  </si>
  <si>
    <t>IFE_Social</t>
  </si>
  <si>
    <t>5 promesas — educación, salud, recreación, guardería, adultos mayores</t>
  </si>
  <si>
    <t>IFE_Ambiental</t>
  </si>
  <si>
    <t>3 promesas — agua, alcantarillado, reforestación</t>
  </si>
  <si>
    <t>IFE_Territorial</t>
  </si>
  <si>
    <t>3 promesas (TE-003 = 0.5 — alcance diferente en drenaje pluvial)</t>
  </si>
  <si>
    <t>💬 LECTURA DEL IFE:</t>
  </si>
  <si>
    <t>✅ NOTA METODOLÓGICA:</t>
  </si>
  <si>
    <t>Esta hoja cierra el circuito democrático del SIAP-ICPI: CNE (promesa) → PDOT (plan) → ICPI (ejecución). IFE alto + ICPI bajo = el problema es de gestión, no de mandato. IFE bajo + ICPI bajo = el problema empieza en la planificación.</t>
  </si>
  <si>
    <t>Fuente:</t>
  </si>
  <si>
    <t>Plan de Trabajo Electoral CNE, Ing. Luis Jonathan Toro Largacha, Alcalde GAD Montecristi, Elecciones Seccionales 2023. Registro CNE: AVANZA Lista 8 + MACHETE Lista 61.</t>
  </si>
  <si>
    <t>H10B_DATOS_SIGAD — SILO 6: Auto-reporte ICM  |  SIGAD-SENPLADES  |  Fuente: Reportes oficiales SIGAD GAD Montecristi 2023-2024</t>
  </si>
  <si>
    <t>← H01  |  El ICM SIGAD es el indicador contra el que se mide la Brecha ICM-ICPI. MOM-I activa cuando ICM alto + baja representatividad presupuestaria (§3.6.1).</t>
  </si>
  <si>
    <t>A · IDENTIFICACIÓN DEL REPORTE SIGAD</t>
  </si>
  <si>
    <t>RUC_GAD</t>
  </si>
  <si>
    <t>Tipo_GAD</t>
  </si>
  <si>
    <t>CANTONAL</t>
  </si>
  <si>
    <t>Periodo_Politico</t>
  </si>
  <si>
    <t>Responsable_Envio</t>
  </si>
  <si>
    <t>Sonia Xiomara Rodríguez Mero</t>
  </si>
  <si>
    <t>Correo_Responsable</t>
  </si>
  <si>
    <t>sonia.rodriguez@montecristi.gob.ec</t>
  </si>
  <si>
    <t>Telefono</t>
  </si>
  <si>
    <t>Trimestres_Enviados_2024</t>
  </si>
  <si>
    <t>Programación + T1 + T2 + T3 + T4 (todos enviados)</t>
  </si>
  <si>
    <t>B · RESUMEN ANUAL — Universo SIGAD vs Universo SIAP</t>
  </si>
  <si>
    <t>Metas_Ingresadas_SIGAD</t>
  </si>
  <si>
    <t>Proyectos_Ingresados</t>
  </si>
  <si>
    <t>Monto_Total_Proyectos</t>
  </si>
  <si>
    <t>Monto_En_Ejecucion</t>
  </si>
  <si>
    <t>ICM_Oficial</t>
  </si>
  <si>
    <t>Metas_Universo_SIAP</t>
  </si>
  <si>
    <t>Presupuesto_Universo_SIAP</t>
  </si>
  <si>
    <t>Represent._Presup.</t>
  </si>
  <si>
    <t>Represent._Metas</t>
  </si>
  <si>
    <t>Estado_MOM_I</t>
  </si>
  <si>
    <t>C · DETALLE METAS REPORTADAS EN SIGAD — Año Fiscal 2024</t>
  </si>
  <si>
    <t>DATO CLAVE: Solo 9 de 20 metas del universo SIAP fueron reportadas en SIGAD. ICM = 100% sobre esas 9 metas. Las 11 restantes (55%) nunca ingresaron al sistema de auto-reporte.</t>
  </si>
  <si>
    <t>ID_SIGAD</t>
  </si>
  <si>
    <t>Competencia_GAD</t>
  </si>
  <si>
    <t>Objetivo_PDOT</t>
  </si>
  <si>
    <t>Meta_Resultados_PDOT</t>
  </si>
  <si>
    <t>Núm_Proyectos</t>
  </si>
  <si>
    <t>Meta_Acum_Anual</t>
  </si>
  <si>
    <t>Valor_Real_Acum</t>
  </si>
  <si>
    <t>Pct_Avance_Meta</t>
  </si>
  <si>
    <t>Codificado_Final</t>
  </si>
  <si>
    <t>Devengado_Anual</t>
  </si>
  <si>
    <t>Pct_Ejec_Presup</t>
  </si>
  <si>
    <t>ID_Meta_SIAP</t>
  </si>
  <si>
    <t>En_SIGAD_2024</t>
  </si>
  <si>
    <t>En_Muestra_SIAP</t>
  </si>
  <si>
    <t>SIGAD-001</t>
  </si>
  <si>
    <t>COOPERACIÓN INTERNACIONAL</t>
  </si>
  <si>
    <t>Fortalecer la gestión del GAD con alianzas estratégicas</t>
  </si>
  <si>
    <t>Gestionar 28 convenios en 2024 para fortalecimiento institucional</t>
  </si>
  <si>
    <t>SI</t>
  </si>
  <si>
    <t>SIGAD-002</t>
  </si>
  <si>
    <t>AGUA POTABLE — SERVICIO PÚBLICO</t>
  </si>
  <si>
    <t>Prever crecimiento ordenado para mejorar calidad de vida</t>
  </si>
  <si>
    <t>Lograr 4 adjudicaciones en 2024 para proyectos agua y alcantarillado</t>
  </si>
  <si>
    <t>SIGAD-003</t>
  </si>
  <si>
    <t>VIALIDAD</t>
  </si>
  <si>
    <t>Contribuir a mantener conectividad y movilidad</t>
  </si>
  <si>
    <t>Intervenir 2.00 km de vías con carpeta asfáltica en 2024</t>
  </si>
  <si>
    <t>SIGAD-004</t>
  </si>
  <si>
    <t>GESTIÓN AMBIENTAL</t>
  </si>
  <si>
    <t>Mejorar control ambiental cantonal</t>
  </si>
  <si>
    <t>Implementar sistema de control de residuos sólidos en 3 parroquias</t>
  </si>
  <si>
    <t>SIGAD-005</t>
  </si>
  <si>
    <t>ALCANTARILLADO</t>
  </si>
  <si>
    <t>Ampliar cobertura de saneamiento ambiental</t>
  </si>
  <si>
    <t>Construir 2,438 metros de red de alcantarillado zona Elóy Alfaro</t>
  </si>
  <si>
    <t>SIGAD-006</t>
  </si>
  <si>
    <t>ORDENAMIENTO TERRITORIAL</t>
  </si>
  <si>
    <t>Modernizar sistema de planificación cantonal</t>
  </si>
  <si>
    <t>Actualizar 1 catastro predial urbano-rural en 2024</t>
  </si>
  <si>
    <t>SIGAD-007</t>
  </si>
  <si>
    <t>FORTALECIMIENTO INSTITUCIONAL</t>
  </si>
  <si>
    <t>Mejorar capacidades institucionales del GAD</t>
  </si>
  <si>
    <t>Capacitar 120 funcionarios en gestión municipal y sistemas</t>
  </si>
  <si>
    <t>SIGAD-008</t>
  </si>
  <si>
    <t>TURISMO</t>
  </si>
  <si>
    <t>Fomentar turismo sostenible cantonal</t>
  </si>
  <si>
    <t>Organizar 49 eventos turísticos y culturales en 2024</t>
  </si>
  <si>
    <t>SIGAD-009</t>
  </si>
  <si>
    <t>DESECHOS SÓLIDOS</t>
  </si>
  <si>
    <t>Optimizar gestión de residuos cantonal</t>
  </si>
  <si>
    <t>Implementar 1 plan de gestión integral de residuos sólidos</t>
  </si>
  <si>
    <t>NO REPORTADA</t>
  </si>
  <si>
    <t>METAS EN MUESTRA SIAP NO REPORTADAS EN SIGAD 2024</t>
  </si>
  <si>
    <t>NO</t>
  </si>
  <si>
    <t>(sin ID)</t>
  </si>
  <si>
    <t>VIALIDAD PARROQUIAL</t>
  </si>
  <si>
    <t>Mejorar conectividad vial rural</t>
  </si>
  <si>
    <t>Bacheo y señalización vías parroquiales (meta PDOT-017)</t>
  </si>
  <si>
    <t>ALCANTARILLADO SANITARIO</t>
  </si>
  <si>
    <t>Ampliar redes de alcantarillado</t>
  </si>
  <si>
    <t>Planta tratamiento aguas residuales (meta PDOT-003)</t>
  </si>
  <si>
    <t>INFRAESTRUCTURA SOCIAL</t>
  </si>
  <si>
    <t>Equipar infraestructura educativa rural</t>
  </si>
  <si>
    <t>Equipamiento educativo establecimientos rurales (meta PDOT-007)</t>
  </si>
  <si>
    <t>SALUD</t>
  </si>
  <si>
    <t>Mejorar infraestructura de salud</t>
  </si>
  <si>
    <t>Centro de salud tipo C parroquia rural (meta PDOT-006)</t>
  </si>
  <si>
    <t>MERCADO MUNICIPAL</t>
  </si>
  <si>
    <t>Rehabilitar infraestructura comercial</t>
  </si>
  <si>
    <t>Rehabilitación mercado municipal (meta PDOT-005)</t>
  </si>
  <si>
    <t>DEPORTE Y RECREACIÓN</t>
  </si>
  <si>
    <t>Construir espacios recreativos</t>
  </si>
  <si>
    <t>Parque recreativo sector norte (meta PDOT-010)</t>
  </si>
  <si>
    <t>Proveer servicios de cuidado infantil</t>
  </si>
  <si>
    <t>Guardería comunitaria El Carmen (meta PDOT-008)</t>
  </si>
  <si>
    <t>SERVICIOS SOCIALES</t>
  </si>
  <si>
    <t>Atender grupos vulnerables</t>
  </si>
  <si>
    <t>Programa adulto mayor y discapacidad (meta PDOT-018)</t>
  </si>
  <si>
    <t>D · ANÁLISIS MOM-I — FRAGMENTACIÓN SELECTIVA DEL UNIVERSO EVALUADO §3.6.1</t>
  </si>
  <si>
    <t>Todos los cálculos son fórmulas vivas — actualizan al cambiar Sección B.</t>
  </si>
  <si>
    <t>Metas_SIGAD_2024</t>
  </si>
  <si>
    <t>Sección B — Año 2024</t>
  </si>
  <si>
    <t>Metas_SIAP_Total</t>
  </si>
  <si>
    <t>Universo estratégico PDOT</t>
  </si>
  <si>
    <t>Representatividad_Metas</t>
  </si>
  <si>
    <t>Presupuesto_SIGAD_2024</t>
  </si>
  <si>
    <t>Monto total proyectos SIGAD 2024</t>
  </si>
  <si>
    <t>Presupuesto_SIAP_Anual</t>
  </si>
  <si>
    <t>Universo estratégico SIAP 2024</t>
  </si>
  <si>
    <t>Representatividad_Presupuestaria</t>
  </si>
  <si>
    <t>ICM_Oficial_SIGAD</t>
  </si>
  <si>
    <t>Referencia desde H01 — actualiza automáticamente</t>
  </si>
  <si>
    <t>ICPI_SIAP</t>
  </si>
  <si>
    <t>Motor central H14</t>
  </si>
  <si>
    <t>Brecha_ICM_ICPI (pp)</t>
  </si>
  <si>
    <t>SEÑAL MOM-I</t>
  </si>
  <si>
    <t>Umbrales: &lt;20%=CRÍTICA | &lt;40%=ALTA | &lt;50%=ALTA-MEDIA | ≥50%=MEDIA</t>
  </si>
  <si>
    <t>✅ NOTA METODOLÓGICA</t>
  </si>
  <si>
    <t>Esta hoja es la fuente primaria del Silo 6 del CININ. Sin esta hoja, la Brecha ICM-ICPI es solo un número. CON esta hoja, la brecha es una afirmación verificable con el reporte oficial SIGAD.</t>
  </si>
  <si>
    <t>LA TRÍADA DE UNIVERSOS: PAC vs SIGAD vs SIAP</t>
  </si>
  <si>
    <t>PAC 2024 (universo contratación SERCOP)</t>
  </si>
  <si>
    <t>$8.7M — lo que el GAD planificó contratar va SERCOP</t>
  </si>
  <si>
    <t>SIGAD 2024 (universo auto-reporte ICM)</t>
  </si>
  <si>
    <t>$3.9M — 45% del PAC. ICM=100% sobre este universo.</t>
  </si>
  <si>
    <t>SIAP 2024 (universo estratégico PDOT)</t>
  </si>
  <si>
    <t>$9.5M — prioridad estratégica máxima del PDOT</t>
  </si>
  <si>
    <t>Reporte ICM SIGAD oficial GAD Montecristi 2024: 9 metas | 18 proyectos | $3,939,101.48 | ICM=100% | Responsable: Sonia Xiomara Rodríguez Mero</t>
  </si>
  <si>
    <t>pp — Brecha crítica &gt;50pp</t>
  </si>
  <si>
    <t>Referencia directa a H10B_DATOS_SIGAD Sección B — Año 2024</t>
  </si>
  <si>
    <t>$3,939,101 — monto real SIGAD 2024</t>
  </si>
  <si>
    <t>Presupuesto anual estratégico SIAP</t>
  </si>
  <si>
    <t>$9,525,000 = suma presupuestos anuales 20 metas PDOT</t>
  </si>
  <si>
    <t>Umbrales: &lt;20%=Alta | &lt;40%=Alta-Media | &lt;50%=Media-Alta | ≥50%=Media</t>
  </si>
  <si>
    <t>MOM-I §3.6.1 — Formula viva: se actualiza con H10B_DATOS_SIGAD y H01</t>
  </si>
  <si>
    <t>Silo SIGAD presente (H10B)</t>
  </si>
  <si>
    <t>H10B_DATOS_SIGAD</t>
  </si>
  <si>
    <t>Silo CNE presente (H04B)</t>
  </si>
  <si>
    <t>H04B_DATOS_CNE</t>
  </si>
  <si>
    <t>SUM de scores M de todos los ejes (excluye divisores)</t>
  </si>
  <si>
    <t>IFE — ÍNDICE DE FIDELIDAD ELECTORAL</t>
  </si>
  <si>
    <t>SIAP-ICPI v1.0 | H27 — VERIFICACIÓN DE INTEGRIDAD DEL MOTOR</t>
  </si>
  <si>
    <t>Panel de salud del motor — Detecta si algo se desconectó. Solo lectura.</t>
  </si>
  <si>
    <t>SECCIÓN 1 — DIAGNÓSTICO MOTOR CENTRAL</t>
  </si>
  <si>
    <t>ESPERADO</t>
  </si>
  <si>
    <t>ICPI Global</t>
  </si>
  <si>
    <t>&gt;0%</t>
  </si>
  <si>
    <t>Suma P_i normalizada</t>
  </si>
  <si>
    <t>Número de metas evaluadas</t>
  </si>
  <si>
    <t>ICM Oficial cargado</t>
  </si>
  <si>
    <t>&gt;30pp para este caso</t>
  </si>
  <si>
    <t>Metas con V_i=1 (certificadas)</t>
  </si>
  <si>
    <t>≥8</t>
  </si>
  <si>
    <t>ITAM Global activo</t>
  </si>
  <si>
    <t>&gt;0</t>
  </si>
  <si>
    <t>Señales MOM activas</t>
  </si>
  <si>
    <t>Ver H11_ALERTAS_MOM para detalle</t>
  </si>
  <si>
    <t>Informativo</t>
  </si>
  <si>
    <t>V_i (desde H14)</t>
  </si>
  <si>
    <t>T_i (desde H09)</t>
  </si>
  <si>
    <t>Nota: Esta hoja es el guardián del sistema. Si cualquier celda muestra ❌, la integridad del motor está comprometida. No modifiques H01-H26 directamente.</t>
  </si>
  <si>
    <t>SIAP-ICPI v1.0 | H28 — TABLERO DE SOPORTE A LA DECISIÓN DIRECTIVA</t>
  </si>
  <si>
    <t>Insumo técnico objetivo para la gestión del talento humano | El sistema genera evidencia algorítmica; la acción institucional es responsabilidad de la Dirección de Talento Humano.</t>
  </si>
  <si>
    <t>SECCIÓN 1 — KPIs DEL PERÍODO</t>
  </si>
  <si>
    <t>ICM SIGAD</t>
  </si>
  <si>
    <t>Unidades evaluadas</t>
  </si>
  <si>
    <t>SECCIÓN 2 — TABLERO IED POR UNIDAD</t>
  </si>
  <si>
    <t>UNIDAD / PROCESO</t>
  </si>
  <si>
    <t>NIVEL</t>
  </si>
  <si>
    <t>ESCENARIO PREDOMINANTE</t>
  </si>
  <si>
    <t>RECOMENDACIÓN TÉCNICA</t>
  </si>
  <si>
    <t>&gt;95%</t>
  </si>
  <si>
    <t>Compartir metodología</t>
  </si>
  <si>
    <t>Monitoreo mensual</t>
  </si>
  <si>
    <t>En Desarrollo</t>
  </si>
  <si>
    <t>Completar elementos faltantes</t>
  </si>
  <si>
    <t>Con Brechas</t>
  </si>
  <si>
    <t>Revisión de flujos</t>
  </si>
  <si>
    <t>Atención prioritaria</t>
  </si>
  <si>
    <t>NOTA INSTITUCIONAL: Este tablero es un insumo técnico objetivo generado algorítmicamente. No constituye evaluación de desempeño individual ni activa consecuencias automáticas bajo la LOSEP. La Dirección de Talento Humano es la instancia competente para interpretar estos indicadores y determinar acciones institucionales.</t>
  </si>
  <si>
    <t>SIAP-ICPI v1.0 | H29 — INFORME TÉCNICO DE CONGRUENCIA PROGRAMÁTICA</t>
  </si>
  <si>
    <t>Generado algorítmicamente desde el motor ICPI | Solo lectura | No es un memorando ni una sanción — es un informe técnico de datos</t>
  </si>
  <si>
    <t>SECCIÓN 1 — CABECERA DEL INFORME (AUTOMÁTICA)</t>
  </si>
  <si>
    <t>GAD:</t>
  </si>
  <si>
    <t>ICPI Global:</t>
  </si>
  <si>
    <t>Clasificación AVEP:</t>
  </si>
  <si>
    <t>Fecha generación:</t>
  </si>
  <si>
    <t>Responsable técnico:</t>
  </si>
  <si>
    <t>SECCIÓN 2 — TABLA DE INFORMES POR UNIDAD (8 DIRECCIONES)</t>
  </si>
  <si>
    <t>UNIDAD</t>
  </si>
  <si>
    <t>TIPO INFORME</t>
  </si>
  <si>
    <t>TEXTO AUTOMÁTICO</t>
  </si>
  <si>
    <t>SECCIÓN 3 — NOTA METODOLÓGICA</t>
  </si>
  <si>
    <t>Los Informes Técnicos de Congruencia son el producto documental del sistema SIAP-ICPI. Certifican el estado de la trazabilidad algorítmica de cada proceso. Son evidencia objetiva para: (1) mejora continua institucional, (2) trazabilidad ante organismos multilaterales, (3) insumo técnico para la Dirección de Talento Humano. No reemplazan los procedimientos establecidos en la normativa del servicio público.</t>
  </si>
  <si>
    <t>SIAP-ICPI v1.0 | H30 — EXPORTACIÓN COMPATIBLE SIGAD</t>
  </si>
  <si>
    <t>Datos listos para reporte al sistema SNP | Actualización automática desde motor</t>
  </si>
  <si>
    <t>SECCIÓN 1 — DATOS DEL REPORTE</t>
  </si>
  <si>
    <t>ICM Calculado SIAP:</t>
  </si>
  <si>
    <t>Fecha corte:</t>
  </si>
  <si>
    <t>SECCIÓN 2 — TABLA DE 20 METAS EN FORMATO SIGAD</t>
  </si>
  <si>
    <t>CÓDIGO_PDOT</t>
  </si>
  <si>
    <t>META_DESCRIPCION</t>
  </si>
  <si>
    <t>DIRECCIÓN</t>
  </si>
  <si>
    <t>PRESUP_CODIFICADO</t>
  </si>
  <si>
    <t>DEVENGADO</t>
  </si>
  <si>
    <t>AVANCE_Ti_%</t>
  </si>
  <si>
    <t>Vi_CERTIFICADO</t>
  </si>
  <si>
    <t>ESTADO_SIGAD</t>
  </si>
  <si>
    <t>OBSERVACIÓN</t>
  </si>
  <si>
    <t>Datos generados automáticamente por SIAP-ICPI v1.0. Para carga en SIGAD: exportar como CSV → Columnas A, B, G, I. El ICPI SIAP y el ICM SIGAD pueden diferir: el SIAP incluye validación cruzada de evidencia documental que el SIGAD no exige.</t>
  </si>
  <si>
    <t>SIAP-ICPI v1.0 | H31 — CONSOLIDADO LOTAIP ART. 7</t>
  </si>
  <si>
    <t>Vista de cumplimiento de transparencia activa | Fuente: H08_DOCUMENTOS_LOTAIP + H16_ITAM_TRANSPARENCIA</t>
  </si>
  <si>
    <t>SECCIÓN 1 — RESUMEN EJECUTIVO LOTAIP</t>
  </si>
  <si>
    <t>ITAM Global</t>
  </si>
  <si>
    <t>Metas V_LOTAIP=1</t>
  </si>
  <si>
    <t>Metas V_LOTAIP=0</t>
  </si>
  <si>
    <t>Docs Accesibles</t>
  </si>
  <si>
    <t>Docs Enlace Roto</t>
  </si>
  <si>
    <t>Docs Ausentes</t>
  </si>
  <si>
    <t>SECCIÓN 2 — TABLA DE 20 METAS CON ESTADO LOTAIP</t>
  </si>
  <si>
    <t>ITAM_Meta%</t>
  </si>
  <si>
    <t>Estado Consolidado</t>
  </si>
  <si>
    <t>Documentos Faltantes</t>
  </si>
  <si>
    <t>Prioridad Publicación</t>
  </si>
  <si>
    <t>SECCIÓN 3 — GUÍA DE ACCIÓN POR NIVEL</t>
  </si>
  <si>
    <t>✅ Transparencia plena</t>
  </si>
  <si>
    <t>Sin acción requerida</t>
  </si>
  <si>
    <t>🟡 Transparencia parcial</t>
  </si>
  <si>
    <t>Publicar acta de entrega-recepción en LOTAIP</t>
  </si>
  <si>
    <t>🟠 Acceso deficiente</t>
  </si>
  <si>
    <t>Republicar con enlace funcional y OCR legible</t>
  </si>
  <si>
    <t>🔴 Sin documentación</t>
  </si>
  <si>
    <t>Publicar contrato + acta + informe de conformidad</t>
  </si>
  <si>
    <t>El ITAM (Índice de Transparencia Activa Municipal) alimenta el V_LOTAIP del motor ICPI. Mejorar la publicación documental es la acción de mayor retorno en ICPI — ver H17_SENSIBILIDAD_DELTA para priorización.</t>
  </si>
  <si>
    <t>🔙 Volver al Índice</t>
  </si>
  <si>
    <t>Sin errores DIV/0</t>
  </si>
  <si>
    <t>Sin errores REF</t>
  </si>
  <si>
    <t>SECCIÓN 4 · CLASIFICACIÓN DE SEÑALES DE ATENCIÓN TEMPRANA §3.6</t>
  </si>
  <si>
    <t>Clasificación técnica de señales identificadas por los protocolos MOM. Cada señal indica una oportunidad de mejora en la gestión programática.</t>
  </si>
  <si>
    <t>Señal Tipo A — Brecha Documental</t>
  </si>
  <si>
    <t>Señal Tipo B — Proceso sin Registro Público</t>
  </si>
  <si>
    <t>Señal Tipo C — Anomalía en Indicador</t>
  </si>
  <si>
    <t>H19 — MÓDULO IED: EVALUACIÓN DIRECTIVA SISTÉMICA COMPLETA — Módulo de Mejora de Flujos Institucionales</t>
  </si>
  <si>
    <t>Artefacto operativo completo: 33 hojas — Motor Central (H01-H26) + Módulo de Salidas Institucionales (H27-H31). 797 fórmulas activas. 8 silos de información pública integrados. 0 errores de fórmula.</t>
  </si>
  <si>
    <t>ICPI = Índice de Congruencia Programática e Intersistémica | Sistema SIAP-ICPI v1.0 | Plataforma QUADRUM</t>
  </si>
  <si>
    <t>SECCIÓN 2 — VERIFICACIÓN DE CADENA (20 METAS)</t>
  </si>
  <si>
    <t>La clasificación de señales de atención temprana no reemplaza la potestad sancionatoria de los organismos de control (CGE, CPCCS). El sistema SIAP-ICPI genera evidencia técnica objetiva; la acción institucional corresponde a las autoridades competentes</t>
  </si>
  <si>
    <t>P-16</t>
  </si>
  <si>
    <t>Implementar plataforma digital de servicios municipales (TICs)</t>
  </si>
  <si>
    <t>Relacionada con recaudación digital — alcance diferente</t>
  </si>
  <si>
    <t>P-17</t>
  </si>
  <si>
    <t>Gestionar 28 convenios de cooperación institucional</t>
  </si>
  <si>
    <t>Parcialmente cubierta — convenios son medio, no meta directa</t>
  </si>
  <si>
    <t>P-18</t>
  </si>
  <si>
    <t>Crear espacios de participación ciudadana</t>
  </si>
  <si>
    <t>Meta LOTAIP cubre participación y transparencia activa</t>
  </si>
  <si>
    <t>P-19</t>
  </si>
  <si>
    <t>Mecanismos de rendición de cuentas periódicos y públicos</t>
  </si>
  <si>
    <t>Cubierta en meta de transparencia y rendición LOTAIP</t>
  </si>
  <si>
    <t>P-20</t>
  </si>
  <si>
    <t>Correspondencia directa con meta de gestión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</si>
</sst>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164" formatCode="dd/mm/yyyy"/>
    <numFmt numFmtId="165" formatCode="&quot;$&quot;#,##0"/>
    <numFmt numFmtId="166" formatCode="0.0000"/>
    <numFmt numFmtId="167" formatCode="0.0"/>
    <numFmt numFmtId="168" formatCode="0.0&quot;%%&quot;"/>
    <numFmt numFmtId="169" formatCode="0.0&quot;pp&quot;"/>
    <numFmt numFmtId="170" formatCode="&quot;$&quot;#,##0.00"/>
    <numFmt numFmtId="171" formatCode="0.0%"/>
  </numFmts>
  <fonts count="115" x14ac:knownFonts="1">
    <font>
      <sz val="11"/>
      <color theme="1"/>
      <name val="Aptos Narrow"/>
      <family val="2"/>
      <scheme val="minor"/>
    </font>
    <font>
      <b/>
      <sz val="11"/>
      <color theme="1"/>
      <name val="Aptos Narrow"/>
      <family val="2"/>
      <scheme val="minor"/>
    </font>
    <font>
      <b/>
      <sz val="16"/>
      <color rgb="FFFFFFFF"/>
      <name val="Aptos Narrow"/>
      <family val="2"/>
      <scheme val="minor"/>
    </font>
    <font>
      <sz val="11"/>
      <color rgb="FFFFFFFF"/>
      <name val="Aptos Narrow"/>
      <family val="2"/>
      <scheme val="minor"/>
    </font>
    <font>
      <sz val="12"/>
      <color rgb="FFFFFFFF"/>
      <name val="Aptos Narrow"/>
      <family val="2"/>
      <scheme val="minor"/>
    </font>
    <font>
      <i/>
      <sz val="11"/>
      <color rgb="FFFFFFFF"/>
      <name val="Aptos Narrow"/>
      <family val="2"/>
      <scheme val="minor"/>
    </font>
    <font>
      <sz val="11"/>
      <color rgb="FF888888"/>
      <name val="Aptos Narrow"/>
      <family val="2"/>
      <scheme val="minor"/>
    </font>
    <font>
      <i/>
      <sz val="11"/>
      <color rgb="FF888888"/>
      <name val="Aptos Narrow"/>
      <family val="2"/>
      <scheme val="minor"/>
    </font>
    <font>
      <b/>
      <sz val="11"/>
      <color rgb="FFFFFFFF"/>
      <name val="Aptos Narrow"/>
      <family val="2"/>
      <scheme val="minor"/>
    </font>
    <font>
      <b/>
      <sz val="14"/>
      <color rgb="FFFFFFFF"/>
      <name val="Aptos Narrow"/>
      <family val="2"/>
      <scheme val="minor"/>
    </font>
    <font>
      <b/>
      <sz val="11"/>
      <color rgb="FF003087"/>
      <name val="Aptos Narrow"/>
      <family val="2"/>
      <scheme val="minor"/>
    </font>
    <font>
      <sz val="11"/>
      <color rgb="FF000000"/>
      <name val="Aptos Narrow"/>
      <family val="2"/>
      <scheme val="minor"/>
    </font>
    <font>
      <b/>
      <sz val="12"/>
      <color rgb="FFFFFFFF"/>
      <name val="Aptos Narrow"/>
      <family val="2"/>
      <scheme val="minor"/>
    </font>
    <font>
      <b/>
      <sz val="14"/>
      <color theme="1"/>
      <name val="Aptos Narrow"/>
      <family val="2"/>
      <scheme val="minor"/>
    </font>
    <font>
      <b/>
      <sz val="18"/>
      <color theme="1"/>
      <name val="Aptos Narrow"/>
      <family val="2"/>
      <scheme val="minor"/>
    </font>
    <font>
      <i/>
      <sz val="11"/>
      <color theme="1"/>
      <name val="Aptos Narrow"/>
      <family val="2"/>
      <scheme val="minor"/>
    </font>
    <font>
      <b/>
      <sz val="13"/>
      <color rgb="FFFFFFFF"/>
      <name val="Aptos Narrow"/>
      <family val="2"/>
      <scheme val="minor"/>
    </font>
    <font>
      <i/>
      <sz val="11"/>
      <color rgb="FF003087"/>
      <name val="Aptos Narrow"/>
      <family val="2"/>
      <scheme val="minor"/>
    </font>
    <font>
      <i/>
      <sz val="11"/>
      <color rgb="FFCC7700"/>
      <name val="Aptos Narrow"/>
      <family val="2"/>
      <scheme val="minor"/>
    </font>
    <font>
      <sz val="11"/>
      <color rgb="FF003087"/>
      <name val="Aptos Narrow"/>
      <family val="2"/>
      <scheme val="minor"/>
    </font>
    <font>
      <b/>
      <i/>
      <sz val="11"/>
      <color rgb="FF003087"/>
      <name val="Aptos Narrow"/>
      <family val="2"/>
      <scheme val="minor"/>
    </font>
    <font>
      <sz val="9"/>
      <color theme="1"/>
      <name val="Aptos Narrow"/>
      <family val="2"/>
      <scheme val="minor"/>
    </font>
    <font>
      <i/>
      <sz val="9"/>
      <color rgb="FFFFFFFF"/>
      <name val="Aptos Narrow"/>
      <family val="2"/>
      <scheme val="minor"/>
    </font>
    <font>
      <b/>
      <sz val="10"/>
      <color rgb="FFFFFFFF"/>
      <name val="Aptos Narrow"/>
      <family val="2"/>
      <scheme val="minor"/>
    </font>
    <font>
      <b/>
      <sz val="8"/>
      <color theme="1"/>
      <name val="Aptos Narrow"/>
      <family val="2"/>
      <scheme val="minor"/>
    </font>
    <font>
      <b/>
      <sz val="8"/>
      <color rgb="FFFFFFFF"/>
      <name val="Aptos Narrow"/>
      <family val="2"/>
      <scheme val="minor"/>
    </font>
    <font>
      <b/>
      <sz val="20"/>
      <color rgb="FF1F6B42"/>
      <name val="Aptos Narrow"/>
      <family val="2"/>
      <scheme val="minor"/>
    </font>
    <font>
      <sz val="8"/>
      <color theme="1"/>
      <name val="Aptos Narrow"/>
      <family val="2"/>
      <scheme val="minor"/>
    </font>
    <font>
      <i/>
      <sz val="8"/>
      <color rgb="FF444444"/>
      <name val="Aptos Narrow"/>
      <family val="2"/>
      <scheme val="minor"/>
    </font>
    <font>
      <sz val="8"/>
      <color rgb="FF666666"/>
      <name val="Aptos Narrow"/>
      <family val="2"/>
      <scheme val="minor"/>
    </font>
    <font>
      <b/>
      <sz val="20"/>
      <color rgb="FF1F3868"/>
      <name val="Aptos Narrow"/>
      <family val="2"/>
      <scheme val="minor"/>
    </font>
    <font>
      <b/>
      <sz val="20"/>
      <color rgb="FF7B3F00"/>
      <name val="Aptos Narrow"/>
      <family val="2"/>
      <scheme val="minor"/>
    </font>
    <font>
      <b/>
      <sz val="20"/>
      <color rgb="FF00695C"/>
      <name val="Aptos Narrow"/>
      <family val="2"/>
      <scheme val="minor"/>
    </font>
    <font>
      <b/>
      <sz val="8"/>
      <color rgb="FF1F6B42"/>
      <name val="Aptos Narrow"/>
      <family val="2"/>
      <scheme val="minor"/>
    </font>
    <font>
      <b/>
      <sz val="8"/>
      <color rgb="FFFF6600"/>
      <name val="Aptos Narrow"/>
      <family val="2"/>
      <scheme val="minor"/>
    </font>
    <font>
      <b/>
      <sz val="9"/>
      <color theme="1"/>
      <name val="Aptos Narrow"/>
      <family val="2"/>
      <scheme val="minor"/>
    </font>
    <font>
      <b/>
      <sz val="9"/>
      <color rgb="FFFFFFFF"/>
      <name val="Aptos Narrow"/>
      <family val="2"/>
      <scheme val="minor"/>
    </font>
    <font>
      <i/>
      <sz val="8"/>
      <color rgb="FFFFFFFF"/>
      <name val="Aptos Narrow"/>
      <family val="2"/>
      <scheme val="minor"/>
    </font>
    <font>
      <i/>
      <sz val="10"/>
      <color rgb="FFFFFFFF"/>
      <name val="Aptos Narrow"/>
      <family val="2"/>
      <scheme val="minor"/>
    </font>
    <font>
      <i/>
      <sz val="8"/>
      <color rgb="FFCCCCCC"/>
      <name val="Aptos Narrow"/>
      <family val="2"/>
      <scheme val="minor"/>
    </font>
    <font>
      <b/>
      <sz val="22"/>
      <color rgb="FF1F3864"/>
      <name val="Aptos Narrow"/>
      <family val="2"/>
      <scheme val="minor"/>
    </font>
    <font>
      <i/>
      <sz val="7"/>
      <color rgb="FF555555"/>
      <name val="Aptos Narrow"/>
      <family val="2"/>
      <scheme val="minor"/>
    </font>
    <font>
      <sz val="7"/>
      <color rgb="FF888888"/>
      <name val="Aptos Narrow"/>
      <family val="2"/>
      <scheme val="minor"/>
    </font>
    <font>
      <b/>
      <sz val="22"/>
      <color rgb="FF1A5276"/>
      <name val="Aptos Narrow"/>
      <family val="2"/>
      <scheme val="minor"/>
    </font>
    <font>
      <b/>
      <sz val="22"/>
      <color rgb="FF1E8449"/>
      <name val="Aptos Narrow"/>
      <family val="2"/>
      <scheme val="minor"/>
    </font>
    <font>
      <b/>
      <sz val="22"/>
      <color rgb="FF922B21"/>
      <name val="Aptos Narrow"/>
      <family val="2"/>
      <scheme val="minor"/>
    </font>
    <font>
      <b/>
      <sz val="22"/>
      <color rgb="FF784212"/>
      <name val="Aptos Narrow"/>
      <family val="2"/>
      <scheme val="minor"/>
    </font>
    <font>
      <b/>
      <sz val="22"/>
      <color rgb="FF4A235A"/>
      <name val="Aptos Narrow"/>
      <family val="2"/>
      <scheme val="minor"/>
    </font>
    <font>
      <sz val="8"/>
      <color rgb="FF000000"/>
      <name val="Aptos Narrow"/>
      <family val="2"/>
      <scheme val="minor"/>
    </font>
    <font>
      <b/>
      <sz val="8"/>
      <color rgb="FFE67E22"/>
      <name val="Aptos Narrow"/>
      <family val="2"/>
      <scheme val="minor"/>
    </font>
    <font>
      <b/>
      <sz val="8"/>
      <color rgb="FFC0392B"/>
      <name val="Aptos Narrow"/>
      <family val="2"/>
      <scheme val="minor"/>
    </font>
    <font>
      <b/>
      <sz val="26"/>
      <color rgb="FFC0392B"/>
      <name val="Aptos Narrow"/>
      <family val="2"/>
      <scheme val="minor"/>
    </font>
    <font>
      <b/>
      <sz val="10"/>
      <color rgb="FFC0392B"/>
      <name val="Aptos Narrow"/>
      <family val="2"/>
      <scheme val="minor"/>
    </font>
    <font>
      <i/>
      <sz val="8"/>
      <color rgb="FF555555"/>
      <name val="Aptos Narrow"/>
      <family val="2"/>
      <scheme val="minor"/>
    </font>
    <font>
      <b/>
      <sz val="26"/>
      <color rgb="FFE67E22"/>
      <name val="Aptos Narrow"/>
      <family val="2"/>
      <scheme val="minor"/>
    </font>
    <font>
      <b/>
      <sz val="10"/>
      <color rgb="FFE67E22"/>
      <name val="Aptos Narrow"/>
      <family val="2"/>
      <scheme val="minor"/>
    </font>
    <font>
      <sz val="10"/>
      <color rgb="FFAAAAAA"/>
      <name val="Aptos Narrow"/>
      <family val="2"/>
      <scheme val="minor"/>
    </font>
    <font>
      <b/>
      <sz val="8"/>
      <color rgb="FF1E8449"/>
      <name val="Aptos Narrow"/>
      <family val="2"/>
      <scheme val="minor"/>
    </font>
    <font>
      <b/>
      <sz val="8"/>
      <color rgb="FF1565C0"/>
      <name val="Aptos Narrow"/>
      <family val="2"/>
      <scheme val="minor"/>
    </font>
    <font>
      <b/>
      <sz val="8"/>
      <color rgb="FF1B5E20"/>
      <name val="Aptos Narrow"/>
      <family val="2"/>
      <scheme val="minor"/>
    </font>
    <font>
      <b/>
      <sz val="8"/>
      <color rgb="FF827717"/>
      <name val="Aptos Narrow"/>
      <family val="2"/>
      <scheme val="minor"/>
    </font>
    <font>
      <b/>
      <sz val="8"/>
      <color rgb="FFB71C1C"/>
      <name val="Aptos Narrow"/>
      <family val="2"/>
      <scheme val="minor"/>
    </font>
    <font>
      <b/>
      <sz val="8"/>
      <color rgb="FFE65100"/>
      <name val="Aptos Narrow"/>
      <family val="2"/>
      <scheme val="minor"/>
    </font>
    <font>
      <b/>
      <sz val="8"/>
      <color rgb="FF4A148C"/>
      <name val="Aptos Narrow"/>
      <family val="2"/>
      <scheme val="minor"/>
    </font>
    <font>
      <b/>
      <sz val="8"/>
      <color rgb="FF006064"/>
      <name val="Aptos Narrow"/>
      <family val="2"/>
      <scheme val="minor"/>
    </font>
    <font>
      <b/>
      <sz val="8"/>
      <color rgb="FF000000"/>
      <name val="Aptos Narrow"/>
      <family val="2"/>
      <scheme val="minor"/>
    </font>
    <font>
      <b/>
      <sz val="12"/>
      <color rgb="FFFFFFFF"/>
      <name val="Aptos Narrow"/>
      <scheme val="minor"/>
    </font>
    <font>
      <sz val="11"/>
      <color rgb="FF000000"/>
      <name val="Aptos Narrow"/>
      <scheme val="minor"/>
    </font>
    <font>
      <b/>
      <sz val="11"/>
      <color rgb="FF000000"/>
      <name val="Aptos Narrow"/>
      <scheme val="minor"/>
    </font>
    <font>
      <b/>
      <sz val="12"/>
      <color rgb="FF000000"/>
      <name val="Aptos Narrow"/>
      <scheme val="minor"/>
    </font>
    <font>
      <b/>
      <i/>
      <sz val="10"/>
      <color rgb="FF000000"/>
      <name val="Aptos Narrow"/>
      <scheme val="minor"/>
    </font>
    <font>
      <b/>
      <sz val="13"/>
      <color rgb="FFFFFFFF"/>
      <name val="Aptos Narrow"/>
      <scheme val="minor"/>
    </font>
    <font>
      <sz val="11"/>
      <color rgb="FFFFFFFF"/>
      <name val="Aptos Narrow"/>
      <scheme val="minor"/>
    </font>
    <font>
      <i/>
      <sz val="11"/>
      <color rgb="FFFFFFFF"/>
      <name val="Aptos Narrow"/>
      <scheme val="minor"/>
    </font>
    <font>
      <b/>
      <sz val="11"/>
      <color rgb="FFFFFFFF"/>
      <name val="Aptos Narrow"/>
      <scheme val="minor"/>
    </font>
    <font>
      <sz val="10"/>
      <color rgb="FF000000"/>
      <name val="Aptos Narrow"/>
      <scheme val="minor"/>
    </font>
    <font>
      <i/>
      <sz val="10"/>
      <color rgb="FF000000"/>
      <name val="Aptos Narrow"/>
      <scheme val="minor"/>
    </font>
    <font>
      <sz val="11"/>
      <color theme="1"/>
      <name val="Aptos Narrow"/>
      <scheme val="minor"/>
    </font>
    <font>
      <b/>
      <sz val="11"/>
      <color theme="1"/>
      <name val="Aptos Narrow"/>
      <scheme val="minor"/>
    </font>
    <font>
      <i/>
      <sz val="10"/>
      <color rgb="FF888888"/>
      <name val="Aptos Narrow"/>
      <scheme val="minor"/>
    </font>
    <font>
      <i/>
      <sz val="8"/>
      <color rgb="FFCCCCCC"/>
      <name val="Aptos Narrow"/>
      <scheme val="minor"/>
    </font>
    <font>
      <i/>
      <sz val="9"/>
      <color rgb="FF003087"/>
      <name val="Aptos Narrow"/>
      <scheme val="minor"/>
    </font>
    <font>
      <i/>
      <sz val="9"/>
      <color rgb="FF888888"/>
      <name val="Aptos Narrow"/>
      <scheme val="minor"/>
    </font>
    <font>
      <i/>
      <sz val="9"/>
      <color rgb="FFFFFFFF"/>
      <name val="Aptos Narrow"/>
      <scheme val="minor"/>
    </font>
    <font>
      <sz val="9"/>
      <color theme="1"/>
      <name val="Aptos Narrow"/>
      <scheme val="minor"/>
    </font>
    <font>
      <sz val="11"/>
      <color rgb="FF888888"/>
      <name val="Aptos Narrow"/>
      <scheme val="minor"/>
    </font>
    <font>
      <i/>
      <sz val="9"/>
      <color rgb="FF555555"/>
      <name val="Aptos Narrow"/>
      <scheme val="minor"/>
    </font>
    <font>
      <b/>
      <sz val="14"/>
      <color rgb="FFFFFFFF"/>
      <name val="Aptos Narrow"/>
      <scheme val="minor"/>
    </font>
    <font>
      <i/>
      <sz val="11"/>
      <color rgb="FF888888"/>
      <name val="Aptos Narrow"/>
      <scheme val="minor"/>
    </font>
    <font>
      <sz val="10"/>
      <color rgb="FF555555"/>
      <name val="Aptos Narrow"/>
      <scheme val="minor"/>
    </font>
    <font>
      <i/>
      <sz val="10"/>
      <color rgb="FF555555"/>
      <name val="Aptos Narrow"/>
      <scheme val="minor"/>
    </font>
    <font>
      <b/>
      <sz val="11"/>
      <color rgb="FFCC0000"/>
      <name val="Aptos Narrow"/>
      <family val="2"/>
      <scheme val="minor"/>
    </font>
    <font>
      <b/>
      <sz val="12"/>
      <color theme="1"/>
      <name val="Aptos Narrow"/>
      <scheme val="minor"/>
    </font>
    <font>
      <b/>
      <sz val="10"/>
      <color rgb="FFCC3300"/>
      <name val="Aptos Narrow"/>
      <scheme val="minor"/>
    </font>
    <font>
      <b/>
      <sz val="11"/>
      <color rgb="FFCC3300"/>
      <name val="Aptos Narrow"/>
      <scheme val="minor"/>
    </font>
    <font>
      <b/>
      <sz val="18"/>
      <color rgb="FF000000"/>
      <name val="Aptos Narrow"/>
      <scheme val="minor"/>
    </font>
    <font>
      <b/>
      <sz val="18"/>
      <color rgb="FFFFFFFF"/>
      <name val="Aptos Narrow"/>
      <scheme val="minor"/>
    </font>
    <font>
      <b/>
      <sz val="8"/>
      <color rgb="FFFFFFFF"/>
      <name val="Aptos Narrow"/>
      <scheme val="minor"/>
    </font>
    <font>
      <b/>
      <sz val="20"/>
      <color rgb="FF1F6B42"/>
      <name val="Aptos Narrow"/>
      <scheme val="minor"/>
    </font>
    <font>
      <i/>
      <sz val="8"/>
      <color rgb="FF444444"/>
      <name val="Aptos Narrow"/>
      <scheme val="minor"/>
    </font>
    <font>
      <sz val="8"/>
      <color rgb="FF666666"/>
      <name val="Aptos Narrow"/>
      <scheme val="minor"/>
    </font>
    <font>
      <i/>
      <sz val="11"/>
      <color rgb="FF555555"/>
      <name val="Aptos Narrow"/>
      <family val="2"/>
      <scheme val="minor"/>
    </font>
    <font>
      <i/>
      <sz val="11"/>
      <color rgb="FFAA0000"/>
      <name val="Aptos Narrow"/>
      <family val="2"/>
      <scheme val="minor"/>
    </font>
    <font>
      <b/>
      <sz val="12"/>
      <color theme="1"/>
      <name val="Aptos Narrow"/>
      <family val="2"/>
      <scheme val="minor"/>
    </font>
    <font>
      <u/>
      <sz val="11"/>
      <color theme="10"/>
      <name val="Aptos Narrow"/>
      <family val="2"/>
      <scheme val="minor"/>
    </font>
    <font>
      <b/>
      <u/>
      <sz val="10"/>
      <color rgb="FF1F4E79"/>
      <name val="Aptos Narrow"/>
      <family val="2"/>
      <scheme val="minor"/>
    </font>
    <font>
      <sz val="11"/>
      <color theme="0"/>
      <name val="Aptos Narrow"/>
      <family val="2"/>
      <scheme val="minor"/>
    </font>
    <font>
      <b/>
      <u/>
      <sz val="10"/>
      <color theme="0"/>
      <name val="Aptos Narrow"/>
      <family val="2"/>
      <scheme val="minor"/>
    </font>
    <font>
      <i/>
      <sz val="10"/>
      <color rgb="FF000000"/>
      <name val="Aptos Narrow"/>
      <family val="2"/>
      <scheme val="minor"/>
    </font>
    <font>
      <b/>
      <sz val="11"/>
      <color theme="0"/>
      <name val="Aptos Narrow"/>
      <family val="2"/>
      <scheme val="minor"/>
    </font>
    <font>
      <b/>
      <sz val="13"/>
      <color theme="0"/>
      <name val="Aptos Narrow"/>
      <family val="2"/>
      <scheme val="minor"/>
    </font>
    <font>
      <i/>
      <sz val="11"/>
      <color theme="0"/>
      <name val="Aptos Narrow"/>
      <family val="2"/>
      <scheme val="minor"/>
    </font>
    <font>
      <b/>
      <sz val="12"/>
      <color theme="0"/>
      <name val="Aptos Narrow"/>
      <family val="2"/>
      <scheme val="minor"/>
    </font>
    <font>
      <b/>
      <sz val="14"/>
      <color theme="0"/>
      <name val="Aptos Narrow"/>
      <family val="2"/>
      <scheme val="minor"/>
    </font>
    <font>
      <sz val="11"/>
      <color theme="1"/>
      <name val="Aptos Narrow"/>
      <family val="2"/>
      <scheme val="minor"/>
    </font>
  </fonts>
  <fills count="76">
    <fill>
      <patternFill patternType="none"/>
    </fill>
    <fill>
      <patternFill patternType="gray125"/>
    </fill>
    <fill>
      <patternFill patternType="solid">
        <fgColor rgb="FF003087"/>
        <bgColor indexed="64"/>
      </patternFill>
    </fill>
    <fill>
      <patternFill patternType="solid">
        <fgColor rgb="FF1A4A8A"/>
        <bgColor indexed="64"/>
      </patternFill>
    </fill>
    <fill>
      <patternFill patternType="solid">
        <fgColor rgb="FFF0F4FF"/>
        <bgColor indexed="64"/>
      </patternFill>
    </fill>
    <fill>
      <patternFill patternType="solid">
        <fgColor rgb="FFFFFFFF"/>
        <bgColor indexed="64"/>
      </patternFill>
    </fill>
    <fill>
      <patternFill patternType="solid">
        <fgColor rgb="FF00AA44"/>
        <bgColor indexed="64"/>
      </patternFill>
    </fill>
    <fill>
      <patternFill patternType="solid">
        <fgColor rgb="FFFFF3CD"/>
        <bgColor indexed="64"/>
      </patternFill>
    </fill>
    <fill>
      <patternFill patternType="solid">
        <fgColor rgb="FFFF4444"/>
        <bgColor indexed="64"/>
      </patternFill>
    </fill>
    <fill>
      <patternFill patternType="solid">
        <fgColor rgb="FFFFA500"/>
        <bgColor indexed="64"/>
      </patternFill>
    </fill>
    <fill>
      <patternFill patternType="solid">
        <fgColor rgb="FF8B0000"/>
        <bgColor indexed="64"/>
      </patternFill>
    </fill>
    <fill>
      <patternFill patternType="solid">
        <fgColor rgb="FFFFD700"/>
        <bgColor indexed="64"/>
      </patternFill>
    </fill>
    <fill>
      <patternFill patternType="solid">
        <fgColor rgb="FF888888"/>
        <bgColor indexed="64"/>
      </patternFill>
    </fill>
    <fill>
      <patternFill patternType="solid">
        <fgColor rgb="FFCCFFCC"/>
        <bgColor indexed="64"/>
      </patternFill>
    </fill>
    <fill>
      <patternFill patternType="solid">
        <fgColor rgb="FFCC3300"/>
        <bgColor indexed="64"/>
      </patternFill>
    </fill>
    <fill>
      <patternFill patternType="solid">
        <fgColor rgb="FFFFF0E0"/>
        <bgColor indexed="64"/>
      </patternFill>
    </fill>
    <fill>
      <patternFill patternType="solid">
        <fgColor rgb="FFFFE0E0"/>
        <bgColor indexed="64"/>
      </patternFill>
    </fill>
    <fill>
      <patternFill patternType="solid">
        <fgColor rgb="FFE0FFE0"/>
        <bgColor indexed="64"/>
      </patternFill>
    </fill>
    <fill>
      <patternFill patternType="solid">
        <fgColor rgb="FFE0F0FF"/>
        <bgColor indexed="64"/>
      </patternFill>
    </fill>
    <fill>
      <patternFill patternType="solid">
        <fgColor rgb="FFFFE8D0"/>
        <bgColor indexed="64"/>
      </patternFill>
    </fill>
    <fill>
      <patternFill patternType="solid">
        <fgColor rgb="FFE8F4E8"/>
        <bgColor indexed="64"/>
      </patternFill>
    </fill>
    <fill>
      <patternFill patternType="solid">
        <fgColor rgb="FFE8F8FF"/>
        <bgColor indexed="64"/>
      </patternFill>
    </fill>
    <fill>
      <patternFill patternType="solid">
        <fgColor rgb="FFFFF0D0"/>
        <bgColor indexed="64"/>
      </patternFill>
    </fill>
    <fill>
      <patternFill patternType="solid">
        <fgColor rgb="FFFFE8E8"/>
        <bgColor indexed="64"/>
      </patternFill>
    </fill>
    <fill>
      <patternFill patternType="solid">
        <fgColor rgb="FFFFF8E0"/>
        <bgColor indexed="64"/>
      </patternFill>
    </fill>
    <fill>
      <patternFill patternType="solid">
        <fgColor rgb="FFE8FFE8"/>
        <bgColor indexed="64"/>
      </patternFill>
    </fill>
    <fill>
      <patternFill patternType="solid">
        <fgColor rgb="FFE8F8E8"/>
        <bgColor indexed="64"/>
      </patternFill>
    </fill>
    <fill>
      <patternFill patternType="solid">
        <fgColor rgb="FFFFD0D0"/>
        <bgColor indexed="64"/>
      </patternFill>
    </fill>
    <fill>
      <patternFill patternType="solid">
        <fgColor rgb="FFFFF8D0"/>
        <bgColor indexed="64"/>
      </patternFill>
    </fill>
    <fill>
      <patternFill patternType="solid">
        <fgColor rgb="FFFFE0D0"/>
        <bgColor indexed="64"/>
      </patternFill>
    </fill>
    <fill>
      <patternFill patternType="solid">
        <fgColor rgb="FF1F3864"/>
        <bgColor indexed="64"/>
      </patternFill>
    </fill>
    <fill>
      <patternFill patternType="solid">
        <fgColor rgb="FF2E5090"/>
        <bgColor indexed="64"/>
      </patternFill>
    </fill>
    <fill>
      <patternFill patternType="solid">
        <fgColor rgb="FFD9E1F2"/>
        <bgColor indexed="64"/>
      </patternFill>
    </fill>
    <fill>
      <patternFill patternType="solid">
        <fgColor rgb="FF375623"/>
        <bgColor indexed="64"/>
      </patternFill>
    </fill>
    <fill>
      <patternFill patternType="solid">
        <fgColor rgb="FF1F6B42"/>
        <bgColor indexed="64"/>
      </patternFill>
    </fill>
    <fill>
      <patternFill patternType="solid">
        <fgColor rgb="FFE8F5E9"/>
        <bgColor indexed="64"/>
      </patternFill>
    </fill>
    <fill>
      <patternFill patternType="solid">
        <fgColor rgb="FF1F3868"/>
        <bgColor indexed="64"/>
      </patternFill>
    </fill>
    <fill>
      <patternFill patternType="solid">
        <fgColor rgb="FFEEF2FF"/>
        <bgColor indexed="64"/>
      </patternFill>
    </fill>
    <fill>
      <patternFill patternType="solid">
        <fgColor rgb="FF7B3F00"/>
        <bgColor indexed="64"/>
      </patternFill>
    </fill>
    <fill>
      <patternFill patternType="solid">
        <fgColor rgb="FFFFF8F0"/>
        <bgColor indexed="64"/>
      </patternFill>
    </fill>
    <fill>
      <patternFill patternType="solid">
        <fgColor rgb="FF00695C"/>
        <bgColor indexed="64"/>
      </patternFill>
    </fill>
    <fill>
      <patternFill patternType="solid">
        <fgColor rgb="FFE0F2F1"/>
        <bgColor indexed="64"/>
      </patternFill>
    </fill>
    <fill>
      <patternFill patternType="solid">
        <fgColor rgb="FFF0FFF4"/>
        <bgColor indexed="64"/>
      </patternFill>
    </fill>
    <fill>
      <patternFill patternType="solid">
        <fgColor rgb="FFF8F9FA"/>
        <bgColor indexed="64"/>
      </patternFill>
    </fill>
    <fill>
      <patternFill patternType="solid">
        <fgColor rgb="FF4A235A"/>
        <bgColor indexed="64"/>
      </patternFill>
    </fill>
    <fill>
      <patternFill patternType="solid">
        <fgColor rgb="FFF3E5F5"/>
        <bgColor indexed="64"/>
      </patternFill>
    </fill>
    <fill>
      <patternFill patternType="solid">
        <fgColor rgb="FF1A2A4A"/>
        <bgColor indexed="64"/>
      </patternFill>
    </fill>
    <fill>
      <patternFill patternType="solid">
        <fgColor rgb="FFE8EAF6"/>
        <bgColor indexed="64"/>
      </patternFill>
    </fill>
    <fill>
      <patternFill patternType="solid">
        <fgColor rgb="FF1A5276"/>
        <bgColor indexed="64"/>
      </patternFill>
    </fill>
    <fill>
      <patternFill patternType="solid">
        <fgColor rgb="FFD6EAF8"/>
        <bgColor indexed="64"/>
      </patternFill>
    </fill>
    <fill>
      <patternFill patternType="solid">
        <fgColor rgb="FF1E8449"/>
        <bgColor indexed="64"/>
      </patternFill>
    </fill>
    <fill>
      <patternFill patternType="solid">
        <fgColor rgb="FFD5F5E3"/>
        <bgColor indexed="64"/>
      </patternFill>
    </fill>
    <fill>
      <patternFill patternType="solid">
        <fgColor rgb="FF922B21"/>
        <bgColor indexed="64"/>
      </patternFill>
    </fill>
    <fill>
      <patternFill patternType="solid">
        <fgColor rgb="FFFADBD8"/>
        <bgColor indexed="64"/>
      </patternFill>
    </fill>
    <fill>
      <patternFill patternType="solid">
        <fgColor rgb="FF784212"/>
        <bgColor indexed="64"/>
      </patternFill>
    </fill>
    <fill>
      <patternFill patternType="solid">
        <fgColor rgb="FFFDEBD0"/>
        <bgColor indexed="64"/>
      </patternFill>
    </fill>
    <fill>
      <patternFill patternType="solid">
        <fgColor rgb="FFF4ECF7"/>
        <bgColor indexed="64"/>
      </patternFill>
    </fill>
    <fill>
      <patternFill patternType="solid">
        <fgColor rgb="FFE8EAED"/>
        <bgColor indexed="64"/>
      </patternFill>
    </fill>
    <fill>
      <patternFill patternType="solid">
        <fgColor rgb="FFFFE5E5"/>
        <bgColor indexed="64"/>
      </patternFill>
    </fill>
    <fill>
      <patternFill patternType="solid">
        <fgColor rgb="FFC0392B"/>
        <bgColor indexed="64"/>
      </patternFill>
    </fill>
    <fill>
      <patternFill patternType="solid">
        <fgColor rgb="FFFFF0E5"/>
        <bgColor indexed="64"/>
      </patternFill>
    </fill>
    <fill>
      <patternFill patternType="solid">
        <fgColor rgb="FFE67E22"/>
        <bgColor indexed="64"/>
      </patternFill>
    </fill>
    <fill>
      <patternFill patternType="solid">
        <fgColor rgb="FFFFFBE5"/>
        <bgColor indexed="64"/>
      </patternFill>
    </fill>
    <fill>
      <patternFill patternType="solid">
        <fgColor rgb="FFF39C12"/>
        <bgColor indexed="64"/>
      </patternFill>
    </fill>
    <fill>
      <patternFill patternType="solid">
        <fgColor rgb="FFF5FFF5"/>
        <bgColor indexed="64"/>
      </patternFill>
    </fill>
    <fill>
      <patternFill patternType="solid">
        <fgColor rgb="FF27AE60"/>
        <bgColor indexed="64"/>
      </patternFill>
    </fill>
    <fill>
      <patternFill patternType="solid">
        <fgColor rgb="FFFFF8E5"/>
        <bgColor indexed="64"/>
      </patternFill>
    </fill>
    <fill>
      <patternFill patternType="solid">
        <fgColor rgb="FFE3F2FD"/>
        <bgColor indexed="64"/>
      </patternFill>
    </fill>
    <fill>
      <patternFill patternType="solid">
        <fgColor rgb="FFFFF9C4"/>
        <bgColor indexed="64"/>
      </patternFill>
    </fill>
    <fill>
      <patternFill patternType="solid">
        <fgColor rgb="FFFFF3E0"/>
        <bgColor indexed="64"/>
      </patternFill>
    </fill>
    <fill>
      <patternFill patternType="solid">
        <fgColor rgb="FFE0F7FA"/>
        <bgColor indexed="64"/>
      </patternFill>
    </fill>
    <fill>
      <patternFill patternType="solid">
        <fgColor rgb="FFFCE4EC"/>
        <bgColor indexed="64"/>
      </patternFill>
    </fill>
    <fill>
      <patternFill patternType="solid">
        <fgColor rgb="FFFFF8E1"/>
        <bgColor indexed="64"/>
      </patternFill>
    </fill>
    <fill>
      <patternFill patternType="solid">
        <fgColor rgb="FFF5F5F5"/>
        <bgColor indexed="64"/>
      </patternFill>
    </fill>
    <fill>
      <patternFill patternType="solid">
        <fgColor rgb="FFF9F9F9"/>
        <bgColor indexed="64"/>
      </patternFill>
    </fill>
    <fill>
      <patternFill patternType="solid">
        <fgColor rgb="FFFFFDE7"/>
        <bgColor indexed="64"/>
      </patternFill>
    </fill>
  </fills>
  <borders count="2">
    <border>
      <left/>
      <right/>
      <top/>
      <bottom/>
      <diagonal/>
    </border>
    <border>
      <left/>
      <right/>
      <top style="medium">
        <color rgb="FFFFC107"/>
      </top>
      <bottom style="medium">
        <color rgb="FFFFC107"/>
      </bottom>
      <diagonal/>
    </border>
  </borders>
  <cellStyleXfs count="3">
    <xf numFmtId="0" fontId="0" fillId="0" borderId="0"/>
    <xf numFmtId="0" fontId="104" fillId="0" borderId="0" applyNumberFormat="0" applyFill="0" applyBorder="0" applyAlignment="0" applyProtection="0"/>
    <xf numFmtId="9" fontId="114" fillId="0" borderId="0" applyFont="0" applyFill="0" applyBorder="0" applyAlignment="0" applyProtection="0"/>
  </cellStyleXfs>
  <cellXfs count="587">
    <xf numFmtId="0" fontId="0" fillId="0" borderId="0" xfId="0"/>
    <xf numFmtId="0" fontId="1" fillId="0" borderId="0" xfId="0" applyFont="1"/>
    <xf numFmtId="0" fontId="0" fillId="2" borderId="0" xfId="0" applyFill="1"/>
    <xf numFmtId="0" fontId="6" fillId="0" borderId="0" xfId="0" applyFont="1"/>
    <xf numFmtId="0" fontId="7" fillId="0" borderId="0" xfId="0" applyFont="1"/>
    <xf numFmtId="0" fontId="8" fillId="2" borderId="0" xfId="0" applyFont="1" applyFill="1"/>
    <xf numFmtId="0" fontId="0" fillId="4" borderId="0" xfId="0" applyFill="1"/>
    <xf numFmtId="0" fontId="0" fillId="5" borderId="0" xfId="0" applyFill="1"/>
    <xf numFmtId="164" fontId="0" fillId="4" borderId="0" xfId="0" applyNumberFormat="1" applyFill="1"/>
    <xf numFmtId="10" fontId="0" fillId="4" borderId="0" xfId="0" applyNumberFormat="1" applyFill="1"/>
    <xf numFmtId="165" fontId="0" fillId="5" borderId="0" xfId="0" applyNumberFormat="1" applyFill="1"/>
    <xf numFmtId="3" fontId="0" fillId="5" borderId="0" xfId="0" applyNumberFormat="1" applyFill="1"/>
    <xf numFmtId="0" fontId="1" fillId="4" borderId="0" xfId="0" applyFont="1" applyFill="1"/>
    <xf numFmtId="0" fontId="1" fillId="5" borderId="0" xfId="0" applyFont="1" applyFill="1"/>
    <xf numFmtId="0" fontId="8" fillId="3" borderId="0" xfId="0" applyFont="1" applyFill="1"/>
    <xf numFmtId="0" fontId="0" fillId="4" borderId="0" xfId="0" applyFill="1" applyAlignment="1">
      <alignment horizontal="center"/>
    </xf>
    <xf numFmtId="0" fontId="0" fillId="5" borderId="0" xfId="0" applyFill="1" applyAlignment="1">
      <alignment horizontal="center"/>
    </xf>
    <xf numFmtId="0" fontId="3" fillId="6" borderId="0" xfId="0" applyFont="1" applyFill="1"/>
    <xf numFmtId="0" fontId="8" fillId="6" borderId="0" xfId="0" applyFont="1" applyFill="1"/>
    <xf numFmtId="0" fontId="10" fillId="0" borderId="0" xfId="0" applyFont="1"/>
    <xf numFmtId="0" fontId="0" fillId="7" borderId="0" xfId="0" applyFill="1"/>
    <xf numFmtId="0" fontId="3" fillId="8" borderId="0" xfId="0" applyFont="1" applyFill="1"/>
    <xf numFmtId="166" fontId="0" fillId="4" borderId="0" xfId="0" applyNumberFormat="1" applyFill="1"/>
    <xf numFmtId="167" fontId="0" fillId="4" borderId="0" xfId="0" applyNumberFormat="1" applyFill="1"/>
    <xf numFmtId="165" fontId="0" fillId="4" borderId="0" xfId="0" applyNumberFormat="1" applyFill="1"/>
    <xf numFmtId="166" fontId="0" fillId="5" borderId="0" xfId="0" applyNumberFormat="1" applyFill="1"/>
    <xf numFmtId="167" fontId="0" fillId="5" borderId="0" xfId="0" applyNumberFormat="1" applyFill="1"/>
    <xf numFmtId="0" fontId="0" fillId="9" borderId="0" xfId="0" applyFill="1"/>
    <xf numFmtId="0" fontId="3" fillId="9" borderId="0" xfId="0" applyFont="1" applyFill="1"/>
    <xf numFmtId="0" fontId="8" fillId="9" borderId="0" xfId="0" applyFont="1" applyFill="1"/>
    <xf numFmtId="0" fontId="10" fillId="4" borderId="0" xfId="0" applyFont="1" applyFill="1"/>
    <xf numFmtId="0" fontId="8" fillId="8" borderId="0" xfId="0" applyFont="1" applyFill="1"/>
    <xf numFmtId="0" fontId="10" fillId="5" borderId="0" xfId="0" applyFont="1" applyFill="1"/>
    <xf numFmtId="0" fontId="3" fillId="10" borderId="0" xfId="0" applyFont="1" applyFill="1"/>
    <xf numFmtId="0" fontId="8" fillId="10" borderId="0" xfId="0" applyFont="1" applyFill="1"/>
    <xf numFmtId="166" fontId="1" fillId="11" borderId="0" xfId="0" applyNumberFormat="1" applyFont="1" applyFill="1"/>
    <xf numFmtId="0" fontId="1" fillId="11" borderId="0" xfId="0" applyFont="1" applyFill="1"/>
    <xf numFmtId="14" fontId="0" fillId="5" borderId="0" xfId="0" applyNumberFormat="1" applyFill="1"/>
    <xf numFmtId="14" fontId="0" fillId="4" borderId="0" xfId="0" applyNumberFormat="1" applyFill="1"/>
    <xf numFmtId="0" fontId="3" fillId="12" borderId="0" xfId="0" applyFont="1" applyFill="1"/>
    <xf numFmtId="10" fontId="11" fillId="8" borderId="0" xfId="0" applyNumberFormat="1" applyFont="1" applyFill="1"/>
    <xf numFmtId="10" fontId="0" fillId="5" borderId="0" xfId="0" applyNumberFormat="1" applyFill="1"/>
    <xf numFmtId="10" fontId="11" fillId="6" borderId="0" xfId="0" applyNumberFormat="1" applyFont="1" applyFill="1"/>
    <xf numFmtId="10" fontId="11" fillId="9" borderId="0" xfId="0" applyNumberFormat="1" applyFont="1" applyFill="1"/>
    <xf numFmtId="10" fontId="3" fillId="2" borderId="0" xfId="0" applyNumberFormat="1" applyFont="1" applyFill="1"/>
    <xf numFmtId="165" fontId="8" fillId="2" borderId="0" xfId="0" applyNumberFormat="1" applyFont="1" applyFill="1"/>
    <xf numFmtId="10" fontId="8" fillId="2" borderId="0" xfId="0" applyNumberFormat="1" applyFont="1" applyFill="1"/>
    <xf numFmtId="9" fontId="0" fillId="5" borderId="0" xfId="0" applyNumberFormat="1" applyFill="1"/>
    <xf numFmtId="0" fontId="0" fillId="5" borderId="0" xfId="0" quotePrefix="1" applyFill="1"/>
    <xf numFmtId="9" fontId="0" fillId="7" borderId="0" xfId="0" applyNumberFormat="1" applyFill="1"/>
    <xf numFmtId="0" fontId="0" fillId="7" borderId="0" xfId="0" quotePrefix="1" applyFill="1"/>
    <xf numFmtId="0" fontId="8" fillId="7" borderId="0" xfId="0" applyFont="1" applyFill="1"/>
    <xf numFmtId="9" fontId="0" fillId="4" borderId="0" xfId="0" applyNumberFormat="1" applyFill="1"/>
    <xf numFmtId="0" fontId="0" fillId="4" borderId="0" xfId="0" quotePrefix="1" applyFill="1"/>
    <xf numFmtId="2" fontId="0" fillId="4" borderId="0" xfId="0" applyNumberFormat="1" applyFill="1"/>
    <xf numFmtId="2" fontId="0" fillId="6" borderId="0" xfId="0" applyNumberFormat="1" applyFill="1"/>
    <xf numFmtId="2" fontId="0" fillId="5" borderId="0" xfId="0" applyNumberFormat="1" applyFill="1"/>
    <xf numFmtId="2" fontId="0" fillId="11" borderId="0" xfId="0" applyNumberFormat="1" applyFill="1"/>
    <xf numFmtId="2" fontId="0" fillId="9" borderId="0" xfId="0" applyNumberFormat="1" applyFill="1"/>
    <xf numFmtId="0" fontId="8" fillId="11" borderId="0" xfId="0" applyFont="1" applyFill="1"/>
    <xf numFmtId="166" fontId="3" fillId="2" borderId="0" xfId="0" applyNumberFormat="1" applyFont="1" applyFill="1"/>
    <xf numFmtId="0" fontId="13" fillId="0" borderId="0" xfId="0" applyFont="1"/>
    <xf numFmtId="168" fontId="0" fillId="0" borderId="0" xfId="0" applyNumberFormat="1"/>
    <xf numFmtId="169" fontId="8" fillId="8" borderId="0" xfId="0" applyNumberFormat="1" applyFont="1" applyFill="1"/>
    <xf numFmtId="0" fontId="15" fillId="0" borderId="0" xfId="0" applyFont="1"/>
    <xf numFmtId="0" fontId="17" fillId="0" borderId="0" xfId="0" applyFont="1"/>
    <xf numFmtId="0" fontId="8" fillId="14" borderId="0" xfId="0" applyFont="1" applyFill="1"/>
    <xf numFmtId="0" fontId="0" fillId="15" borderId="0" xfId="0" applyFill="1"/>
    <xf numFmtId="9" fontId="0" fillId="15" borderId="0" xfId="0" applyNumberFormat="1" applyFill="1"/>
    <xf numFmtId="0" fontId="0" fillId="16" borderId="0" xfId="0" applyFill="1"/>
    <xf numFmtId="0" fontId="0" fillId="17" borderId="0" xfId="0" applyFill="1"/>
    <xf numFmtId="0" fontId="18" fillId="0" borderId="0" xfId="0" applyFont="1"/>
    <xf numFmtId="0" fontId="1" fillId="18" borderId="0" xfId="0" applyFont="1" applyFill="1"/>
    <xf numFmtId="10" fontId="0" fillId="0" borderId="0" xfId="0" applyNumberFormat="1"/>
    <xf numFmtId="0" fontId="17" fillId="4" borderId="0" xfId="0" applyFont="1" applyFill="1"/>
    <xf numFmtId="0" fontId="0" fillId="19" borderId="0" xfId="0" applyFill="1"/>
    <xf numFmtId="0" fontId="0" fillId="20" borderId="0" xfId="0" applyFill="1"/>
    <xf numFmtId="0" fontId="0" fillId="21" borderId="0" xfId="0" applyFill="1"/>
    <xf numFmtId="0" fontId="0" fillId="22" borderId="0" xfId="0" applyFill="1"/>
    <xf numFmtId="0" fontId="17" fillId="20" borderId="0" xfId="0" applyFont="1" applyFill="1"/>
    <xf numFmtId="0" fontId="0" fillId="23" borderId="0" xfId="0" applyFill="1"/>
    <xf numFmtId="0" fontId="1" fillId="17" borderId="0" xfId="0" applyFont="1" applyFill="1"/>
    <xf numFmtId="0" fontId="19" fillId="0" borderId="0" xfId="0" applyFont="1"/>
    <xf numFmtId="10" fontId="0" fillId="16" borderId="0" xfId="0" applyNumberFormat="1" applyFill="1"/>
    <xf numFmtId="0" fontId="0" fillId="24" borderId="0" xfId="0" applyFill="1"/>
    <xf numFmtId="10" fontId="0" fillId="24" borderId="0" xfId="0" applyNumberFormat="1" applyFill="1"/>
    <xf numFmtId="0" fontId="0" fillId="25" borderId="0" xfId="0" applyFill="1"/>
    <xf numFmtId="10" fontId="0" fillId="25" borderId="0" xfId="0" applyNumberFormat="1" applyFill="1"/>
    <xf numFmtId="0" fontId="20" fillId="25" borderId="0" xfId="0" applyFont="1" applyFill="1"/>
    <xf numFmtId="10" fontId="0" fillId="19" borderId="0" xfId="0" applyNumberFormat="1" applyFill="1"/>
    <xf numFmtId="10" fontId="0" fillId="17" borderId="0" xfId="0" applyNumberFormat="1" applyFill="1"/>
    <xf numFmtId="0" fontId="0" fillId="26" borderId="0" xfId="0" applyFill="1"/>
    <xf numFmtId="10" fontId="0" fillId="26" borderId="0" xfId="0" applyNumberFormat="1" applyFill="1"/>
    <xf numFmtId="10" fontId="0" fillId="20" borderId="0" xfId="0" applyNumberFormat="1" applyFill="1"/>
    <xf numFmtId="0" fontId="0" fillId="27" borderId="0" xfId="0" applyFill="1"/>
    <xf numFmtId="10" fontId="0" fillId="27" borderId="0" xfId="0" applyNumberFormat="1" applyFill="1"/>
    <xf numFmtId="0" fontId="1" fillId="27" borderId="0" xfId="0" applyFont="1" applyFill="1"/>
    <xf numFmtId="10" fontId="1" fillId="27" borderId="0" xfId="0" applyNumberFormat="1" applyFont="1" applyFill="1"/>
    <xf numFmtId="0" fontId="1" fillId="24" borderId="0" xfId="0" applyFont="1" applyFill="1"/>
    <xf numFmtId="0" fontId="17" fillId="24" borderId="0" xfId="0" applyFont="1" applyFill="1"/>
    <xf numFmtId="0" fontId="0" fillId="28" borderId="0" xfId="0" applyFill="1"/>
    <xf numFmtId="10" fontId="0" fillId="28" borderId="0" xfId="0" applyNumberFormat="1" applyFill="1"/>
    <xf numFmtId="0" fontId="1" fillId="9" borderId="0" xfId="0" applyFont="1" applyFill="1"/>
    <xf numFmtId="0" fontId="13" fillId="4" borderId="0" xfId="0" applyFont="1" applyFill="1"/>
    <xf numFmtId="0" fontId="1" fillId="16" borderId="0" xfId="0" applyFont="1" applyFill="1"/>
    <xf numFmtId="0" fontId="1" fillId="19" borderId="0" xfId="0" applyFont="1" applyFill="1"/>
    <xf numFmtId="0" fontId="0" fillId="29" borderId="0" xfId="0" applyFill="1"/>
    <xf numFmtId="10" fontId="0" fillId="29" borderId="0" xfId="0" applyNumberFormat="1" applyFill="1"/>
    <xf numFmtId="17" fontId="0" fillId="4" borderId="0" xfId="0" applyNumberFormat="1" applyFill="1"/>
    <xf numFmtId="9" fontId="0" fillId="17" borderId="0" xfId="0" applyNumberFormat="1" applyFill="1"/>
    <xf numFmtId="9" fontId="0" fillId="16" borderId="0" xfId="0" applyNumberFormat="1" applyFill="1"/>
    <xf numFmtId="0" fontId="0" fillId="32" borderId="0" xfId="0" applyFill="1"/>
    <xf numFmtId="0" fontId="25" fillId="38" borderId="0" xfId="0" applyFont="1" applyFill="1" applyAlignment="1">
      <alignment horizontal="center"/>
    </xf>
    <xf numFmtId="0" fontId="25" fillId="30" borderId="0" xfId="0" applyFont="1" applyFill="1"/>
    <xf numFmtId="0" fontId="25" fillId="30" borderId="0" xfId="0" applyFont="1" applyFill="1" applyAlignment="1">
      <alignment horizontal="center"/>
    </xf>
    <xf numFmtId="0" fontId="27" fillId="37" borderId="0" xfId="0" applyFont="1" applyFill="1"/>
    <xf numFmtId="16" fontId="27" fillId="37" borderId="0" xfId="0" applyNumberFormat="1" applyFont="1" applyFill="1"/>
    <xf numFmtId="9" fontId="27" fillId="37" borderId="0" xfId="0" applyNumberFormat="1" applyFont="1" applyFill="1"/>
    <xf numFmtId="0" fontId="24" fillId="37" borderId="0" xfId="0" applyFont="1" applyFill="1"/>
    <xf numFmtId="0" fontId="33" fillId="37" borderId="0" xfId="0" applyFont="1" applyFill="1"/>
    <xf numFmtId="0" fontId="27" fillId="42" borderId="0" xfId="0" applyFont="1" applyFill="1"/>
    <xf numFmtId="16" fontId="27" fillId="42" borderId="0" xfId="0" applyNumberFormat="1" applyFont="1" applyFill="1"/>
    <xf numFmtId="9" fontId="27" fillId="42" borderId="0" xfId="0" applyNumberFormat="1" applyFont="1" applyFill="1"/>
    <xf numFmtId="0" fontId="24" fillId="42" borderId="0" xfId="0" applyFont="1" applyFill="1"/>
    <xf numFmtId="0" fontId="33" fillId="42" borderId="0" xfId="0" applyFont="1" applyFill="1"/>
    <xf numFmtId="0" fontId="27" fillId="39" borderId="0" xfId="0" applyFont="1" applyFill="1"/>
    <xf numFmtId="10" fontId="27" fillId="39" borderId="0" xfId="0" applyNumberFormat="1" applyFont="1" applyFill="1"/>
    <xf numFmtId="9" fontId="27" fillId="39" borderId="0" xfId="0" applyNumberFormat="1" applyFont="1" applyFill="1"/>
    <xf numFmtId="0" fontId="24" fillId="39" borderId="0" xfId="0" applyFont="1" applyFill="1"/>
    <xf numFmtId="0" fontId="34" fillId="39" borderId="0" xfId="0" applyFont="1" applyFill="1"/>
    <xf numFmtId="0" fontId="36" fillId="30" borderId="0" xfId="0" applyFont="1" applyFill="1" applyAlignment="1">
      <alignment horizontal="center"/>
    </xf>
    <xf numFmtId="9" fontId="36" fillId="30" borderId="0" xfId="0" applyNumberFormat="1" applyFont="1" applyFill="1" applyAlignment="1">
      <alignment horizontal="center"/>
    </xf>
    <xf numFmtId="167" fontId="36" fillId="30" borderId="0" xfId="0" applyNumberFormat="1" applyFont="1" applyFill="1" applyAlignment="1">
      <alignment horizontal="center"/>
    </xf>
    <xf numFmtId="0" fontId="25" fillId="44" borderId="0" xfId="0" applyFont="1" applyFill="1" applyAlignment="1">
      <alignment horizontal="center"/>
    </xf>
    <xf numFmtId="0" fontId="27" fillId="45" borderId="0" xfId="0" applyFont="1" applyFill="1"/>
    <xf numFmtId="0" fontId="24" fillId="39" borderId="0" xfId="0" applyFont="1" applyFill="1" applyAlignment="1">
      <alignment horizontal="center" wrapText="1"/>
    </xf>
    <xf numFmtId="0" fontId="24" fillId="5" borderId="0" xfId="0" applyFont="1" applyFill="1" applyAlignment="1">
      <alignment horizontal="center" wrapText="1"/>
    </xf>
    <xf numFmtId="0" fontId="0" fillId="57" borderId="0" xfId="0" applyFill="1"/>
    <xf numFmtId="0" fontId="27" fillId="58" borderId="0" xfId="0" applyFont="1" applyFill="1"/>
    <xf numFmtId="10" fontId="27" fillId="58" borderId="0" xfId="0" applyNumberFormat="1" applyFont="1" applyFill="1"/>
    <xf numFmtId="0" fontId="25" fillId="52" borderId="0" xfId="0" applyFont="1" applyFill="1" applyAlignment="1">
      <alignment horizontal="center"/>
    </xf>
    <xf numFmtId="9" fontId="27" fillId="58" borderId="0" xfId="0" applyNumberFormat="1" applyFont="1" applyFill="1"/>
    <xf numFmtId="0" fontId="25" fillId="59" borderId="0" xfId="0" applyFont="1" applyFill="1"/>
    <xf numFmtId="0" fontId="27" fillId="60" borderId="0" xfId="0" applyFont="1" applyFill="1"/>
    <xf numFmtId="10" fontId="27" fillId="60" borderId="0" xfId="0" applyNumberFormat="1" applyFont="1" applyFill="1"/>
    <xf numFmtId="0" fontId="25" fillId="61" borderId="0" xfId="0" applyFont="1" applyFill="1"/>
    <xf numFmtId="0" fontId="27" fillId="62" borderId="0" xfId="0" applyFont="1" applyFill="1"/>
    <xf numFmtId="10" fontId="27" fillId="62" borderId="0" xfId="0" applyNumberFormat="1" applyFont="1" applyFill="1"/>
    <xf numFmtId="0" fontId="25" fillId="63" borderId="0" xfId="0" applyFont="1" applyFill="1"/>
    <xf numFmtId="0" fontId="27" fillId="64" borderId="0" xfId="0" applyFont="1" applyFill="1"/>
    <xf numFmtId="10" fontId="27" fillId="64" borderId="0" xfId="0" applyNumberFormat="1" applyFont="1" applyFill="1"/>
    <xf numFmtId="0" fontId="25" fillId="65" borderId="0" xfId="0" applyFont="1" applyFill="1"/>
    <xf numFmtId="0" fontId="48" fillId="5" borderId="0" xfId="0" applyFont="1" applyFill="1" applyAlignment="1">
      <alignment horizontal="center"/>
    </xf>
    <xf numFmtId="10" fontId="48" fillId="5" borderId="0" xfId="0" applyNumberFormat="1" applyFont="1" applyFill="1" applyAlignment="1">
      <alignment horizontal="center"/>
    </xf>
    <xf numFmtId="0" fontId="49" fillId="5" borderId="0" xfId="0" applyFont="1" applyFill="1" applyAlignment="1">
      <alignment horizontal="center"/>
    </xf>
    <xf numFmtId="0" fontId="48" fillId="37" borderId="0" xfId="0" applyFont="1" applyFill="1" applyAlignment="1">
      <alignment horizontal="center"/>
    </xf>
    <xf numFmtId="10" fontId="48" fillId="37" borderId="0" xfId="0" applyNumberFormat="1" applyFont="1" applyFill="1" applyAlignment="1">
      <alignment horizontal="center"/>
    </xf>
    <xf numFmtId="0" fontId="49" fillId="37" borderId="0" xfId="0" applyFont="1" applyFill="1" applyAlignment="1">
      <alignment horizontal="center"/>
    </xf>
    <xf numFmtId="0" fontId="50" fillId="5" borderId="0" xfId="0" applyFont="1" applyFill="1" applyAlignment="1">
      <alignment horizontal="center"/>
    </xf>
    <xf numFmtId="9" fontId="48" fillId="37" borderId="0" xfId="0" applyNumberFormat="1" applyFont="1" applyFill="1" applyAlignment="1">
      <alignment horizontal="center"/>
    </xf>
    <xf numFmtId="0" fontId="50" fillId="37" borderId="0" xfId="0" applyFont="1" applyFill="1" applyAlignment="1">
      <alignment horizontal="center"/>
    </xf>
    <xf numFmtId="0" fontId="25" fillId="54" borderId="0" xfId="0" applyFont="1" applyFill="1" applyAlignment="1">
      <alignment horizontal="center"/>
    </xf>
    <xf numFmtId="0" fontId="24" fillId="58" borderId="0" xfId="0" applyFont="1" applyFill="1" applyAlignment="1">
      <alignment horizontal="center"/>
    </xf>
    <xf numFmtId="0" fontId="27" fillId="66" borderId="0" xfId="0" applyFont="1" applyFill="1"/>
    <xf numFmtId="9" fontId="27" fillId="66" borderId="0" xfId="0" applyNumberFormat="1" applyFont="1" applyFill="1"/>
    <xf numFmtId="0" fontId="24" fillId="66" borderId="0" xfId="0" applyFont="1" applyFill="1" applyAlignment="1">
      <alignment horizontal="center"/>
    </xf>
    <xf numFmtId="49" fontId="48" fillId="5" borderId="0" xfId="0" applyNumberFormat="1" applyFont="1" applyFill="1" applyAlignment="1">
      <alignment horizontal="center"/>
    </xf>
    <xf numFmtId="49" fontId="48" fillId="37" borderId="0" xfId="0" applyNumberFormat="1" applyFont="1" applyFill="1" applyAlignment="1">
      <alignment horizontal="center"/>
    </xf>
    <xf numFmtId="0" fontId="27" fillId="58" borderId="0" xfId="0" applyFont="1" applyFill="1" applyAlignment="1">
      <alignment wrapText="1"/>
    </xf>
    <xf numFmtId="0" fontId="25" fillId="59" borderId="0" xfId="0" applyFont="1" applyFill="1" applyAlignment="1">
      <alignment horizontal="center" wrapText="1"/>
    </xf>
    <xf numFmtId="0" fontId="27" fillId="66" borderId="0" xfId="0" applyFont="1" applyFill="1" applyAlignment="1">
      <alignment wrapText="1"/>
    </xf>
    <xf numFmtId="0" fontId="25" fillId="61" borderId="0" xfId="0" applyFont="1" applyFill="1" applyAlignment="1">
      <alignment horizontal="center" wrapText="1"/>
    </xf>
    <xf numFmtId="0" fontId="27" fillId="42" borderId="0" xfId="0" applyFont="1" applyFill="1" applyAlignment="1">
      <alignment wrapText="1"/>
    </xf>
    <xf numFmtId="0" fontId="25" fillId="50" borderId="0" xfId="0" applyFont="1" applyFill="1" applyAlignment="1">
      <alignment horizontal="center" wrapText="1"/>
    </xf>
    <xf numFmtId="0" fontId="35" fillId="4" borderId="0" xfId="0" applyFont="1" applyFill="1"/>
    <xf numFmtId="0" fontId="21" fillId="4" borderId="0" xfId="0" applyFont="1" applyFill="1"/>
    <xf numFmtId="0" fontId="35" fillId="5" borderId="0" xfId="0" applyFont="1" applyFill="1"/>
    <xf numFmtId="0" fontId="21" fillId="5" borderId="0" xfId="0" applyFont="1" applyFill="1"/>
    <xf numFmtId="10" fontId="21" fillId="5" borderId="0" xfId="0" applyNumberFormat="1" applyFont="1" applyFill="1"/>
    <xf numFmtId="0" fontId="27" fillId="35" borderId="0" xfId="0" applyFont="1" applyFill="1"/>
    <xf numFmtId="0" fontId="24" fillId="35" borderId="0" xfId="0" applyFont="1" applyFill="1" applyAlignment="1">
      <alignment horizontal="center"/>
    </xf>
    <xf numFmtId="0" fontId="27" fillId="35" borderId="0" xfId="0" applyFont="1" applyFill="1" applyAlignment="1">
      <alignment horizontal="center"/>
    </xf>
    <xf numFmtId="0" fontId="27" fillId="67" borderId="0" xfId="0" applyFont="1" applyFill="1"/>
    <xf numFmtId="0" fontId="24" fillId="67" borderId="0" xfId="0" applyFont="1" applyFill="1" applyAlignment="1">
      <alignment horizontal="center"/>
    </xf>
    <xf numFmtId="0" fontId="27" fillId="67" borderId="0" xfId="0" applyFont="1" applyFill="1" applyAlignment="1">
      <alignment horizontal="center"/>
    </xf>
    <xf numFmtId="0" fontId="24" fillId="68" borderId="0" xfId="0" applyFont="1" applyFill="1" applyAlignment="1">
      <alignment horizontal="center"/>
    </xf>
    <xf numFmtId="0" fontId="27" fillId="68" borderId="0" xfId="0" applyFont="1" applyFill="1"/>
    <xf numFmtId="0" fontId="27" fillId="68" borderId="0" xfId="0" applyFont="1" applyFill="1" applyAlignment="1">
      <alignment horizontal="center"/>
    </xf>
    <xf numFmtId="0" fontId="24" fillId="45" borderId="0" xfId="0" applyFont="1" applyFill="1" applyAlignment="1">
      <alignment horizontal="center"/>
    </xf>
    <xf numFmtId="0" fontId="27" fillId="45" borderId="0" xfId="0" applyFont="1" applyFill="1" applyAlignment="1">
      <alignment horizontal="center"/>
    </xf>
    <xf numFmtId="0" fontId="27" fillId="69" borderId="0" xfId="0" applyFont="1" applyFill="1"/>
    <xf numFmtId="0" fontId="24" fillId="69" borderId="0" xfId="0" applyFont="1" applyFill="1" applyAlignment="1">
      <alignment horizontal="center"/>
    </xf>
    <xf numFmtId="0" fontId="27" fillId="69" borderId="0" xfId="0" applyFont="1" applyFill="1" applyAlignment="1">
      <alignment horizontal="center"/>
    </xf>
    <xf numFmtId="0" fontId="27" fillId="70" borderId="0" xfId="0" applyFont="1" applyFill="1"/>
    <xf numFmtId="0" fontId="24" fillId="70" borderId="0" xfId="0" applyFont="1" applyFill="1" applyAlignment="1">
      <alignment horizontal="center"/>
    </xf>
    <xf numFmtId="0" fontId="27" fillId="70" borderId="0" xfId="0" applyFont="1" applyFill="1" applyAlignment="1">
      <alignment horizontal="center"/>
    </xf>
    <xf numFmtId="0" fontId="27" fillId="71" borderId="0" xfId="0" applyFont="1" applyFill="1"/>
    <xf numFmtId="0" fontId="24" fillId="71" borderId="0" xfId="0" applyFont="1" applyFill="1" applyAlignment="1">
      <alignment horizontal="center"/>
    </xf>
    <xf numFmtId="0" fontId="27" fillId="71" borderId="0" xfId="0" applyFont="1" applyFill="1" applyAlignment="1">
      <alignment horizontal="center"/>
    </xf>
    <xf numFmtId="0" fontId="24" fillId="47" borderId="0" xfId="0" applyFont="1" applyFill="1" applyAlignment="1">
      <alignment horizontal="center"/>
    </xf>
    <xf numFmtId="0" fontId="27" fillId="47" borderId="0" xfId="0" applyFont="1" applyFill="1"/>
    <xf numFmtId="0" fontId="27" fillId="47" borderId="0" xfId="0" applyFont="1" applyFill="1" applyAlignment="1">
      <alignment horizontal="center"/>
    </xf>
    <xf numFmtId="0" fontId="24" fillId="41" borderId="0" xfId="0" applyFont="1" applyFill="1" applyAlignment="1">
      <alignment horizontal="center"/>
    </xf>
    <xf numFmtId="0" fontId="27" fillId="41" borderId="0" xfId="0" applyFont="1" applyFill="1"/>
    <xf numFmtId="0" fontId="27" fillId="41" borderId="0" xfId="0" applyFont="1" applyFill="1" applyAlignment="1">
      <alignment horizontal="center"/>
    </xf>
    <xf numFmtId="0" fontId="27" fillId="72" borderId="0" xfId="0" applyFont="1" applyFill="1"/>
    <xf numFmtId="0" fontId="24" fillId="72" borderId="0" xfId="0" applyFont="1" applyFill="1" applyAlignment="1">
      <alignment horizontal="center"/>
    </xf>
    <xf numFmtId="0" fontId="27" fillId="72" borderId="0" xfId="0" applyFont="1" applyFill="1" applyAlignment="1">
      <alignment horizontal="center"/>
    </xf>
    <xf numFmtId="14" fontId="27" fillId="67" borderId="0" xfId="0" applyNumberFormat="1" applyFont="1" applyFill="1" applyAlignment="1">
      <alignment horizontal="center"/>
    </xf>
    <xf numFmtId="0" fontId="58" fillId="67" borderId="0" xfId="0" applyFont="1" applyFill="1" applyAlignment="1">
      <alignment horizontal="center"/>
    </xf>
    <xf numFmtId="14" fontId="27" fillId="35" borderId="0" xfId="0" applyNumberFormat="1" applyFont="1" applyFill="1" applyAlignment="1">
      <alignment horizontal="center"/>
    </xf>
    <xf numFmtId="0" fontId="59" fillId="35" borderId="0" xfId="0" applyFont="1" applyFill="1" applyAlignment="1">
      <alignment horizontal="center"/>
    </xf>
    <xf numFmtId="14" fontId="27" fillId="68" borderId="0" xfId="0" applyNumberFormat="1" applyFont="1" applyFill="1" applyAlignment="1">
      <alignment horizontal="center"/>
    </xf>
    <xf numFmtId="0" fontId="60" fillId="68" borderId="0" xfId="0" applyFont="1" applyFill="1" applyAlignment="1">
      <alignment horizontal="center"/>
    </xf>
    <xf numFmtId="0" fontId="27" fillId="58" borderId="0" xfId="0" applyFont="1" applyFill="1" applyAlignment="1">
      <alignment horizontal="center"/>
    </xf>
    <xf numFmtId="14" fontId="27" fillId="58" borderId="0" xfId="0" applyNumberFormat="1" applyFont="1" applyFill="1" applyAlignment="1">
      <alignment horizontal="center"/>
    </xf>
    <xf numFmtId="0" fontId="61" fillId="58" borderId="0" xfId="0" applyFont="1" applyFill="1" applyAlignment="1">
      <alignment horizontal="center"/>
    </xf>
    <xf numFmtId="14" fontId="27" fillId="69" borderId="0" xfId="0" applyNumberFormat="1" applyFont="1" applyFill="1" applyAlignment="1">
      <alignment horizontal="center"/>
    </xf>
    <xf numFmtId="0" fontId="62" fillId="69" borderId="0" xfId="0" applyFont="1" applyFill="1" applyAlignment="1">
      <alignment horizontal="center"/>
    </xf>
    <xf numFmtId="14" fontId="27" fillId="45" borderId="0" xfId="0" applyNumberFormat="1" applyFont="1" applyFill="1" applyAlignment="1">
      <alignment horizontal="center"/>
    </xf>
    <xf numFmtId="0" fontId="63" fillId="45" borderId="0" xfId="0" applyFont="1" applyFill="1" applyAlignment="1">
      <alignment horizontal="center"/>
    </xf>
    <xf numFmtId="14" fontId="27" fillId="70" borderId="0" xfId="0" applyNumberFormat="1" applyFont="1" applyFill="1" applyAlignment="1">
      <alignment horizontal="center"/>
    </xf>
    <xf numFmtId="0" fontId="64" fillId="70" borderId="0" xfId="0" applyFont="1" applyFill="1" applyAlignment="1">
      <alignment horizontal="center"/>
    </xf>
    <xf numFmtId="0" fontId="48" fillId="5" borderId="0" xfId="0" applyFont="1" applyFill="1"/>
    <xf numFmtId="0" fontId="65" fillId="5" borderId="0" xfId="0" applyFont="1" applyFill="1"/>
    <xf numFmtId="0" fontId="48" fillId="43" borderId="0" xfId="0" applyFont="1" applyFill="1"/>
    <xf numFmtId="0" fontId="65" fillId="43" borderId="0" xfId="0" applyFont="1" applyFill="1"/>
    <xf numFmtId="0" fontId="68" fillId="35" borderId="0" xfId="0" applyFont="1" applyFill="1"/>
    <xf numFmtId="0" fontId="70" fillId="7" borderId="0" xfId="0" applyFont="1" applyFill="1"/>
    <xf numFmtId="0" fontId="74" fillId="2" borderId="0" xfId="0" applyFont="1" applyFill="1"/>
    <xf numFmtId="0" fontId="68" fillId="4" borderId="0" xfId="0" applyFont="1" applyFill="1"/>
    <xf numFmtId="0" fontId="75" fillId="4" borderId="0" xfId="0" applyFont="1" applyFill="1"/>
    <xf numFmtId="0" fontId="68" fillId="5" borderId="0" xfId="0" applyFont="1" applyFill="1"/>
    <xf numFmtId="0" fontId="75" fillId="5" borderId="0" xfId="0" applyFont="1" applyFill="1"/>
    <xf numFmtId="0" fontId="77" fillId="4" borderId="0" xfId="0" applyFont="1" applyFill="1"/>
    <xf numFmtId="0" fontId="78" fillId="4" borderId="0" xfId="0" applyFont="1" applyFill="1"/>
    <xf numFmtId="0" fontId="78" fillId="5" borderId="0" xfId="0" applyFont="1" applyFill="1"/>
    <xf numFmtId="0" fontId="77" fillId="5" borderId="0" xfId="0" applyFont="1" applyFill="1"/>
    <xf numFmtId="0" fontId="67" fillId="7" borderId="0" xfId="0" applyFont="1" applyFill="1"/>
    <xf numFmtId="0" fontId="79" fillId="73" borderId="0" xfId="0" applyFont="1" applyFill="1"/>
    <xf numFmtId="0" fontId="68" fillId="7" borderId="1" xfId="0" applyFont="1" applyFill="1" applyBorder="1"/>
    <xf numFmtId="0" fontId="81" fillId="32" borderId="0" xfId="0" applyFont="1" applyFill="1"/>
    <xf numFmtId="0" fontId="82" fillId="0" borderId="0" xfId="0" applyFont="1"/>
    <xf numFmtId="0" fontId="82" fillId="5" borderId="0" xfId="0" applyFont="1" applyFill="1"/>
    <xf numFmtId="0" fontId="77" fillId="5" borderId="0" xfId="0" applyFont="1" applyFill="1" applyAlignment="1">
      <alignment horizontal="center"/>
    </xf>
    <xf numFmtId="0" fontId="77" fillId="4" borderId="0" xfId="0" applyFont="1" applyFill="1" applyAlignment="1">
      <alignment horizontal="center"/>
    </xf>
    <xf numFmtId="0" fontId="84" fillId="4" borderId="0" xfId="0" applyFont="1" applyFill="1"/>
    <xf numFmtId="0" fontId="0" fillId="0" borderId="0" xfId="0" applyAlignment="1">
      <alignment horizontal="center"/>
    </xf>
    <xf numFmtId="0" fontId="8" fillId="2" borderId="0" xfId="0" applyFont="1" applyFill="1" applyAlignment="1">
      <alignment horizontal="center"/>
    </xf>
    <xf numFmtId="0" fontId="67" fillId="17" borderId="0" xfId="0" applyFont="1" applyFill="1"/>
    <xf numFmtId="10" fontId="67" fillId="17" borderId="0" xfId="0" applyNumberFormat="1" applyFont="1" applyFill="1"/>
    <xf numFmtId="10" fontId="85" fillId="17" borderId="0" xfId="0" applyNumberFormat="1" applyFont="1" applyFill="1"/>
    <xf numFmtId="0" fontId="67" fillId="28" borderId="0" xfId="0" applyFont="1" applyFill="1"/>
    <xf numFmtId="10" fontId="67" fillId="28" borderId="0" xfId="0" applyNumberFormat="1" applyFont="1" applyFill="1"/>
    <xf numFmtId="10" fontId="85" fillId="28" borderId="0" xfId="0" applyNumberFormat="1" applyFont="1" applyFill="1"/>
    <xf numFmtId="0" fontId="67" fillId="29" borderId="0" xfId="0" applyFont="1" applyFill="1"/>
    <xf numFmtId="10" fontId="67" fillId="29" borderId="0" xfId="0" applyNumberFormat="1" applyFont="1" applyFill="1"/>
    <xf numFmtId="10" fontId="85" fillId="29" borderId="0" xfId="0" applyNumberFormat="1" applyFont="1" applyFill="1"/>
    <xf numFmtId="0" fontId="67" fillId="27" borderId="0" xfId="0" applyFont="1" applyFill="1"/>
    <xf numFmtId="10" fontId="67" fillId="27" borderId="0" xfId="0" applyNumberFormat="1" applyFont="1" applyFill="1"/>
    <xf numFmtId="10" fontId="85" fillId="27" borderId="0" xfId="0" applyNumberFormat="1" applyFont="1" applyFill="1"/>
    <xf numFmtId="0" fontId="86" fillId="74" borderId="0" xfId="0" applyFont="1" applyFill="1"/>
    <xf numFmtId="2" fontId="14" fillId="11" borderId="0" xfId="0" applyNumberFormat="1" applyFont="1" applyFill="1"/>
    <xf numFmtId="166" fontId="0" fillId="0" borderId="0" xfId="0" applyNumberFormat="1"/>
    <xf numFmtId="0" fontId="1" fillId="13" borderId="0" xfId="0" applyFont="1" applyFill="1"/>
    <xf numFmtId="0" fontId="1" fillId="13" borderId="0" xfId="0" applyFont="1" applyFill="1" applyAlignment="1">
      <alignment horizontal="left"/>
    </xf>
    <xf numFmtId="0" fontId="0" fillId="23" borderId="0" xfId="0" applyFill="1" applyAlignment="1">
      <alignment horizontal="center"/>
    </xf>
    <xf numFmtId="0" fontId="0" fillId="17" borderId="0" xfId="0" applyFill="1" applyAlignment="1">
      <alignment horizontal="center"/>
    </xf>
    <xf numFmtId="10" fontId="77" fillId="4" borderId="0" xfId="0" applyNumberFormat="1" applyFont="1" applyFill="1"/>
    <xf numFmtId="0" fontId="87" fillId="2" borderId="0" xfId="0" applyFont="1" applyFill="1"/>
    <xf numFmtId="0" fontId="74" fillId="48" borderId="0" xfId="0" applyFont="1" applyFill="1"/>
    <xf numFmtId="167" fontId="77" fillId="4" borderId="0" xfId="0" applyNumberFormat="1" applyFont="1" applyFill="1"/>
    <xf numFmtId="0" fontId="90" fillId="4" borderId="0" xfId="0" applyFont="1" applyFill="1"/>
    <xf numFmtId="0" fontId="90" fillId="5" borderId="0" xfId="0" applyFont="1" applyFill="1"/>
    <xf numFmtId="167" fontId="87" fillId="2" borderId="0" xfId="0" applyNumberFormat="1" applyFont="1" applyFill="1"/>
    <xf numFmtId="0" fontId="74" fillId="3" borderId="0" xfId="0" applyFont="1" applyFill="1"/>
    <xf numFmtId="0" fontId="89" fillId="4" borderId="0" xfId="0" applyFont="1" applyFill="1"/>
    <xf numFmtId="167" fontId="77" fillId="5" borderId="0" xfId="0" applyNumberFormat="1" applyFont="1" applyFill="1"/>
    <xf numFmtId="0" fontId="89" fillId="5" borderId="0" xfId="0" applyFont="1" applyFill="1"/>
    <xf numFmtId="0" fontId="67" fillId="35" borderId="0" xfId="0" applyFont="1" applyFill="1"/>
    <xf numFmtId="1" fontId="77" fillId="4" borderId="0" xfId="0" applyNumberFormat="1" applyFont="1" applyFill="1"/>
    <xf numFmtId="170" fontId="77" fillId="4" borderId="0" xfId="0" applyNumberFormat="1" applyFont="1" applyFill="1"/>
    <xf numFmtId="9" fontId="77" fillId="4" borderId="0" xfId="0" applyNumberFormat="1" applyFont="1" applyFill="1"/>
    <xf numFmtId="165" fontId="77" fillId="4" borderId="0" xfId="0" applyNumberFormat="1" applyFont="1" applyFill="1"/>
    <xf numFmtId="171" fontId="77" fillId="4" borderId="0" xfId="0" applyNumberFormat="1" applyFont="1" applyFill="1"/>
    <xf numFmtId="0" fontId="78" fillId="7" borderId="0" xfId="0" applyFont="1" applyFill="1"/>
    <xf numFmtId="1" fontId="78" fillId="7" borderId="0" xfId="0" applyNumberFormat="1" applyFont="1" applyFill="1"/>
    <xf numFmtId="170" fontId="78" fillId="7" borderId="0" xfId="0" applyNumberFormat="1" applyFont="1" applyFill="1"/>
    <xf numFmtId="9" fontId="78" fillId="7" borderId="0" xfId="0" applyNumberFormat="1" applyFont="1" applyFill="1"/>
    <xf numFmtId="165" fontId="78" fillId="7" borderId="0" xfId="0" applyNumberFormat="1" applyFont="1" applyFill="1"/>
    <xf numFmtId="171" fontId="78" fillId="7" borderId="0" xfId="0" applyNumberFormat="1" applyFont="1" applyFill="1"/>
    <xf numFmtId="9" fontId="0" fillId="0" borderId="0" xfId="0" applyNumberFormat="1"/>
    <xf numFmtId="170" fontId="0" fillId="0" borderId="0" xfId="0" applyNumberFormat="1"/>
    <xf numFmtId="0" fontId="91" fillId="27" borderId="0" xfId="0" applyFont="1" applyFill="1"/>
    <xf numFmtId="170" fontId="77" fillId="5" borderId="0" xfId="0" applyNumberFormat="1" applyFont="1" applyFill="1"/>
    <xf numFmtId="171" fontId="92" fillId="5" borderId="0" xfId="0" applyNumberFormat="1" applyFont="1" applyFill="1"/>
    <xf numFmtId="0" fontId="92" fillId="4" borderId="0" xfId="0" applyFont="1" applyFill="1"/>
    <xf numFmtId="9" fontId="92" fillId="4" borderId="0" xfId="0" applyNumberFormat="1" applyFont="1" applyFill="1"/>
    <xf numFmtId="10" fontId="92" fillId="5" borderId="0" xfId="0" applyNumberFormat="1" applyFont="1" applyFill="1"/>
    <xf numFmtId="0" fontId="74" fillId="8" borderId="0" xfId="0" applyFont="1" applyFill="1"/>
    <xf numFmtId="167" fontId="87" fillId="8" borderId="0" xfId="0" applyNumberFormat="1" applyFont="1" applyFill="1"/>
    <xf numFmtId="0" fontId="69" fillId="7" borderId="0" xfId="0" applyFont="1" applyFill="1"/>
    <xf numFmtId="0" fontId="94" fillId="7" borderId="0" xfId="0" applyFont="1" applyFill="1"/>
    <xf numFmtId="165" fontId="0" fillId="0" borderId="0" xfId="0" applyNumberFormat="1"/>
    <xf numFmtId="165" fontId="77" fillId="5" borderId="0" xfId="0" applyNumberFormat="1" applyFont="1" applyFill="1"/>
    <xf numFmtId="9" fontId="77" fillId="5" borderId="0" xfId="0" applyNumberFormat="1" applyFont="1" applyFill="1"/>
    <xf numFmtId="9" fontId="89" fillId="5" borderId="0" xfId="0" applyNumberFormat="1" applyFont="1" applyFill="1"/>
    <xf numFmtId="0" fontId="89" fillId="7" borderId="0" xfId="0" applyFont="1" applyFill="1"/>
    <xf numFmtId="10" fontId="95" fillId="9" borderId="0" xfId="0" applyNumberFormat="1" applyFont="1" applyFill="1"/>
    <xf numFmtId="10" fontId="96" fillId="6" borderId="0" xfId="0" applyNumberFormat="1" applyFont="1" applyFill="1"/>
    <xf numFmtId="0" fontId="96" fillId="8" borderId="0" xfId="0" applyFont="1" applyFill="1"/>
    <xf numFmtId="0" fontId="95" fillId="11" borderId="0" xfId="0" applyFont="1" applyFill="1"/>
    <xf numFmtId="171" fontId="0" fillId="5" borderId="0" xfId="0" applyNumberFormat="1" applyFill="1"/>
    <xf numFmtId="171" fontId="0" fillId="4" borderId="0" xfId="0" applyNumberFormat="1" applyFill="1"/>
    <xf numFmtId="0" fontId="0" fillId="5" borderId="0" xfId="0" applyFill="1" applyAlignment="1">
      <alignment wrapText="1"/>
    </xf>
    <xf numFmtId="0" fontId="0" fillId="4" borderId="0" xfId="0" applyFill="1" applyAlignment="1">
      <alignment wrapText="1"/>
    </xf>
    <xf numFmtId="0" fontId="104" fillId="4" borderId="0" xfId="1" applyFill="1"/>
    <xf numFmtId="0" fontId="104" fillId="5" borderId="0" xfId="1" applyFill="1"/>
    <xf numFmtId="0" fontId="105" fillId="0" borderId="0" xfId="1" applyFont="1"/>
    <xf numFmtId="0" fontId="0" fillId="0" borderId="0" xfId="0" applyAlignment="1">
      <alignment horizontal="left"/>
    </xf>
    <xf numFmtId="167" fontId="0" fillId="0" borderId="0" xfId="0" applyNumberFormat="1" applyAlignment="1">
      <alignment horizontal="center"/>
    </xf>
    <xf numFmtId="0" fontId="77" fillId="5" borderId="0" xfId="0" applyFont="1" applyFill="1" applyAlignment="1">
      <alignment horizontal="left"/>
    </xf>
    <xf numFmtId="0" fontId="88" fillId="5" borderId="0" xfId="0" applyFont="1" applyFill="1" applyAlignment="1">
      <alignment horizontal="left"/>
    </xf>
    <xf numFmtId="0" fontId="89" fillId="4" borderId="0" xfId="0" applyFont="1" applyFill="1" applyAlignment="1">
      <alignment horizontal="left"/>
    </xf>
    <xf numFmtId="0" fontId="89" fillId="5" borderId="0" xfId="0" applyFont="1" applyFill="1" applyAlignment="1">
      <alignment horizontal="left"/>
    </xf>
    <xf numFmtId="0" fontId="93" fillId="5" borderId="0" xfId="0" applyFont="1" applyFill="1" applyAlignment="1">
      <alignment horizontal="left"/>
    </xf>
    <xf numFmtId="1" fontId="77" fillId="5" borderId="0" xfId="0" applyNumberFormat="1" applyFont="1" applyFill="1" applyAlignment="1">
      <alignment horizontal="left"/>
    </xf>
    <xf numFmtId="0" fontId="77" fillId="4" borderId="0" xfId="0" applyFont="1" applyFill="1" applyAlignment="1">
      <alignment horizontal="left"/>
    </xf>
    <xf numFmtId="166" fontId="0" fillId="0" borderId="0" xfId="0" applyNumberFormat="1" applyAlignment="1">
      <alignment horizontal="center"/>
    </xf>
    <xf numFmtId="2" fontId="14" fillId="11" borderId="0" xfId="0" applyNumberFormat="1" applyFont="1" applyFill="1" applyAlignment="1">
      <alignment horizontal="center"/>
    </xf>
    <xf numFmtId="10" fontId="0" fillId="29" borderId="0" xfId="0" applyNumberFormat="1" applyFill="1" applyAlignment="1">
      <alignment horizontal="left"/>
    </xf>
    <xf numFmtId="10" fontId="0" fillId="17" borderId="0" xfId="0" applyNumberFormat="1" applyFill="1" applyAlignment="1">
      <alignment horizontal="left"/>
    </xf>
    <xf numFmtId="10" fontId="0" fillId="28" borderId="0" xfId="0" applyNumberFormat="1" applyFill="1" applyAlignment="1">
      <alignment horizontal="left"/>
    </xf>
    <xf numFmtId="171" fontId="103" fillId="4" borderId="0" xfId="0" applyNumberFormat="1" applyFont="1" applyFill="1" applyAlignment="1">
      <alignment horizontal="center"/>
    </xf>
    <xf numFmtId="0" fontId="103" fillId="4" borderId="0" xfId="0" applyFont="1" applyFill="1" applyAlignment="1">
      <alignment horizontal="center"/>
    </xf>
    <xf numFmtId="0" fontId="0" fillId="4" borderId="0" xfId="0" applyFill="1" applyAlignment="1">
      <alignment horizontal="left"/>
    </xf>
    <xf numFmtId="0" fontId="0" fillId="5" borderId="0" xfId="0" applyFill="1" applyAlignment="1">
      <alignment horizontal="left"/>
    </xf>
    <xf numFmtId="171" fontId="0" fillId="4" borderId="0" xfId="0" applyNumberFormat="1" applyFill="1" applyAlignment="1">
      <alignment horizontal="left"/>
    </xf>
    <xf numFmtId="164" fontId="0" fillId="5" borderId="0" xfId="0" applyNumberFormat="1" applyFill="1" applyAlignment="1">
      <alignment horizontal="left"/>
    </xf>
    <xf numFmtId="0" fontId="0" fillId="32" borderId="0" xfId="0" applyFill="1" applyAlignment="1">
      <alignment horizontal="left"/>
    </xf>
    <xf numFmtId="0" fontId="21" fillId="4" borderId="0" xfId="0" applyFont="1" applyFill="1" applyAlignment="1">
      <alignment horizontal="left"/>
    </xf>
    <xf numFmtId="0" fontId="21" fillId="5" borderId="0" xfId="0" applyFont="1" applyFill="1" applyAlignment="1">
      <alignment horizontal="left"/>
    </xf>
    <xf numFmtId="0" fontId="25" fillId="44" borderId="0" xfId="0" applyFont="1" applyFill="1" applyAlignment="1">
      <alignment horizontal="left"/>
    </xf>
    <xf numFmtId="0" fontId="27" fillId="67" borderId="0" xfId="0" applyFont="1" applyFill="1" applyAlignment="1">
      <alignment horizontal="left"/>
    </xf>
    <xf numFmtId="0" fontId="27" fillId="35" borderId="0" xfId="0" applyFont="1" applyFill="1" applyAlignment="1">
      <alignment horizontal="left"/>
    </xf>
    <xf numFmtId="10" fontId="27" fillId="67" borderId="0" xfId="0" applyNumberFormat="1" applyFont="1" applyFill="1" applyAlignment="1">
      <alignment horizontal="left"/>
    </xf>
    <xf numFmtId="0" fontId="27" fillId="68" borderId="0" xfId="0" applyFont="1" applyFill="1" applyAlignment="1">
      <alignment horizontal="left"/>
    </xf>
    <xf numFmtId="10" fontId="27" fillId="58" borderId="0" xfId="0" applyNumberFormat="1" applyFont="1" applyFill="1" applyAlignment="1">
      <alignment horizontal="left"/>
    </xf>
    <xf numFmtId="0" fontId="27" fillId="69" borderId="0" xfId="0" applyFont="1" applyFill="1" applyAlignment="1">
      <alignment horizontal="left"/>
    </xf>
    <xf numFmtId="0" fontId="27" fillId="45" borderId="0" xfId="0" applyFont="1" applyFill="1" applyAlignment="1">
      <alignment horizontal="left"/>
    </xf>
    <xf numFmtId="0" fontId="27" fillId="70" borderId="0" xfId="0" applyFont="1" applyFill="1" applyAlignment="1">
      <alignment horizontal="left"/>
    </xf>
    <xf numFmtId="0" fontId="25" fillId="30" borderId="0" xfId="0" applyFont="1" applyFill="1" applyAlignment="1">
      <alignment horizontal="left"/>
    </xf>
    <xf numFmtId="0" fontId="48" fillId="5" borderId="0" xfId="0" applyFont="1" applyFill="1" applyAlignment="1">
      <alignment horizontal="left"/>
    </xf>
    <xf numFmtId="0" fontId="48" fillId="43" borderId="0" xfId="0" applyFont="1" applyFill="1" applyAlignment="1">
      <alignment horizontal="left"/>
    </xf>
    <xf numFmtId="0" fontId="108" fillId="35" borderId="0" xfId="0" applyFont="1" applyFill="1" applyAlignment="1">
      <alignment wrapText="1"/>
    </xf>
    <xf numFmtId="0" fontId="1" fillId="17" borderId="0" xfId="0" applyFont="1" applyFill="1" applyAlignment="1" applyProtection="1">
      <alignment horizontal="center" vertical="center"/>
      <protection locked="0"/>
    </xf>
    <xf numFmtId="10" fontId="1" fillId="0" borderId="0" xfId="0" applyNumberFormat="1" applyFont="1" applyAlignment="1">
      <alignment horizontal="center" vertical="center"/>
    </xf>
    <xf numFmtId="10" fontId="13" fillId="4" borderId="0" xfId="0" applyNumberFormat="1" applyFont="1" applyFill="1" applyAlignment="1">
      <alignment horizontal="center"/>
    </xf>
    <xf numFmtId="10" fontId="0" fillId="4" borderId="0" xfId="0" applyNumberFormat="1" applyFill="1" applyAlignment="1">
      <alignment horizontal="center"/>
    </xf>
    <xf numFmtId="0" fontId="0" fillId="19" borderId="0" xfId="0" applyFill="1" applyAlignment="1">
      <alignment horizontal="center"/>
    </xf>
    <xf numFmtId="0" fontId="0" fillId="16" borderId="0" xfId="0" applyFill="1" applyAlignment="1">
      <alignment horizontal="center"/>
    </xf>
    <xf numFmtId="2" fontId="1" fillId="11" borderId="0" xfId="0" applyNumberFormat="1" applyFont="1" applyFill="1"/>
    <xf numFmtId="0" fontId="37" fillId="46" borderId="0" xfId="0" applyFont="1" applyFill="1" applyAlignment="1">
      <alignment horizontal="center"/>
    </xf>
    <xf numFmtId="0" fontId="56" fillId="43" borderId="0" xfId="0" applyFont="1" applyFill="1" applyAlignment="1">
      <alignment horizontal="center"/>
    </xf>
    <xf numFmtId="0" fontId="28" fillId="43" borderId="0" xfId="0" applyFont="1" applyFill="1" applyAlignment="1">
      <alignment horizontal="center"/>
    </xf>
    <xf numFmtId="0" fontId="25" fillId="33" borderId="0" xfId="0" applyFont="1" applyFill="1" applyAlignment="1">
      <alignment horizontal="center"/>
    </xf>
    <xf numFmtId="0" fontId="36" fillId="61" borderId="0" xfId="0" applyFont="1" applyFill="1" applyAlignment="1">
      <alignment horizontal="center"/>
    </xf>
    <xf numFmtId="10" fontId="54" fillId="66" borderId="0" xfId="0" applyNumberFormat="1" applyFont="1" applyFill="1" applyAlignment="1">
      <alignment horizontal="center"/>
    </xf>
    <xf numFmtId="0" fontId="55" fillId="66" borderId="0" xfId="0" applyFont="1" applyFill="1" applyAlignment="1">
      <alignment horizontal="center"/>
    </xf>
    <xf numFmtId="0" fontId="53" fillId="66" borderId="0" xfId="0" applyFont="1" applyFill="1" applyAlignment="1">
      <alignment horizontal="center"/>
    </xf>
    <xf numFmtId="0" fontId="23" fillId="33" borderId="0" xfId="0" applyFont="1" applyFill="1" applyAlignment="1">
      <alignment horizontal="center"/>
    </xf>
    <xf numFmtId="0" fontId="36" fillId="59" borderId="0" xfId="0" applyFont="1" applyFill="1" applyAlignment="1">
      <alignment horizontal="center"/>
    </xf>
    <xf numFmtId="10" fontId="51" fillId="58" borderId="0" xfId="0" applyNumberFormat="1" applyFont="1" applyFill="1" applyAlignment="1">
      <alignment horizontal="center"/>
    </xf>
    <xf numFmtId="0" fontId="52" fillId="58" borderId="0" xfId="0" applyFont="1" applyFill="1" applyAlignment="1">
      <alignment horizontal="center"/>
    </xf>
    <xf numFmtId="0" fontId="53" fillId="58" borderId="0" xfId="0" applyFont="1" applyFill="1" applyAlignment="1">
      <alignment horizontal="center"/>
    </xf>
    <xf numFmtId="0" fontId="27" fillId="42" borderId="0" xfId="0" applyFont="1" applyFill="1" applyAlignment="1">
      <alignment wrapText="1"/>
    </xf>
    <xf numFmtId="0" fontId="23" fillId="30" borderId="0" xfId="0" applyFont="1" applyFill="1" applyAlignment="1">
      <alignment horizontal="center"/>
    </xf>
    <xf numFmtId="0" fontId="27" fillId="66" borderId="0" xfId="0" applyFont="1" applyFill="1" applyAlignment="1">
      <alignment wrapText="1"/>
    </xf>
    <xf numFmtId="17" fontId="27" fillId="66" borderId="0" xfId="0" applyNumberFormat="1" applyFont="1" applyFill="1" applyAlignment="1">
      <alignment wrapText="1"/>
    </xf>
    <xf numFmtId="0" fontId="27" fillId="58" borderId="0" xfId="0" applyFont="1" applyFill="1" applyAlignment="1">
      <alignment wrapText="1"/>
    </xf>
    <xf numFmtId="17" fontId="27" fillId="58" borderId="0" xfId="0" applyNumberFormat="1" applyFont="1" applyFill="1" applyAlignment="1">
      <alignment wrapText="1"/>
    </xf>
    <xf numFmtId="0" fontId="27" fillId="66" borderId="0" xfId="0" applyFont="1" applyFill="1"/>
    <xf numFmtId="6" fontId="27" fillId="66" borderId="0" xfId="0" applyNumberFormat="1" applyFont="1" applyFill="1"/>
    <xf numFmtId="0" fontId="83" fillId="30" borderId="0" xfId="0" applyFont="1" applyFill="1" applyAlignment="1">
      <alignment horizontal="center"/>
    </xf>
    <xf numFmtId="0" fontId="37" fillId="30" borderId="0" xfId="0" applyFont="1" applyFill="1" applyAlignment="1">
      <alignment horizontal="center"/>
    </xf>
    <xf numFmtId="0" fontId="23" fillId="52" borderId="0" xfId="0" applyFont="1" applyFill="1" applyAlignment="1">
      <alignment horizontal="center"/>
    </xf>
    <xf numFmtId="0" fontId="25" fillId="52" borderId="0" xfId="0" applyFont="1" applyFill="1" applyAlignment="1">
      <alignment horizontal="center"/>
    </xf>
    <xf numFmtId="0" fontId="27" fillId="58" borderId="0" xfId="0" applyFont="1" applyFill="1"/>
    <xf numFmtId="6" fontId="27" fillId="58" borderId="0" xfId="0" applyNumberFormat="1" applyFont="1" applyFill="1"/>
    <xf numFmtId="0" fontId="48" fillId="5" borderId="0" xfId="0" applyFont="1" applyFill="1" applyAlignment="1">
      <alignment horizontal="center"/>
    </xf>
    <xf numFmtId="0" fontId="48" fillId="37" borderId="0" xfId="0" applyFont="1" applyFill="1" applyAlignment="1">
      <alignment horizontal="center"/>
    </xf>
    <xf numFmtId="0" fontId="23" fillId="54" borderId="0" xfId="0" applyFont="1" applyFill="1" applyAlignment="1">
      <alignment horizontal="center"/>
    </xf>
    <xf numFmtId="0" fontId="25" fillId="54" borderId="0" xfId="0" applyFont="1" applyFill="1" applyAlignment="1">
      <alignment horizontal="center"/>
    </xf>
    <xf numFmtId="0" fontId="27" fillId="64" borderId="0" xfId="0" applyFont="1" applyFill="1"/>
    <xf numFmtId="10" fontId="27" fillId="64" borderId="0" xfId="0" applyNumberFormat="1" applyFont="1" applyFill="1"/>
    <xf numFmtId="9" fontId="27" fillId="64" borderId="0" xfId="0" applyNumberFormat="1" applyFont="1" applyFill="1"/>
    <xf numFmtId="0" fontId="25" fillId="30" borderId="0" xfId="0" applyFont="1" applyFill="1" applyAlignment="1">
      <alignment horizontal="center"/>
    </xf>
    <xf numFmtId="0" fontId="27" fillId="60" borderId="0" xfId="0" applyFont="1" applyFill="1"/>
    <xf numFmtId="10" fontId="27" fillId="60" borderId="0" xfId="0" applyNumberFormat="1" applyFont="1" applyFill="1"/>
    <xf numFmtId="9" fontId="27" fillId="60" borderId="0" xfId="0" applyNumberFormat="1" applyFont="1" applyFill="1"/>
    <xf numFmtId="0" fontId="27" fillId="62" borderId="0" xfId="0" applyFont="1" applyFill="1"/>
    <xf numFmtId="10" fontId="27" fillId="62" borderId="0" xfId="0" applyNumberFormat="1" applyFont="1" applyFill="1"/>
    <xf numFmtId="9" fontId="27" fillId="62" borderId="0" xfId="0" applyNumberFormat="1" applyFont="1" applyFill="1"/>
    <xf numFmtId="10" fontId="27" fillId="58" borderId="0" xfId="0" applyNumberFormat="1" applyFont="1" applyFill="1"/>
    <xf numFmtId="9" fontId="27" fillId="58" borderId="0" xfId="0" applyNumberFormat="1" applyFont="1" applyFill="1"/>
    <xf numFmtId="0" fontId="36" fillId="30" borderId="0" xfId="0" applyFont="1" applyFill="1" applyAlignment="1">
      <alignment horizontal="center"/>
    </xf>
    <xf numFmtId="6" fontId="36" fillId="30" borderId="0" xfId="0" applyNumberFormat="1" applyFont="1" applyFill="1" applyAlignment="1">
      <alignment horizontal="center"/>
    </xf>
    <xf numFmtId="10" fontId="36" fillId="30" borderId="0" xfId="0" applyNumberFormat="1" applyFont="1" applyFill="1" applyAlignment="1">
      <alignment horizontal="center"/>
    </xf>
    <xf numFmtId="0" fontId="24" fillId="58" borderId="0" xfId="0" applyFont="1" applyFill="1"/>
    <xf numFmtId="0" fontId="24" fillId="42" borderId="0" xfId="0" applyFont="1" applyFill="1"/>
    <xf numFmtId="0" fontId="27" fillId="42" borderId="0" xfId="0" applyFont="1" applyFill="1"/>
    <xf numFmtId="6" fontId="27" fillId="42" borderId="0" xfId="0" applyNumberFormat="1" applyFont="1" applyFill="1"/>
    <xf numFmtId="10" fontId="27" fillId="42" borderId="0" xfId="0" applyNumberFormat="1" applyFont="1" applyFill="1"/>
    <xf numFmtId="0" fontId="24" fillId="39" borderId="0" xfId="0" applyFont="1" applyFill="1"/>
    <xf numFmtId="0" fontId="27" fillId="39" borderId="0" xfId="0" applyFont="1" applyFill="1"/>
    <xf numFmtId="6" fontId="27" fillId="39" borderId="0" xfId="0" applyNumberFormat="1" applyFont="1" applyFill="1"/>
    <xf numFmtId="10" fontId="27" fillId="39" borderId="0" xfId="0" applyNumberFormat="1" applyFont="1" applyFill="1"/>
    <xf numFmtId="0" fontId="24" fillId="4" borderId="0" xfId="0" applyFont="1" applyFill="1"/>
    <xf numFmtId="0" fontId="27" fillId="4" borderId="0" xfId="0" applyFont="1" applyFill="1"/>
    <xf numFmtId="6" fontId="27" fillId="4" borderId="0" xfId="0" applyNumberFormat="1" applyFont="1" applyFill="1"/>
    <xf numFmtId="10" fontId="27" fillId="4" borderId="0" xfId="0" applyNumberFormat="1" applyFont="1" applyFill="1"/>
    <xf numFmtId="0" fontId="41" fillId="47" borderId="0" xfId="0" applyFont="1" applyFill="1" applyAlignment="1">
      <alignment horizontal="center"/>
    </xf>
    <xf numFmtId="0" fontId="42" fillId="47" borderId="0" xfId="0" applyFont="1" applyFill="1" applyAlignment="1">
      <alignment horizontal="center"/>
    </xf>
    <xf numFmtId="0" fontId="36" fillId="48" borderId="0" xfId="0" applyFont="1" applyFill="1" applyAlignment="1">
      <alignment horizontal="center"/>
    </xf>
    <xf numFmtId="10" fontId="43" fillId="49" borderId="0" xfId="0" applyNumberFormat="1" applyFont="1" applyFill="1" applyAlignment="1">
      <alignment horizontal="center"/>
    </xf>
    <xf numFmtId="0" fontId="43" fillId="49" borderId="0" xfId="0" applyFont="1" applyFill="1" applyAlignment="1">
      <alignment horizontal="center"/>
    </xf>
    <xf numFmtId="0" fontId="41" fillId="49" borderId="0" xfId="0" applyFont="1" applyFill="1" applyAlignment="1">
      <alignment horizontal="center"/>
    </xf>
    <xf numFmtId="0" fontId="42" fillId="49" borderId="0" xfId="0" applyFont="1" applyFill="1" applyAlignment="1">
      <alignment horizontal="center"/>
    </xf>
    <xf numFmtId="0" fontId="41" fillId="55" borderId="0" xfId="0" applyFont="1" applyFill="1" applyAlignment="1">
      <alignment horizontal="center"/>
    </xf>
    <xf numFmtId="0" fontId="42" fillId="55" borderId="0" xfId="0" applyFont="1" applyFill="1" applyAlignment="1">
      <alignment horizontal="center"/>
    </xf>
    <xf numFmtId="0" fontId="36" fillId="44" borderId="0" xfId="0" applyFont="1" applyFill="1" applyAlignment="1">
      <alignment horizontal="center"/>
    </xf>
    <xf numFmtId="10" fontId="47" fillId="56" borderId="0" xfId="0" applyNumberFormat="1" applyFont="1" applyFill="1" applyAlignment="1">
      <alignment horizontal="center"/>
    </xf>
    <xf numFmtId="0" fontId="41" fillId="56" borderId="0" xfId="0" applyFont="1" applyFill="1" applyAlignment="1">
      <alignment horizontal="center"/>
    </xf>
    <xf numFmtId="0" fontId="42" fillId="56" borderId="0" xfId="0" applyFont="1" applyFill="1" applyAlignment="1">
      <alignment horizontal="center"/>
    </xf>
    <xf numFmtId="0" fontId="41" fillId="51" borderId="0" xfId="0" applyFont="1" applyFill="1" applyAlignment="1">
      <alignment horizontal="center"/>
    </xf>
    <xf numFmtId="0" fontId="42" fillId="51" borderId="0" xfId="0" applyFont="1" applyFill="1" applyAlignment="1">
      <alignment horizontal="center"/>
    </xf>
    <xf numFmtId="0" fontId="107" fillId="30" borderId="0" xfId="1" applyFont="1" applyFill="1" applyAlignment="1">
      <alignment horizontal="left"/>
    </xf>
    <xf numFmtId="0" fontId="113" fillId="30" borderId="0" xfId="0" applyFont="1" applyFill="1" applyAlignment="1">
      <alignment horizontal="left"/>
    </xf>
    <xf numFmtId="0" fontId="38" fillId="31" borderId="0" xfId="0" applyFont="1" applyFill="1" applyAlignment="1">
      <alignment horizontal="left"/>
    </xf>
    <xf numFmtId="0" fontId="80" fillId="46" borderId="0" xfId="0" applyFont="1" applyFill="1" applyAlignment="1">
      <alignment horizontal="left"/>
    </xf>
    <xf numFmtId="0" fontId="39" fillId="46" borderId="0" xfId="0" applyFont="1" applyFill="1" applyAlignment="1">
      <alignment horizontal="left"/>
    </xf>
    <xf numFmtId="0" fontId="8" fillId="30" borderId="0" xfId="0" applyFont="1" applyFill="1" applyAlignment="1">
      <alignment horizontal="center"/>
    </xf>
    <xf numFmtId="10" fontId="40" fillId="47" borderId="0" xfId="2" applyNumberFormat="1" applyFont="1" applyFill="1" applyAlignment="1">
      <alignment horizontal="center"/>
    </xf>
    <xf numFmtId="0" fontId="36" fillId="50" borderId="0" xfId="0" applyFont="1" applyFill="1" applyAlignment="1">
      <alignment horizontal="center"/>
    </xf>
    <xf numFmtId="10" fontId="44" fillId="51" borderId="0" xfId="0" applyNumberFormat="1" applyFont="1" applyFill="1" applyAlignment="1">
      <alignment horizontal="center"/>
    </xf>
    <xf numFmtId="0" fontId="36" fillId="54" borderId="0" xfId="0" applyFont="1" applyFill="1" applyAlignment="1">
      <alignment horizontal="center"/>
    </xf>
    <xf numFmtId="10" fontId="46" fillId="55" borderId="0" xfId="0" applyNumberFormat="1" applyFont="1" applyFill="1" applyAlignment="1">
      <alignment horizontal="center"/>
    </xf>
    <xf numFmtId="0" fontId="36" fillId="52" borderId="0" xfId="0" applyFont="1" applyFill="1" applyAlignment="1">
      <alignment horizontal="center"/>
    </xf>
    <xf numFmtId="10" fontId="45" fillId="53" borderId="0" xfId="0" applyNumberFormat="1" applyFont="1" applyFill="1" applyAlignment="1">
      <alignment horizontal="center"/>
    </xf>
    <xf numFmtId="0" fontId="41" fillId="53" borderId="0" xfId="0" applyFont="1" applyFill="1" applyAlignment="1">
      <alignment horizontal="center"/>
    </xf>
    <xf numFmtId="0" fontId="42" fillId="53" borderId="0" xfId="0" applyFont="1" applyFill="1" applyAlignment="1">
      <alignment horizontal="center"/>
    </xf>
    <xf numFmtId="0" fontId="2" fillId="2" borderId="0" xfId="0" applyFont="1" applyFill="1"/>
    <xf numFmtId="0" fontId="4" fillId="2" borderId="0" xfId="0" applyFont="1" applyFill="1"/>
    <xf numFmtId="0" fontId="0" fillId="2" borderId="0" xfId="0" applyFill="1"/>
    <xf numFmtId="0" fontId="5" fillId="3" borderId="0" xfId="0" applyFont="1" applyFill="1"/>
    <xf numFmtId="0" fontId="0" fillId="3" borderId="0" xfId="0" applyFill="1"/>
    <xf numFmtId="0" fontId="8" fillId="3" borderId="0" xfId="0" applyFont="1" applyFill="1"/>
    <xf numFmtId="0" fontId="8" fillId="2" borderId="0" xfId="0" applyFont="1" applyFill="1"/>
    <xf numFmtId="0" fontId="107" fillId="2" borderId="0" xfId="1" applyFont="1" applyFill="1"/>
    <xf numFmtId="0" fontId="106" fillId="2" borderId="0" xfId="0" applyFont="1" applyFill="1"/>
    <xf numFmtId="0" fontId="3" fillId="3" borderId="0" xfId="0" applyFont="1" applyFill="1"/>
    <xf numFmtId="0" fontId="0" fillId="7" borderId="0" xfId="0" applyFill="1" applyAlignment="1">
      <alignment wrapText="1"/>
    </xf>
    <xf numFmtId="0" fontId="0" fillId="7" borderId="0" xfId="0" applyFill="1"/>
    <xf numFmtId="0" fontId="82" fillId="0" borderId="0" xfId="0" applyFont="1" applyAlignment="1">
      <alignment horizontal="left"/>
    </xf>
    <xf numFmtId="0" fontId="72" fillId="3" borderId="0" xfId="0" applyFont="1" applyFill="1" applyAlignment="1">
      <alignment horizontal="center"/>
    </xf>
    <xf numFmtId="0" fontId="88" fillId="5" borderId="0" xfId="0" applyFont="1" applyFill="1" applyAlignment="1">
      <alignment horizontal="center"/>
    </xf>
    <xf numFmtId="0" fontId="107" fillId="2" borderId="0" xfId="1" applyFont="1" applyFill="1" applyAlignment="1">
      <alignment horizontal="left"/>
    </xf>
    <xf numFmtId="0" fontId="66" fillId="2" borderId="0" xfId="0" applyFont="1" applyFill="1" applyAlignment="1">
      <alignment horizontal="left"/>
    </xf>
    <xf numFmtId="0" fontId="76" fillId="35" borderId="0" xfId="0" applyFont="1" applyFill="1" applyAlignment="1">
      <alignment horizontal="left"/>
    </xf>
    <xf numFmtId="0" fontId="67" fillId="35" borderId="0" xfId="0" applyFont="1" applyFill="1" applyAlignment="1">
      <alignment horizontal="left"/>
    </xf>
    <xf numFmtId="0" fontId="7" fillId="0" borderId="0" xfId="0" applyFont="1"/>
    <xf numFmtId="0" fontId="0" fillId="0" borderId="0" xfId="0"/>
    <xf numFmtId="0" fontId="76" fillId="75" borderId="0" xfId="0" applyFont="1" applyFill="1" applyAlignment="1">
      <alignment horizontal="left"/>
    </xf>
    <xf numFmtId="0" fontId="74" fillId="3" borderId="0" xfId="0" applyFont="1" applyFill="1" applyAlignment="1">
      <alignment horizontal="left"/>
    </xf>
    <xf numFmtId="0" fontId="72" fillId="3" borderId="0" xfId="0" applyFont="1" applyFill="1" applyAlignment="1">
      <alignment horizontal="left"/>
    </xf>
    <xf numFmtId="0" fontId="66" fillId="2" borderId="0" xfId="0" applyFont="1" applyFill="1" applyAlignment="1">
      <alignment horizontal="center"/>
    </xf>
    <xf numFmtId="0" fontId="70" fillId="7" borderId="0" xfId="0" applyFont="1" applyFill="1" applyAlignment="1">
      <alignment horizontal="left"/>
    </xf>
    <xf numFmtId="0" fontId="66" fillId="14" borderId="0" xfId="0" applyFont="1" applyFill="1" applyAlignment="1">
      <alignment horizontal="left"/>
    </xf>
    <xf numFmtId="0" fontId="66" fillId="14" borderId="0" xfId="0" applyFont="1" applyFill="1" applyAlignment="1">
      <alignment horizontal="center"/>
    </xf>
    <xf numFmtId="0" fontId="12" fillId="2" borderId="0" xfId="0" applyFont="1" applyFill="1" applyAlignment="1">
      <alignment horizontal="center"/>
    </xf>
    <xf numFmtId="0" fontId="71" fillId="2" borderId="0" xfId="0" applyFont="1" applyFill="1" applyAlignment="1">
      <alignment horizontal="center"/>
    </xf>
    <xf numFmtId="0" fontId="73" fillId="2" borderId="0" xfId="0" applyFont="1" applyFill="1" applyAlignment="1">
      <alignment horizontal="center"/>
    </xf>
    <xf numFmtId="0" fontId="110" fillId="2" borderId="0" xfId="0" applyFont="1" applyFill="1" applyAlignment="1">
      <alignment horizontal="left"/>
    </xf>
    <xf numFmtId="0" fontId="8" fillId="2" borderId="0" xfId="0" applyFont="1" applyFill="1" applyAlignment="1">
      <alignment horizontal="left"/>
    </xf>
    <xf numFmtId="0" fontId="17" fillId="0" borderId="0" xfId="0" applyFont="1" applyAlignment="1">
      <alignment horizontal="left"/>
    </xf>
    <xf numFmtId="0" fontId="0" fillId="0" borderId="0" xfId="0" applyAlignment="1">
      <alignment horizontal="left"/>
    </xf>
    <xf numFmtId="0" fontId="6" fillId="0" borderId="0" xfId="0" applyFont="1"/>
    <xf numFmtId="0" fontId="105" fillId="2" borderId="0" xfId="1" applyFont="1" applyFill="1"/>
    <xf numFmtId="0" fontId="1" fillId="3" borderId="0" xfId="0" applyFont="1" applyFill="1"/>
    <xf numFmtId="0" fontId="13" fillId="11" borderId="0" xfId="0" applyFont="1" applyFill="1" applyAlignment="1">
      <alignment horizontal="center"/>
    </xf>
    <xf numFmtId="0" fontId="15" fillId="7" borderId="0" xfId="0" applyFont="1" applyFill="1" applyAlignment="1">
      <alignment horizontal="center" wrapText="1"/>
    </xf>
    <xf numFmtId="0" fontId="12" fillId="3" borderId="0" xfId="0" applyFont="1" applyFill="1"/>
    <xf numFmtId="0" fontId="12" fillId="2" borderId="0" xfId="0" applyFont="1" applyFill="1" applyAlignment="1">
      <alignment horizontal="left"/>
    </xf>
    <xf numFmtId="0" fontId="8" fillId="2" borderId="0" xfId="0" applyFont="1" applyFill="1" applyAlignment="1">
      <alignment horizontal="center"/>
    </xf>
    <xf numFmtId="0" fontId="109" fillId="2" borderId="0" xfId="0" applyFont="1" applyFill="1" applyAlignment="1">
      <alignment horizontal="left"/>
    </xf>
    <xf numFmtId="0" fontId="8" fillId="6" borderId="0" xfId="0" applyFont="1" applyFill="1" applyAlignment="1">
      <alignment horizontal="left"/>
    </xf>
    <xf numFmtId="0" fontId="107" fillId="2" borderId="0" xfId="1" applyFont="1" applyFill="1" applyAlignment="1"/>
    <xf numFmtId="0" fontId="112" fillId="2" borderId="0" xfId="0" applyFont="1" applyFill="1" applyAlignment="1">
      <alignment horizontal="left"/>
    </xf>
    <xf numFmtId="0" fontId="112" fillId="2" borderId="0" xfId="0" applyFont="1" applyFill="1"/>
    <xf numFmtId="0" fontId="111" fillId="2" borderId="0" xfId="0" applyFont="1" applyFill="1" applyAlignment="1">
      <alignment horizontal="left"/>
    </xf>
    <xf numFmtId="0" fontId="79" fillId="73" borderId="0" xfId="0" applyFont="1" applyFill="1" applyAlignment="1">
      <alignment horizontal="center"/>
    </xf>
    <xf numFmtId="0" fontId="27" fillId="39" borderId="0" xfId="0" applyFont="1" applyFill="1" applyAlignment="1">
      <alignment wrapText="1"/>
    </xf>
    <xf numFmtId="0" fontId="27" fillId="5" borderId="0" xfId="0" applyFont="1" applyFill="1" applyAlignment="1">
      <alignment wrapText="1"/>
    </xf>
    <xf numFmtId="0" fontId="23" fillId="38" borderId="0" xfId="0" applyFont="1" applyFill="1" applyAlignment="1">
      <alignment horizontal="center"/>
    </xf>
    <xf numFmtId="0" fontId="25" fillId="38" borderId="0" xfId="0" applyFont="1" applyFill="1" applyAlignment="1">
      <alignment horizontal="center"/>
    </xf>
    <xf numFmtId="0" fontId="24" fillId="45" borderId="0" xfId="0" applyFont="1" applyFill="1"/>
    <xf numFmtId="0" fontId="27" fillId="45" borderId="0" xfId="0" applyFont="1" applyFill="1"/>
    <xf numFmtId="0" fontId="24" fillId="5" borderId="0" xfId="0" applyFont="1" applyFill="1"/>
    <xf numFmtId="0" fontId="27" fillId="5" borderId="0" xfId="0" applyFont="1" applyFill="1"/>
    <xf numFmtId="0" fontId="23" fillId="44" borderId="0" xfId="0" applyFont="1" applyFill="1" applyAlignment="1">
      <alignment horizontal="center"/>
    </xf>
    <xf numFmtId="0" fontId="25" fillId="44" borderId="0" xfId="0" applyFont="1" applyFill="1" applyAlignment="1">
      <alignment horizontal="center"/>
    </xf>
    <xf numFmtId="17" fontId="27" fillId="5" borderId="0" xfId="0" applyNumberFormat="1" applyFont="1" applyFill="1"/>
    <xf numFmtId="0" fontId="34" fillId="5" borderId="0" xfId="0" applyFont="1" applyFill="1" applyAlignment="1">
      <alignment horizontal="center"/>
    </xf>
    <xf numFmtId="0" fontId="24" fillId="43" borderId="0" xfId="0" applyFont="1" applyFill="1"/>
    <xf numFmtId="0" fontId="27" fillId="43" borderId="0" xfId="0" applyFont="1" applyFill="1"/>
    <xf numFmtId="17" fontId="27" fillId="43" borderId="0" xfId="0" applyNumberFormat="1" applyFont="1" applyFill="1"/>
    <xf numFmtId="0" fontId="33" fillId="43" borderId="0" xfId="0" applyFont="1" applyFill="1" applyAlignment="1">
      <alignment horizontal="center"/>
    </xf>
    <xf numFmtId="0" fontId="33" fillId="5" borderId="0" xfId="0" applyFont="1" applyFill="1" applyAlignment="1">
      <alignment horizontal="center"/>
    </xf>
    <xf numFmtId="0" fontId="29" fillId="41" borderId="0" xfId="0" applyFont="1" applyFill="1" applyAlignment="1">
      <alignment horizontal="center"/>
    </xf>
    <xf numFmtId="0" fontId="23" fillId="31" borderId="0" xfId="0" applyFont="1" applyFill="1" applyAlignment="1">
      <alignment horizontal="center"/>
    </xf>
    <xf numFmtId="0" fontId="25" fillId="31" borderId="0" xfId="0" applyFont="1" applyFill="1" applyAlignment="1">
      <alignment horizontal="center"/>
    </xf>
    <xf numFmtId="0" fontId="100" fillId="35" borderId="0" xfId="0" applyFont="1" applyFill="1" applyAlignment="1">
      <alignment horizontal="center"/>
    </xf>
    <xf numFmtId="0" fontId="29" fillId="35" borderId="0" xfId="0" applyFont="1" applyFill="1" applyAlignment="1">
      <alignment horizontal="center"/>
    </xf>
    <xf numFmtId="0" fontId="25" fillId="36" borderId="0" xfId="0" applyFont="1" applyFill="1" applyAlignment="1">
      <alignment horizontal="center"/>
    </xf>
    <xf numFmtId="0" fontId="30" fillId="37" borderId="0" xfId="0" applyFont="1" applyFill="1" applyAlignment="1">
      <alignment horizontal="center"/>
    </xf>
    <xf numFmtId="0" fontId="28" fillId="37" borderId="0" xfId="0" applyFont="1" applyFill="1" applyAlignment="1">
      <alignment horizontal="center"/>
    </xf>
    <xf numFmtId="0" fontId="29" fillId="37" borderId="0" xfId="0" applyFont="1" applyFill="1" applyAlignment="1">
      <alignment horizontal="center"/>
    </xf>
    <xf numFmtId="10" fontId="31" fillId="39" borderId="0" xfId="0" applyNumberFormat="1" applyFont="1" applyFill="1" applyAlignment="1">
      <alignment horizontal="center"/>
    </xf>
    <xf numFmtId="0" fontId="28" fillId="39" borderId="0" xfId="0" applyFont="1" applyFill="1" applyAlignment="1">
      <alignment horizontal="center"/>
    </xf>
    <xf numFmtId="0" fontId="29" fillId="39" borderId="0" xfId="0" applyFont="1" applyFill="1" applyAlignment="1">
      <alignment horizontal="center"/>
    </xf>
    <xf numFmtId="0" fontId="105" fillId="30" borderId="0" xfId="1" applyFont="1" applyFill="1" applyAlignment="1">
      <alignment horizontal="center"/>
    </xf>
    <xf numFmtId="0" fontId="16" fillId="30" borderId="0" xfId="0" applyFont="1" applyFill="1" applyAlignment="1">
      <alignment horizontal="center"/>
    </xf>
    <xf numFmtId="0" fontId="22" fillId="31" borderId="0" xfId="0" applyFont="1" applyFill="1" applyAlignment="1">
      <alignment horizontal="center"/>
    </xf>
    <xf numFmtId="0" fontId="97" fillId="34" borderId="0" xfId="0" applyFont="1" applyFill="1" applyAlignment="1">
      <alignment horizontal="center"/>
    </xf>
    <xf numFmtId="0" fontId="25" fillId="34" borderId="0" xfId="0" applyFont="1" applyFill="1" applyAlignment="1">
      <alignment horizontal="center"/>
    </xf>
    <xf numFmtId="10" fontId="98" fillId="35" borderId="0" xfId="0" applyNumberFormat="1" applyFont="1" applyFill="1" applyAlignment="1">
      <alignment horizontal="center"/>
    </xf>
    <xf numFmtId="10" fontId="26" fillId="35" borderId="0" xfId="0" applyNumberFormat="1" applyFont="1" applyFill="1" applyAlignment="1">
      <alignment horizontal="center"/>
    </xf>
    <xf numFmtId="0" fontId="99" fillId="35" borderId="0" xfId="0" applyFont="1" applyFill="1" applyAlignment="1">
      <alignment horizontal="center"/>
    </xf>
    <xf numFmtId="0" fontId="28" fillId="35" borderId="0" xfId="0" applyFont="1" applyFill="1" applyAlignment="1">
      <alignment horizontal="center"/>
    </xf>
    <xf numFmtId="0" fontId="25" fillId="40" borderId="0" xfId="0" applyFont="1" applyFill="1" applyAlignment="1">
      <alignment horizontal="center"/>
    </xf>
    <xf numFmtId="0" fontId="32" fillId="41" borderId="0" xfId="0" applyFont="1" applyFill="1" applyAlignment="1">
      <alignment horizontal="center"/>
    </xf>
    <xf numFmtId="0" fontId="28" fillId="41" borderId="0" xfId="0" applyFont="1" applyFill="1" applyAlignment="1">
      <alignment horizontal="center"/>
    </xf>
    <xf numFmtId="0" fontId="27" fillId="42" borderId="0" xfId="0" applyFont="1" applyFill="1" applyAlignment="1">
      <alignment horizontal="center"/>
    </xf>
    <xf numFmtId="0" fontId="57" fillId="42" borderId="0" xfId="0" applyFont="1" applyFill="1" applyAlignment="1">
      <alignment horizontal="center"/>
    </xf>
    <xf numFmtId="0" fontId="24" fillId="66" borderId="0" xfId="0" applyFont="1" applyFill="1"/>
    <xf numFmtId="10" fontId="27" fillId="66" borderId="0" xfId="0" applyNumberFormat="1" applyFont="1" applyFill="1" applyAlignment="1">
      <alignment horizontal="center"/>
    </xf>
    <xf numFmtId="10" fontId="27" fillId="66" borderId="0" xfId="0" applyNumberFormat="1" applyFont="1" applyFill="1"/>
    <xf numFmtId="0" fontId="27" fillId="66" borderId="0" xfId="0" applyFont="1" applyFill="1" applyAlignment="1">
      <alignment horizontal="center"/>
    </xf>
    <xf numFmtId="0" fontId="49" fillId="66" borderId="0" xfId="0" applyFont="1" applyFill="1" applyAlignment="1">
      <alignment horizontal="center"/>
    </xf>
    <xf numFmtId="10" fontId="27" fillId="42" borderId="0" xfId="0" applyNumberFormat="1" applyFont="1" applyFill="1" applyAlignment="1">
      <alignment horizontal="center"/>
    </xf>
    <xf numFmtId="0" fontId="27" fillId="70" borderId="0" xfId="0" applyFont="1" applyFill="1"/>
    <xf numFmtId="0" fontId="57" fillId="70" borderId="0" xfId="0" applyFont="1" applyFill="1" applyAlignment="1">
      <alignment horizontal="center"/>
    </xf>
    <xf numFmtId="0" fontId="23" fillId="50" borderId="0" xfId="0" applyFont="1" applyFill="1" applyAlignment="1">
      <alignment horizontal="center"/>
    </xf>
    <xf numFmtId="0" fontId="25" fillId="50" borderId="0" xfId="0" applyFont="1" applyFill="1" applyAlignment="1">
      <alignment horizontal="center"/>
    </xf>
    <xf numFmtId="0" fontId="27" fillId="68" borderId="0" xfId="0" applyFont="1" applyFill="1"/>
    <xf numFmtId="0" fontId="57" fillId="68" borderId="0" xfId="0" applyFont="1" applyFill="1" applyAlignment="1">
      <alignment horizontal="center"/>
    </xf>
    <xf numFmtId="0" fontId="57" fillId="45" borderId="0" xfId="0" applyFont="1" applyFill="1" applyAlignment="1">
      <alignment horizontal="center"/>
    </xf>
    <xf numFmtId="0" fontId="27" fillId="67" borderId="0" xfId="0" applyFont="1" applyFill="1"/>
    <xf numFmtId="0" fontId="57" fillId="67" borderId="0" xfId="0" applyFont="1" applyFill="1" applyAlignment="1">
      <alignment horizontal="center"/>
    </xf>
    <xf numFmtId="0" fontId="50" fillId="58" borderId="0" xfId="0" applyFont="1" applyFill="1" applyAlignment="1">
      <alignment horizontal="center"/>
    </xf>
    <xf numFmtId="0" fontId="27" fillId="69" borderId="0" xfId="0" applyFont="1" applyFill="1"/>
    <xf numFmtId="0" fontId="57" fillId="69" borderId="0" xfId="0" applyFont="1" applyFill="1" applyAlignment="1">
      <alignment horizontal="center"/>
    </xf>
    <xf numFmtId="0" fontId="49" fillId="58" borderId="0" xfId="0" applyFont="1" applyFill="1" applyAlignment="1">
      <alignment horizontal="center"/>
    </xf>
    <xf numFmtId="0" fontId="27" fillId="35" borderId="0" xfId="0" applyFont="1" applyFill="1"/>
    <xf numFmtId="0" fontId="57" fillId="35" borderId="0" xfId="0" applyFont="1" applyFill="1" applyAlignment="1">
      <alignment horizontal="center"/>
    </xf>
    <xf numFmtId="0" fontId="27" fillId="41" borderId="0" xfId="0" applyFont="1" applyFill="1"/>
    <xf numFmtId="0" fontId="57" fillId="41" borderId="0" xfId="0" applyFont="1" applyFill="1"/>
    <xf numFmtId="0" fontId="57" fillId="41" borderId="0" xfId="0" applyFont="1" applyFill="1" applyAlignment="1">
      <alignment horizontal="center"/>
    </xf>
    <xf numFmtId="0" fontId="27" fillId="72" borderId="0" xfId="0" applyFont="1" applyFill="1"/>
    <xf numFmtId="0" fontId="57" fillId="72" borderId="0" xfId="0" applyFont="1" applyFill="1"/>
    <xf numFmtId="0" fontId="57" fillId="72" borderId="0" xfId="0" applyFont="1" applyFill="1" applyAlignment="1">
      <alignment horizontal="center"/>
    </xf>
    <xf numFmtId="0" fontId="57" fillId="70" borderId="0" xfId="0" applyFont="1" applyFill="1"/>
    <xf numFmtId="0" fontId="27" fillId="47" borderId="0" xfId="0" applyFont="1" applyFill="1"/>
    <xf numFmtId="0" fontId="57" fillId="47" borderId="0" xfId="0" applyFont="1" applyFill="1"/>
    <xf numFmtId="0" fontId="57" fillId="47" borderId="0" xfId="0" applyFont="1" applyFill="1" applyAlignment="1">
      <alignment horizontal="center"/>
    </xf>
    <xf numFmtId="0" fontId="27" fillId="71" borderId="0" xfId="0" applyFont="1" applyFill="1"/>
    <xf numFmtId="0" fontId="57" fillId="71" borderId="0" xfId="0" applyFont="1" applyFill="1"/>
    <xf numFmtId="0" fontId="57" fillId="71" borderId="0" xfId="0" applyFont="1" applyFill="1" applyAlignment="1">
      <alignment horizontal="center"/>
    </xf>
    <xf numFmtId="0" fontId="57" fillId="45" borderId="0" xfId="0" applyFont="1" applyFill="1"/>
    <xf numFmtId="0" fontId="57" fillId="35" borderId="0" xfId="0" applyFont="1" applyFill="1"/>
    <xf numFmtId="0" fontId="57" fillId="68" borderId="0" xfId="0" applyFont="1" applyFill="1"/>
    <xf numFmtId="0" fontId="57" fillId="69" borderId="0" xfId="0" applyFont="1" applyFill="1"/>
    <xf numFmtId="0" fontId="57" fillId="67" borderId="0" xfId="0" applyFont="1" applyFill="1"/>
    <xf numFmtId="0" fontId="9" fillId="2" borderId="0" xfId="0" applyFont="1" applyFill="1"/>
    <xf numFmtId="0" fontId="101" fillId="0" borderId="0" xfId="0" applyFont="1"/>
    <xf numFmtId="0" fontId="102" fillId="72" borderId="0" xfId="0" applyFont="1" applyFill="1"/>
    <xf numFmtId="0" fontId="101" fillId="72" borderId="0" xfId="0" applyFont="1" applyFill="1" applyAlignment="1">
      <alignment wrapText="1"/>
    </xf>
  </cellXfs>
  <cellStyles count="3">
    <cellStyle name="Hipervínculo" xfId="1" builtinId="8"/>
    <cellStyle name="Normal" xfId="0" builtinId="0"/>
    <cellStyle name="Porcentaje" xfId="2" builtinId="5"/>
  </cellStyles>
  <dxfs count="0"/>
  <tableStyles count="0" defaultTableStyle="TableStyleMedium2" defaultPivotStyle="PivotStyleLight16"/>
  <colors>
    <mruColors>
      <color rgb="FFFFD0D0"/>
      <color rgb="FFE8F8E8"/>
      <color rgb="FFE0FFE0"/>
      <color rgb="FFFFE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A95044-DC39-41C8-97AF-02618F07423D}">
  <we:reference id="wa200009404" version="1.0.0.8" store="es-MX" storeType="OMEX"/>
  <we:alternateReferences>
    <we:reference id="wa200009404" version="1.0.0.8" store="es-MX"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3687-BE8E-4847-A1CD-DFD1B647C835}">
  <dimension ref="A1:L62"/>
  <sheetViews>
    <sheetView zoomScale="102" zoomScaleNormal="102" workbookViewId="0">
      <pane ySplit="5" topLeftCell="A48" activePane="bottomLeft" state="frozen"/>
      <selection pane="bottomLeft" activeCell="D60" sqref="D60"/>
    </sheetView>
  </sheetViews>
  <sheetFormatPr baseColWidth="10" defaultRowHeight="14.4" x14ac:dyDescent="0.3"/>
  <cols>
    <col min="1" max="1" width="33.33203125" customWidth="1"/>
    <col min="2" max="2" width="37" customWidth="1"/>
    <col min="3" max="3" width="55.5546875" customWidth="1"/>
    <col min="4" max="4" width="27.77734375" customWidth="1"/>
  </cols>
  <sheetData>
    <row r="1" spans="1:12" ht="21" x14ac:dyDescent="0.4">
      <c r="A1" s="451" t="s">
        <v>0</v>
      </c>
      <c r="B1" s="451"/>
      <c r="C1" s="451"/>
      <c r="D1" s="451"/>
      <c r="E1" s="451"/>
      <c r="F1" s="451"/>
      <c r="G1" s="451"/>
      <c r="H1" s="451"/>
      <c r="I1" s="451"/>
      <c r="J1" s="451"/>
      <c r="K1" s="451"/>
      <c r="L1" s="451"/>
    </row>
    <row r="2" spans="1:12" ht="15.6" x14ac:dyDescent="0.3">
      <c r="A2" s="452" t="s">
        <v>1</v>
      </c>
      <c r="B2" s="453"/>
      <c r="C2" s="453"/>
      <c r="D2" s="453"/>
      <c r="E2" s="453"/>
      <c r="F2" s="453"/>
      <c r="G2" s="453"/>
      <c r="H2" s="453"/>
      <c r="I2" s="453"/>
      <c r="J2" s="453"/>
      <c r="K2" s="453"/>
      <c r="L2" s="453"/>
    </row>
    <row r="3" spans="1:12" x14ac:dyDescent="0.3">
      <c r="A3" s="454" t="s">
        <v>2</v>
      </c>
      <c r="B3" s="455"/>
      <c r="C3" s="455"/>
      <c r="D3" s="455"/>
      <c r="E3" s="455"/>
      <c r="F3" s="455"/>
      <c r="G3" s="455"/>
      <c r="H3" s="455"/>
      <c r="I3" s="455"/>
      <c r="J3" s="455"/>
      <c r="K3" s="455"/>
      <c r="L3" s="455"/>
    </row>
    <row r="4" spans="1:12" x14ac:dyDescent="0.3">
      <c r="A4" s="4" t="s">
        <v>3</v>
      </c>
    </row>
    <row r="5" spans="1:12" x14ac:dyDescent="0.3">
      <c r="A5" s="5" t="s">
        <v>4</v>
      </c>
      <c r="B5" s="5" t="s">
        <v>5</v>
      </c>
      <c r="C5" s="5" t="s">
        <v>6</v>
      </c>
      <c r="D5" s="5" t="s">
        <v>7</v>
      </c>
    </row>
    <row r="6" spans="1:12" x14ac:dyDescent="0.3">
      <c r="A6" s="12" t="s">
        <v>8</v>
      </c>
      <c r="B6" s="6" t="s">
        <v>9</v>
      </c>
      <c r="C6" s="6" t="s">
        <v>10</v>
      </c>
      <c r="D6" s="6" t="s">
        <v>8</v>
      </c>
    </row>
    <row r="7" spans="1:12" x14ac:dyDescent="0.3">
      <c r="A7" s="13" t="s">
        <v>11</v>
      </c>
      <c r="B7" s="7" t="s">
        <v>12</v>
      </c>
      <c r="C7" s="7" t="s">
        <v>13</v>
      </c>
      <c r="D7" s="7" t="s">
        <v>11</v>
      </c>
    </row>
    <row r="8" spans="1:12" x14ac:dyDescent="0.3">
      <c r="A8" s="12" t="s">
        <v>14</v>
      </c>
      <c r="B8" s="6">
        <v>1360029750001</v>
      </c>
      <c r="C8" s="6" t="s">
        <v>15</v>
      </c>
      <c r="D8" s="6" t="s">
        <v>14</v>
      </c>
    </row>
    <row r="9" spans="1:12" x14ac:dyDescent="0.3">
      <c r="A9" s="13" t="s">
        <v>16</v>
      </c>
      <c r="B9" s="11">
        <v>50000</v>
      </c>
      <c r="C9" s="7" t="s">
        <v>17</v>
      </c>
      <c r="D9" s="7" t="s">
        <v>16</v>
      </c>
    </row>
    <row r="10" spans="1:12" x14ac:dyDescent="0.3">
      <c r="A10" s="12" t="s">
        <v>18</v>
      </c>
      <c r="B10" s="6" t="s">
        <v>19</v>
      </c>
      <c r="C10" s="6" t="s">
        <v>20</v>
      </c>
      <c r="D10" s="6" t="s">
        <v>18</v>
      </c>
    </row>
    <row r="11" spans="1:12" x14ac:dyDescent="0.3">
      <c r="A11" s="13" t="s">
        <v>21</v>
      </c>
      <c r="B11" s="7">
        <v>2024</v>
      </c>
      <c r="C11" s="7" t="s">
        <v>22</v>
      </c>
      <c r="D11" s="7" t="s">
        <v>21</v>
      </c>
    </row>
    <row r="12" spans="1:12" x14ac:dyDescent="0.3">
      <c r="A12" s="12" t="s">
        <v>23</v>
      </c>
      <c r="B12" s="268">
        <v>1</v>
      </c>
      <c r="C12" s="234" t="s">
        <v>2312</v>
      </c>
      <c r="D12" s="6" t="s">
        <v>23</v>
      </c>
    </row>
    <row r="13" spans="1:12" x14ac:dyDescent="0.3">
      <c r="A13" s="13" t="s">
        <v>24</v>
      </c>
      <c r="B13" s="10">
        <v>16500000</v>
      </c>
      <c r="C13" s="7" t="s">
        <v>25</v>
      </c>
      <c r="D13" s="7" t="s">
        <v>24</v>
      </c>
    </row>
    <row r="14" spans="1:12" x14ac:dyDescent="0.3">
      <c r="A14" s="12" t="s">
        <v>26</v>
      </c>
      <c r="B14" s="8">
        <f ca="1">TODAY()</f>
        <v>46110</v>
      </c>
      <c r="C14" s="6" t="s">
        <v>27</v>
      </c>
      <c r="D14" s="6" t="s">
        <v>26</v>
      </c>
    </row>
    <row r="15" spans="1:12" x14ac:dyDescent="0.3">
      <c r="A15" s="13" t="s">
        <v>28</v>
      </c>
      <c r="B15" s="7" t="s">
        <v>29</v>
      </c>
      <c r="C15" s="7" t="s">
        <v>30</v>
      </c>
      <c r="D15" s="7" t="s">
        <v>28</v>
      </c>
    </row>
    <row r="16" spans="1:12" x14ac:dyDescent="0.3">
      <c r="A16" s="12" t="s">
        <v>31</v>
      </c>
      <c r="B16" s="6" t="s">
        <v>32</v>
      </c>
      <c r="C16" s="6" t="s">
        <v>33</v>
      </c>
      <c r="D16" s="6" t="s">
        <v>31</v>
      </c>
    </row>
    <row r="17" spans="1:4" x14ac:dyDescent="0.3">
      <c r="A17" s="236" t="s">
        <v>2291</v>
      </c>
      <c r="B17" s="237" t="s">
        <v>2287</v>
      </c>
      <c r="C17" s="237" t="s">
        <v>2292</v>
      </c>
      <c r="D17" s="237" t="s">
        <v>2291</v>
      </c>
    </row>
    <row r="18" spans="1:4" x14ac:dyDescent="0.3">
      <c r="A18" s="13" t="s">
        <v>34</v>
      </c>
      <c r="B18" s="7" t="s">
        <v>35</v>
      </c>
      <c r="C18" s="7" t="s">
        <v>36</v>
      </c>
      <c r="D18" s="7" t="s">
        <v>34</v>
      </c>
    </row>
    <row r="19" spans="1:4" x14ac:dyDescent="0.3">
      <c r="A19" s="12" t="s">
        <v>37</v>
      </c>
      <c r="B19" s="6">
        <v>0.5</v>
      </c>
      <c r="C19" s="6" t="s">
        <v>38</v>
      </c>
      <c r="D19" s="6" t="s">
        <v>37</v>
      </c>
    </row>
    <row r="20" spans="1:4" x14ac:dyDescent="0.3">
      <c r="A20" s="13" t="s">
        <v>39</v>
      </c>
      <c r="B20" s="7">
        <v>6</v>
      </c>
      <c r="C20" s="7" t="s">
        <v>40</v>
      </c>
      <c r="D20" s="7" t="s">
        <v>39</v>
      </c>
    </row>
    <row r="22" spans="1:4" x14ac:dyDescent="0.3">
      <c r="A22" s="456" t="s">
        <v>41</v>
      </c>
      <c r="B22" s="455"/>
      <c r="C22" s="455"/>
      <c r="D22" s="455"/>
    </row>
    <row r="23" spans="1:4" x14ac:dyDescent="0.3">
      <c r="A23" s="5" t="s">
        <v>42</v>
      </c>
      <c r="B23" s="5" t="s">
        <v>43</v>
      </c>
      <c r="C23" s="5" t="s">
        <v>44</v>
      </c>
      <c r="D23" s="5" t="s">
        <v>45</v>
      </c>
    </row>
    <row r="24" spans="1:4" x14ac:dyDescent="0.3">
      <c r="A24" s="6" t="s">
        <v>46</v>
      </c>
      <c r="B24" s="15" t="str">
        <f>IF(ABS(H05_METAS_PDOT!H23-1)&lt;0.0001,"✅ CORRECTO","❌ ERROR")</f>
        <v>❌ ERROR</v>
      </c>
      <c r="C24" s="6">
        <f>H05_METAS_PDOT!H23</f>
        <v>2.2309711286089239E-2</v>
      </c>
      <c r="D24" s="6">
        <v>1</v>
      </c>
    </row>
    <row r="25" spans="1:4" x14ac:dyDescent="0.3">
      <c r="A25" s="7" t="s">
        <v>47</v>
      </c>
      <c r="B25" s="16" t="str">
        <f>IF(AND(H14_CALCULO_ICPI!C5&gt;=0,H14_CALCULO_ICPI!C5&lt;=100),"✅ CORRECTO","❌ ERROR")</f>
        <v>❌ ERROR</v>
      </c>
      <c r="C25" s="7" t="str">
        <f>H14_CALCULO_ICPI!C5&amp;"%"</f>
        <v>R_i%</v>
      </c>
      <c r="D25" s="7" t="s">
        <v>48</v>
      </c>
    </row>
    <row r="26" spans="1:4" x14ac:dyDescent="0.3">
      <c r="A26" s="6" t="s">
        <v>2718</v>
      </c>
      <c r="B26" s="15" t="s">
        <v>49</v>
      </c>
      <c r="C26" s="6" t="s">
        <v>50</v>
      </c>
      <c r="D26" s="6" t="s">
        <v>51</v>
      </c>
    </row>
    <row r="27" spans="1:4" x14ac:dyDescent="0.3">
      <c r="A27" s="7" t="s">
        <v>2719</v>
      </c>
      <c r="B27" s="16" t="s">
        <v>49</v>
      </c>
      <c r="C27" s="7" t="s">
        <v>50</v>
      </c>
      <c r="D27" s="7" t="s">
        <v>51</v>
      </c>
    </row>
    <row r="28" spans="1:4" x14ac:dyDescent="0.3">
      <c r="A28" s="235" t="s">
        <v>2310</v>
      </c>
      <c r="B28" s="245" t="str">
        <f>IF(AND(B12&gt;0,B12&lt;=1),"✅ ICM en rango válido","❌ Revisar rango 0-1")</f>
        <v>✅ ICM en rango válido</v>
      </c>
      <c r="C28" s="234" t="str">
        <f>B12&amp;" (92% — rango válido: &gt;0 y ≤1)"</f>
        <v>1 (92% — rango válido: &gt;0 y ≤1)</v>
      </c>
      <c r="D28" s="234" t="s">
        <v>2311</v>
      </c>
    </row>
    <row r="29" spans="1:4" x14ac:dyDescent="0.3">
      <c r="A29" s="7" t="s">
        <v>52</v>
      </c>
      <c r="B29" s="16" t="str">
        <f>COUNTIF(H14_CALCULO_ICPI!J2:J21,1)&amp;" de 20"</f>
        <v>12 de 20</v>
      </c>
      <c r="C29" s="7">
        <f>COUNTIF(H14_CALCULO_ICPI!J2:J21,1)</f>
        <v>12</v>
      </c>
      <c r="D29" s="7" t="s">
        <v>53</v>
      </c>
    </row>
    <row r="30" spans="1:4" x14ac:dyDescent="0.3">
      <c r="A30" s="234" t="s">
        <v>2300</v>
      </c>
      <c r="B30" s="245" t="str">
        <f>IF(ISNUMBER(SEARCH("2023",B10)),"✅ 2023-2027 confirmado","⚠️ Verificar período PDOT")</f>
        <v>✅ 2023-2027 confirmado</v>
      </c>
      <c r="C30" s="234" t="str">
        <f>B10</f>
        <v>2023-2027</v>
      </c>
      <c r="D30" s="234" t="s">
        <v>19</v>
      </c>
    </row>
    <row r="31" spans="1:4" x14ac:dyDescent="0.3">
      <c r="A31" s="237" t="s">
        <v>2301</v>
      </c>
      <c r="B31" s="244" t="str">
        <f>"ℹ️ Versión activa: "&amp;B16</f>
        <v>ℹ️ Versión activa: SIAP-ICPI v1.0</v>
      </c>
      <c r="C31" s="237" t="str">
        <f>B16</f>
        <v>SIAP-ICPI v1.0</v>
      </c>
      <c r="D31" s="237" t="s">
        <v>32</v>
      </c>
    </row>
    <row r="32" spans="1:4" x14ac:dyDescent="0.3">
      <c r="A32" s="235" t="s">
        <v>2618</v>
      </c>
      <c r="B32" s="245" t="str">
        <f>IFERROR(IF(H10B_DATOS_SIGAD!B19&gt;0,"✅ Silo SIGAD presente — ICM="&amp;TEXT(H10B_DATOS_SIGAD!F19,"0%")&amp;" | $"&amp;TEXT(H10B_DATOS_SIGAD!D19,"#,##0")&amp;" | "&amp;TEXT(H10B_DATOS_SIGAD!I19,"0.0%")&amp;" represent.","❌ Silo SIGAD no cargado"),"❌ H10B_DATOS_SIGAD no encontrada")</f>
        <v>✅ Silo SIGAD presente — ICM=100% | $3939101,480 | 41% represent.</v>
      </c>
      <c r="C32" s="234" t="str">
        <f>"Metas SIGAD: "&amp;H10B_DATOS_SIGAD!B19&amp;" | Represent. presup.: "&amp;TEXT(H10B_DATOS_SIGAD!I19,"0.0%")</f>
        <v>Metas SIGAD: 9 | Represent. presup.: 41%</v>
      </c>
      <c r="D32" s="234" t="s">
        <v>2619</v>
      </c>
    </row>
    <row r="33" spans="1:4" x14ac:dyDescent="0.3">
      <c r="A33" s="236" t="s">
        <v>2620</v>
      </c>
      <c r="B33" s="244" t="str">
        <f>IFERROR(IF(H04B_DATOS_CNE!B52&gt;0,"✅ Silo CNE presente — IFE="&amp;TEXT(H04B_DATOS_CNE!B52,"0.0")&amp;"% | 20 promesas verificadas","❌ Silo CNE no cargado"),"❌ H04B_DATOS_CNE no encontrada")</f>
        <v>✅ Silo CNE presente — IFE=98% | 20 promesas verificadas</v>
      </c>
      <c r="C33" s="237" t="str">
        <f>"IFE Global: "&amp;TEXT(H04B_DATOS_CNE!B52,"0.0")&amp;"% | 5 ejes verificados"</f>
        <v>IFE Global: 98% | 5 ejes verificados</v>
      </c>
      <c r="D33" s="237" t="s">
        <v>2621</v>
      </c>
    </row>
    <row r="35" spans="1:4" x14ac:dyDescent="0.3">
      <c r="A35" s="457" t="s">
        <v>54</v>
      </c>
      <c r="B35" s="453"/>
      <c r="C35" s="453"/>
      <c r="D35" s="453"/>
    </row>
    <row r="36" spans="1:4" x14ac:dyDescent="0.3">
      <c r="A36" s="14" t="s">
        <v>55</v>
      </c>
      <c r="B36" s="14" t="s">
        <v>56</v>
      </c>
      <c r="C36" s="14" t="s">
        <v>6</v>
      </c>
      <c r="D36" s="14" t="s">
        <v>57</v>
      </c>
    </row>
    <row r="37" spans="1:4" x14ac:dyDescent="0.3">
      <c r="A37" s="6" t="s">
        <v>58</v>
      </c>
      <c r="B37" s="6" t="s">
        <v>59</v>
      </c>
      <c r="C37" s="6" t="s">
        <v>60</v>
      </c>
      <c r="D37" s="316" t="s">
        <v>61</v>
      </c>
    </row>
    <row r="38" spans="1:4" x14ac:dyDescent="0.3">
      <c r="A38" s="7" t="s">
        <v>58</v>
      </c>
      <c r="B38" s="7" t="s">
        <v>62</v>
      </c>
      <c r="C38" s="7" t="s">
        <v>63</v>
      </c>
      <c r="D38" s="317" t="s">
        <v>64</v>
      </c>
    </row>
    <row r="39" spans="1:4" x14ac:dyDescent="0.3">
      <c r="A39" s="6" t="s">
        <v>58</v>
      </c>
      <c r="B39" s="6" t="s">
        <v>65</v>
      </c>
      <c r="C39" s="6" t="s">
        <v>66</v>
      </c>
      <c r="D39" s="316" t="s">
        <v>67</v>
      </c>
    </row>
    <row r="40" spans="1:4" x14ac:dyDescent="0.3">
      <c r="A40" s="7" t="s">
        <v>68</v>
      </c>
      <c r="B40" s="7" t="s">
        <v>69</v>
      </c>
      <c r="C40" s="7" t="s">
        <v>70</v>
      </c>
      <c r="D40" s="317" t="s">
        <v>71</v>
      </c>
    </row>
    <row r="41" spans="1:4" x14ac:dyDescent="0.3">
      <c r="A41" s="6" t="s">
        <v>68</v>
      </c>
      <c r="B41" s="6" t="s">
        <v>72</v>
      </c>
      <c r="C41" s="6" t="s">
        <v>73</v>
      </c>
      <c r="D41" s="316" t="s">
        <v>74</v>
      </c>
    </row>
    <row r="42" spans="1:4" x14ac:dyDescent="0.3">
      <c r="A42" s="7" t="s">
        <v>68</v>
      </c>
      <c r="B42" s="7" t="s">
        <v>75</v>
      </c>
      <c r="C42" s="7" t="s">
        <v>76</v>
      </c>
      <c r="D42" s="317" t="s">
        <v>77</v>
      </c>
    </row>
    <row r="43" spans="1:4" x14ac:dyDescent="0.3">
      <c r="A43" s="6" t="s">
        <v>68</v>
      </c>
      <c r="B43" s="6" t="s">
        <v>78</v>
      </c>
      <c r="C43" s="6" t="s">
        <v>79</v>
      </c>
      <c r="D43" s="316" t="s">
        <v>80</v>
      </c>
    </row>
    <row r="44" spans="1:4" x14ac:dyDescent="0.3">
      <c r="A44" s="7" t="s">
        <v>68</v>
      </c>
      <c r="B44" s="7" t="s">
        <v>81</v>
      </c>
      <c r="C44" s="7" t="s">
        <v>82</v>
      </c>
      <c r="D44" s="317" t="s">
        <v>83</v>
      </c>
    </row>
    <row r="45" spans="1:4" x14ac:dyDescent="0.3">
      <c r="A45" s="6" t="s">
        <v>68</v>
      </c>
      <c r="B45" s="6" t="s">
        <v>84</v>
      </c>
      <c r="C45" s="6" t="s">
        <v>85</v>
      </c>
      <c r="D45" s="316" t="s">
        <v>86</v>
      </c>
    </row>
    <row r="46" spans="1:4" x14ac:dyDescent="0.3">
      <c r="A46" s="7" t="s">
        <v>68</v>
      </c>
      <c r="B46" s="7" t="s">
        <v>87</v>
      </c>
      <c r="C46" s="7" t="s">
        <v>88</v>
      </c>
      <c r="D46" s="317" t="s">
        <v>89</v>
      </c>
    </row>
    <row r="47" spans="1:4" x14ac:dyDescent="0.3">
      <c r="A47" s="6" t="s">
        <v>68</v>
      </c>
      <c r="B47" s="6" t="s">
        <v>90</v>
      </c>
      <c r="C47" s="6" t="s">
        <v>91</v>
      </c>
      <c r="D47" s="316" t="s">
        <v>92</v>
      </c>
    </row>
    <row r="48" spans="1:4" x14ac:dyDescent="0.3">
      <c r="A48" s="7" t="s">
        <v>93</v>
      </c>
      <c r="B48" s="7" t="s">
        <v>94</v>
      </c>
      <c r="C48" s="7" t="s">
        <v>95</v>
      </c>
      <c r="D48" s="317" t="s">
        <v>96</v>
      </c>
    </row>
    <row r="49" spans="1:4" x14ac:dyDescent="0.3">
      <c r="A49" s="6" t="s">
        <v>93</v>
      </c>
      <c r="B49" s="6" t="s">
        <v>97</v>
      </c>
      <c r="C49" s="6" t="s">
        <v>98</v>
      </c>
      <c r="D49" s="316" t="s">
        <v>99</v>
      </c>
    </row>
    <row r="50" spans="1:4" x14ac:dyDescent="0.3">
      <c r="A50" s="7" t="s">
        <v>100</v>
      </c>
      <c r="B50" s="7" t="s">
        <v>101</v>
      </c>
      <c r="C50" s="7" t="s">
        <v>102</v>
      </c>
      <c r="D50" s="317" t="s">
        <v>103</v>
      </c>
    </row>
    <row r="51" spans="1:4" x14ac:dyDescent="0.3">
      <c r="A51" s="6" t="s">
        <v>100</v>
      </c>
      <c r="B51" s="6" t="s">
        <v>104</v>
      </c>
      <c r="C51" s="6" t="s">
        <v>105</v>
      </c>
      <c r="D51" s="316" t="s">
        <v>106</v>
      </c>
    </row>
    <row r="52" spans="1:4" x14ac:dyDescent="0.3">
      <c r="A52" s="7" t="s">
        <v>100</v>
      </c>
      <c r="B52" s="7" t="s">
        <v>107</v>
      </c>
      <c r="C52" s="7" t="s">
        <v>108</v>
      </c>
      <c r="D52" s="317" t="s">
        <v>109</v>
      </c>
    </row>
    <row r="53" spans="1:4" x14ac:dyDescent="0.3">
      <c r="A53" s="6" t="s">
        <v>100</v>
      </c>
      <c r="B53" s="6" t="s">
        <v>110</v>
      </c>
      <c r="C53" s="6" t="s">
        <v>111</v>
      </c>
      <c r="D53" s="316" t="s">
        <v>112</v>
      </c>
    </row>
    <row r="54" spans="1:4" x14ac:dyDescent="0.3">
      <c r="A54" s="7" t="s">
        <v>113</v>
      </c>
      <c r="B54" s="7" t="s">
        <v>114</v>
      </c>
      <c r="C54" s="7" t="s">
        <v>115</v>
      </c>
      <c r="D54" s="317" t="s">
        <v>116</v>
      </c>
    </row>
    <row r="55" spans="1:4" x14ac:dyDescent="0.3">
      <c r="A55" s="6" t="s">
        <v>113</v>
      </c>
      <c r="B55" s="6" t="s">
        <v>117</v>
      </c>
      <c r="C55" s="6" t="s">
        <v>118</v>
      </c>
      <c r="D55" s="316" t="s">
        <v>119</v>
      </c>
    </row>
    <row r="56" spans="1:4" x14ac:dyDescent="0.3">
      <c r="A56" s="7" t="s">
        <v>120</v>
      </c>
      <c r="B56" s="7" t="s">
        <v>121</v>
      </c>
      <c r="C56" s="7" t="s">
        <v>122</v>
      </c>
      <c r="D56" s="317" t="s">
        <v>123</v>
      </c>
    </row>
    <row r="57" spans="1:4" x14ac:dyDescent="0.3">
      <c r="A57" s="6" t="s">
        <v>120</v>
      </c>
      <c r="B57" s="6" t="s">
        <v>124</v>
      </c>
      <c r="C57" s="6" t="s">
        <v>125</v>
      </c>
      <c r="D57" s="316" t="s">
        <v>126</v>
      </c>
    </row>
    <row r="58" spans="1:4" x14ac:dyDescent="0.3">
      <c r="A58" s="7" t="s">
        <v>120</v>
      </c>
      <c r="B58" s="7" t="s">
        <v>127</v>
      </c>
      <c r="C58" s="7" t="s">
        <v>128</v>
      </c>
      <c r="D58" s="317" t="s">
        <v>129</v>
      </c>
    </row>
    <row r="59" spans="1:4" x14ac:dyDescent="0.3">
      <c r="A59" s="6" t="s">
        <v>130</v>
      </c>
      <c r="B59" s="6" t="s">
        <v>131</v>
      </c>
      <c r="C59" s="6" t="s">
        <v>132</v>
      </c>
      <c r="D59" s="316" t="s">
        <v>133</v>
      </c>
    </row>
    <row r="60" spans="1:4" x14ac:dyDescent="0.3">
      <c r="A60" s="7" t="s">
        <v>130</v>
      </c>
      <c r="B60" s="7" t="s">
        <v>134</v>
      </c>
      <c r="C60" s="7" t="s">
        <v>135</v>
      </c>
      <c r="D60" s="317" t="s">
        <v>136</v>
      </c>
    </row>
    <row r="61" spans="1:4" x14ac:dyDescent="0.3">
      <c r="A61" s="6" t="s">
        <v>130</v>
      </c>
      <c r="B61" s="6" t="s">
        <v>137</v>
      </c>
      <c r="C61" s="6" t="s">
        <v>138</v>
      </c>
      <c r="D61" s="316" t="s">
        <v>139</v>
      </c>
    </row>
    <row r="62" spans="1:4" x14ac:dyDescent="0.3">
      <c r="A62" s="7" t="s">
        <v>130</v>
      </c>
      <c r="B62" s="7" t="s">
        <v>140</v>
      </c>
      <c r="C62" s="7" t="s">
        <v>141</v>
      </c>
      <c r="D62" s="317" t="s">
        <v>142</v>
      </c>
    </row>
  </sheetData>
  <mergeCells count="5">
    <mergeCell ref="A1:L1"/>
    <mergeCell ref="A2:L2"/>
    <mergeCell ref="A3:L3"/>
    <mergeCell ref="A22:D22"/>
    <mergeCell ref="A35:D35"/>
  </mergeCells>
  <hyperlinks>
    <hyperlink ref="D37" location="'H01_PARAMETROS_GENERALES'!A1" tooltip="Ir a H01_PARAMETROS_GENERALES" display="Esta hoja" xr:uid="{F6AC0FBE-4A4B-42E9-85A3-E31F62107321}"/>
    <hyperlink ref="D38" location="'H02_GLOSARIO_TECNICO'!A1" tooltip="Ir a H02_GLOSARIO_TECNICO" display="→ H02" xr:uid="{61A01A80-F298-45CE-AFA5-1C6C63541713}"/>
    <hyperlink ref="D39" location="'H03_CONTROL_VERSIONES'!A1" tooltip="Ir a H03_CONTROL_VERSIONES" display="→ H03" xr:uid="{04EBFBEC-919C-4D15-AD31-49F0ECDAA493}"/>
    <hyperlink ref="D40" location="'H04_TABLAS_PARAMETRICAS'!A1" tooltip="Ir a H04_TABLAS_PARAMETRICAS" display="→ H04" xr:uid="{D5E9DABD-0ACD-4337-90B6-362D5429A13A}"/>
    <hyperlink ref="D41" location="'H05_METAS_PDOT'!A1" tooltip="Ir a H05_METAS_PDOT" display="→ H05" xr:uid="{4CC9FEAC-AA99-4F7E-B861-BD849D08E23A}"/>
    <hyperlink ref="D42" location="'H06_VINCULACIONES_POA'!A1" tooltip="Ir a H06_VINCULACIONES_POA" display="→ H06" xr:uid="{92500FF1-7524-4D8B-8336-A87ABAD36BDC}"/>
    <hyperlink ref="D43" location="'H07_PROCESOS_SERCOP'!A1" tooltip="Ir a H07_PROCESOS_SERCOP" display="→ H07" xr:uid="{0F51F7C1-E7BA-4F05-821D-56A35EEA0920}"/>
    <hyperlink ref="D44" location="'H08_DOCUMENTOS_LOTAIP'!A1" tooltip="Ir a H08_DOCUMENTOS_LOTAIP" display="→ H08" xr:uid="{E773A9C7-5A33-49D2-8D6C-1CC1AF784EE6}"/>
    <hyperlink ref="D45" location="'H09_EJECUCION_PRESUPUESTARIA'!A1" tooltip="Ir a H09_EJECUCION_PRESUPUESTARIA" display="→ H09" xr:uid="{B8A2351B-9286-4B7A-889D-E777F4B7938E}"/>
    <hyperlink ref="D46" location="'H10_INFORMES_CPCCS'!A1" tooltip="Ir a H10_INFORMES_CPCCS" display="→ H10" xr:uid="{9C370985-F163-46FC-BD44-35A46422BB5A}"/>
    <hyperlink ref="D47" location="'H11_ALERTAS_MOM'!A1" tooltip="Ir a H11_ALERTAS_MOM" display="→ H11" xr:uid="{80386160-BFA2-4A68-9835-92F8E8203127}"/>
    <hyperlink ref="D48" location="'H12_ESTATUTO_ORGANICO'!A1" tooltip="Ir a H12_ESTATUTO_ORGANICO" display="→ H12" xr:uid="{72C61544-102A-4A10-A07E-DB363940D7B6}"/>
    <hyperlink ref="D49" location="'H13_MAO_ATRIBUCION_ORGANICA'!A1" tooltip="Ir a H13_MAO_ATRIBUCION_ORGANICA" display="→ H13" xr:uid="{D7438EDE-741C-46CE-88E2-DCE9B237FA45}"/>
    <hyperlink ref="D50" location="'H14_CALCULO_ICPI'!A1" tooltip="Ir a H14_CALCULO_ICPI" display="→ H14" xr:uid="{E03FD633-655C-4088-984C-8BCC30630DF8}"/>
    <hyperlink ref="D51" location="'H15_INDICES_COMPLEMENTARIOS'!A1" tooltip="Ir a H15_INDICES_COMPLEMENTARIOS" display="→ H15" xr:uid="{9AAE3B59-89ED-4EAF-929A-123FAF9CF8DA}"/>
    <hyperlink ref="D52" location="'H16_ITAM_TRANSPARENCIA'!A1" tooltip="Ir a H16_ITAM_TRANSPARENCIA" display="→ H16" xr:uid="{6009400D-3DC4-4B00-8B5A-4D02E5B83EBC}"/>
    <hyperlink ref="D53" location="'H17_SENSIBILIDAD_DELTA'!A1" tooltip="Ir a H17_SENSIBILIDAD_DELTA" display="→ H17" xr:uid="{FA848B84-DE68-4D37-A1C2-C971725B39CE}"/>
    <hyperlink ref="D54" location="'H18_IED_EFICIENCIA_DIRECTIVA'!A1" tooltip="Ir a H18_IED_EFICIENCIA_DIRECTIVA" display="→ H18" xr:uid="{FFDE342A-05D4-4DA4-A169-176AD5F85F3B}"/>
    <hyperlink ref="D55" location="'H19_EDS_EVALUACION_DIRECTIVA'!A1" tooltip="Ir a H19_EDS_EVALUACION_DIRECTIVA" display="→ H19" xr:uid="{3363EB93-5A8F-48EC-B221-0A1C977E4F7A}"/>
    <hyperlink ref="D56" location="'H20_CONTROL_MENSUAL'!A1" tooltip="Ir a H20_CONTROL_MENSUAL" display="→ H20" xr:uid="{0B30B256-DE8B-424F-87DE-3939313A0397}"/>
    <hyperlink ref="D57" location="'H21_EVALUACION_CUATRIMESTRAL'!A1" tooltip="Ir a H21_EVALUACION_CUATRIMESTRAL" display="→ H21" xr:uid="{86877ACE-0862-4079-B968-522F0A1764BE}"/>
    <hyperlink ref="D58" location="'H22_EVALUACION_ANUAL_FINAL'!A1" tooltip="Ir a H22_EVALUACION_ANUAL_FINAL" display="→ H22" xr:uid="{DD7E041B-C295-4E16-8259-2D34CEE7F328}"/>
    <hyperlink ref="D59" location="'H23_DASHBOARD_REPORTES'!A1" tooltip="Ir a H23_DASHBOARD_REPORTES" display="→ H23" xr:uid="{1CD8BC11-5B54-40B8-B293-A2A0ED1D1F06}"/>
    <hyperlink ref="D60" location="'H24_DASHBOARD_TAC'!A1" tooltip="Ir a H24_DASHBOARD_TAC" display="→ H24" xr:uid="{3C4E8E3A-4249-40F4-8A27-BE44C2628394}"/>
    <hyperlink ref="D61" location="'H25_RESUMEN_EJECUTIVO'!A1" tooltip="Ir a H25_RESUMEN_EJECUTIVO" display="→ H25" xr:uid="{9420D3DD-86CD-49FC-97D2-2712EA391596}"/>
    <hyperlink ref="D62" location="'H26_TRAZABILIDAD_LOG'!A1" tooltip="Ir a H26_TRAZABILIDAD_LOG" display="→ H26" xr:uid="{3BF3EAB3-9271-4040-86E6-D9A5728E39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5EFC-5790-4AEE-A219-884AED168886}">
  <dimension ref="A1:D37"/>
  <sheetViews>
    <sheetView workbookViewId="0">
      <pane ySplit="5" topLeftCell="A6" activePane="bottomLeft" state="frozen"/>
      <selection pane="bottomLeft" sqref="A1:D1"/>
    </sheetView>
  </sheetViews>
  <sheetFormatPr baseColWidth="10" defaultRowHeight="14.4" x14ac:dyDescent="0.3"/>
  <cols>
    <col min="1" max="1" width="25.88671875" customWidth="1"/>
    <col min="2" max="2" width="64.77734375" customWidth="1"/>
    <col min="3" max="3" width="46.33203125" customWidth="1"/>
    <col min="4" max="4" width="20.33203125" customWidth="1"/>
  </cols>
  <sheetData>
    <row r="1" spans="1:4" x14ac:dyDescent="0.3">
      <c r="A1" s="458" t="s">
        <v>2717</v>
      </c>
      <c r="B1" s="459"/>
      <c r="C1" s="459"/>
      <c r="D1" s="459"/>
    </row>
    <row r="2" spans="1:4" x14ac:dyDescent="0.3">
      <c r="A2" s="460" t="s">
        <v>143</v>
      </c>
      <c r="B2" s="455"/>
      <c r="C2" s="455"/>
      <c r="D2" s="455"/>
    </row>
    <row r="3" spans="1:4" x14ac:dyDescent="0.3">
      <c r="A3" s="3" t="s">
        <v>144</v>
      </c>
    </row>
    <row r="5" spans="1:4" x14ac:dyDescent="0.3">
      <c r="A5" s="5" t="s">
        <v>145</v>
      </c>
      <c r="B5" s="5" t="s">
        <v>146</v>
      </c>
      <c r="C5" s="5" t="s">
        <v>147</v>
      </c>
      <c r="D5" s="5" t="s">
        <v>148</v>
      </c>
    </row>
    <row r="6" spans="1:4" x14ac:dyDescent="0.3">
      <c r="A6" s="12" t="s">
        <v>149</v>
      </c>
      <c r="B6" s="6" t="s">
        <v>150</v>
      </c>
      <c r="C6" s="6" t="s">
        <v>151</v>
      </c>
      <c r="D6" s="6" t="s">
        <v>152</v>
      </c>
    </row>
    <row r="7" spans="1:4" x14ac:dyDescent="0.3">
      <c r="A7" s="13" t="s">
        <v>153</v>
      </c>
      <c r="B7" s="7" t="s">
        <v>154</v>
      </c>
      <c r="C7" s="7" t="s">
        <v>155</v>
      </c>
      <c r="D7" s="7" t="s">
        <v>156</v>
      </c>
    </row>
    <row r="8" spans="1:4" x14ac:dyDescent="0.3">
      <c r="A8" s="12" t="s">
        <v>157</v>
      </c>
      <c r="B8" s="6" t="s">
        <v>158</v>
      </c>
      <c r="C8" s="6" t="s">
        <v>159</v>
      </c>
      <c r="D8" s="6" t="s">
        <v>160</v>
      </c>
    </row>
    <row r="9" spans="1:4" x14ac:dyDescent="0.3">
      <c r="A9" s="13" t="s">
        <v>161</v>
      </c>
      <c r="B9" s="7" t="s">
        <v>162</v>
      </c>
      <c r="C9" s="7" t="s">
        <v>163</v>
      </c>
      <c r="D9" s="7" t="s">
        <v>164</v>
      </c>
    </row>
    <row r="10" spans="1:4" x14ac:dyDescent="0.3">
      <c r="A10" s="12" t="s">
        <v>165</v>
      </c>
      <c r="B10" s="6" t="s">
        <v>166</v>
      </c>
      <c r="C10" s="6" t="s">
        <v>167</v>
      </c>
      <c r="D10" s="6" t="s">
        <v>164</v>
      </c>
    </row>
    <row r="11" spans="1:4" x14ac:dyDescent="0.3">
      <c r="A11" s="13" t="s">
        <v>168</v>
      </c>
      <c r="B11" s="7" t="s">
        <v>169</v>
      </c>
      <c r="C11" s="7" t="s">
        <v>170</v>
      </c>
      <c r="D11" s="7" t="s">
        <v>171</v>
      </c>
    </row>
    <row r="12" spans="1:4" x14ac:dyDescent="0.3">
      <c r="A12" s="12" t="s">
        <v>172</v>
      </c>
      <c r="B12" s="6" t="s">
        <v>173</v>
      </c>
      <c r="C12" s="6" t="s">
        <v>174</v>
      </c>
      <c r="D12" s="6" t="s">
        <v>171</v>
      </c>
    </row>
    <row r="13" spans="1:4" x14ac:dyDescent="0.3">
      <c r="A13" s="13" t="s">
        <v>175</v>
      </c>
      <c r="B13" s="7" t="s">
        <v>176</v>
      </c>
      <c r="C13" s="7" t="s">
        <v>177</v>
      </c>
      <c r="D13" s="7" t="s">
        <v>171</v>
      </c>
    </row>
    <row r="14" spans="1:4" x14ac:dyDescent="0.3">
      <c r="A14" s="12" t="s">
        <v>178</v>
      </c>
      <c r="B14" s="6" t="s">
        <v>179</v>
      </c>
      <c r="C14" s="6" t="s">
        <v>180</v>
      </c>
      <c r="D14" s="6" t="s">
        <v>171</v>
      </c>
    </row>
    <row r="15" spans="1:4" x14ac:dyDescent="0.3">
      <c r="A15" s="13" t="s">
        <v>181</v>
      </c>
      <c r="B15" s="7" t="s">
        <v>182</v>
      </c>
      <c r="C15" s="7" t="s">
        <v>183</v>
      </c>
      <c r="D15" s="7" t="s">
        <v>171</v>
      </c>
    </row>
    <row r="16" spans="1:4" x14ac:dyDescent="0.3">
      <c r="A16" s="12" t="s">
        <v>184</v>
      </c>
      <c r="B16" s="6" t="s">
        <v>185</v>
      </c>
      <c r="C16" s="6" t="s">
        <v>186</v>
      </c>
      <c r="D16" s="6" t="s">
        <v>171</v>
      </c>
    </row>
    <row r="17" spans="1:4" x14ac:dyDescent="0.3">
      <c r="A17" s="13" t="s">
        <v>187</v>
      </c>
      <c r="B17" s="7" t="s">
        <v>188</v>
      </c>
      <c r="C17" s="7" t="s">
        <v>189</v>
      </c>
      <c r="D17" s="7" t="s">
        <v>156</v>
      </c>
    </row>
    <row r="18" spans="1:4" x14ac:dyDescent="0.3">
      <c r="A18" s="12" t="s">
        <v>190</v>
      </c>
      <c r="B18" s="6" t="s">
        <v>191</v>
      </c>
      <c r="C18" s="6" t="s">
        <v>192</v>
      </c>
      <c r="D18" s="6" t="s">
        <v>156</v>
      </c>
    </row>
    <row r="19" spans="1:4" x14ac:dyDescent="0.3">
      <c r="A19" s="13" t="s">
        <v>193</v>
      </c>
      <c r="B19" s="7" t="s">
        <v>194</v>
      </c>
      <c r="C19" s="7" t="s">
        <v>195</v>
      </c>
      <c r="D19" s="7" t="s">
        <v>156</v>
      </c>
    </row>
    <row r="20" spans="1:4" x14ac:dyDescent="0.3">
      <c r="A20" s="12" t="s">
        <v>196</v>
      </c>
      <c r="B20" s="234" t="s">
        <v>2282</v>
      </c>
      <c r="C20" s="6" t="s">
        <v>197</v>
      </c>
      <c r="D20" s="6" t="s">
        <v>198</v>
      </c>
    </row>
    <row r="21" spans="1:4" x14ac:dyDescent="0.3">
      <c r="A21" s="13" t="s">
        <v>199</v>
      </c>
      <c r="B21" s="7" t="s">
        <v>200</v>
      </c>
      <c r="C21" s="7" t="s">
        <v>201</v>
      </c>
      <c r="D21" s="7" t="s">
        <v>202</v>
      </c>
    </row>
    <row r="22" spans="1:4" x14ac:dyDescent="0.3">
      <c r="A22" s="12" t="s">
        <v>203</v>
      </c>
      <c r="B22" s="6" t="s">
        <v>204</v>
      </c>
      <c r="C22" s="6" t="s">
        <v>205</v>
      </c>
      <c r="D22" s="6" t="s">
        <v>202</v>
      </c>
    </row>
    <row r="23" spans="1:4" x14ac:dyDescent="0.3">
      <c r="A23" s="13" t="s">
        <v>206</v>
      </c>
      <c r="B23" s="7" t="s">
        <v>207</v>
      </c>
      <c r="C23" s="7" t="s">
        <v>208</v>
      </c>
      <c r="D23" s="7" t="s">
        <v>202</v>
      </c>
    </row>
    <row r="24" spans="1:4" x14ac:dyDescent="0.3">
      <c r="A24" s="12" t="s">
        <v>209</v>
      </c>
      <c r="B24" s="6" t="s">
        <v>210</v>
      </c>
      <c r="C24" s="6" t="s">
        <v>211</v>
      </c>
      <c r="D24" s="6" t="s">
        <v>212</v>
      </c>
    </row>
    <row r="25" spans="1:4" x14ac:dyDescent="0.3">
      <c r="A25" s="13" t="s">
        <v>213</v>
      </c>
      <c r="B25" s="7" t="s">
        <v>214</v>
      </c>
      <c r="C25" s="7" t="s">
        <v>215</v>
      </c>
      <c r="D25" s="7" t="s">
        <v>216</v>
      </c>
    </row>
    <row r="26" spans="1:4" x14ac:dyDescent="0.3">
      <c r="A26" s="12" t="s">
        <v>217</v>
      </c>
      <c r="B26" s="6" t="s">
        <v>218</v>
      </c>
      <c r="C26" s="6" t="s">
        <v>219</v>
      </c>
      <c r="D26" s="6" t="s">
        <v>220</v>
      </c>
    </row>
    <row r="27" spans="1:4" x14ac:dyDescent="0.3">
      <c r="A27" s="13" t="s">
        <v>221</v>
      </c>
      <c r="B27" s="7" t="s">
        <v>222</v>
      </c>
      <c r="C27" s="7" t="s">
        <v>223</v>
      </c>
      <c r="D27" s="7" t="s">
        <v>220</v>
      </c>
    </row>
    <row r="28" spans="1:4" x14ac:dyDescent="0.3">
      <c r="A28" s="12" t="s">
        <v>224</v>
      </c>
      <c r="B28" s="6" t="s">
        <v>225</v>
      </c>
      <c r="C28" s="6" t="s">
        <v>226</v>
      </c>
      <c r="D28" s="6" t="s">
        <v>227</v>
      </c>
    </row>
    <row r="29" spans="1:4" x14ac:dyDescent="0.3">
      <c r="A29" s="13" t="s">
        <v>228</v>
      </c>
      <c r="B29" s="7" t="s">
        <v>229</v>
      </c>
      <c r="C29" s="7" t="s">
        <v>230</v>
      </c>
      <c r="D29" s="7" t="s">
        <v>231</v>
      </c>
    </row>
    <row r="30" spans="1:4" x14ac:dyDescent="0.3">
      <c r="A30" s="12" t="s">
        <v>232</v>
      </c>
      <c r="B30" s="6" t="s">
        <v>233</v>
      </c>
      <c r="C30" s="6" t="s">
        <v>234</v>
      </c>
      <c r="D30" s="6" t="s">
        <v>202</v>
      </c>
    </row>
    <row r="31" spans="1:4" x14ac:dyDescent="0.3">
      <c r="A31" s="13" t="s">
        <v>235</v>
      </c>
      <c r="B31" s="7" t="s">
        <v>236</v>
      </c>
      <c r="C31" s="7" t="s">
        <v>237</v>
      </c>
      <c r="D31" s="7" t="s">
        <v>238</v>
      </c>
    </row>
    <row r="32" spans="1:4" x14ac:dyDescent="0.3">
      <c r="A32" s="12" t="s">
        <v>239</v>
      </c>
      <c r="B32" s="6" t="s">
        <v>240</v>
      </c>
      <c r="C32" s="6" t="s">
        <v>241</v>
      </c>
      <c r="D32" s="6" t="s">
        <v>171</v>
      </c>
    </row>
    <row r="33" spans="1:4" x14ac:dyDescent="0.3">
      <c r="A33" s="13" t="s">
        <v>242</v>
      </c>
      <c r="B33" s="7" t="s">
        <v>243</v>
      </c>
      <c r="C33" s="7" t="s">
        <v>244</v>
      </c>
      <c r="D33" s="7" t="s">
        <v>245</v>
      </c>
    </row>
    <row r="34" spans="1:4" x14ac:dyDescent="0.3">
      <c r="A34" s="12" t="s">
        <v>246</v>
      </c>
      <c r="B34" s="6" t="s">
        <v>247</v>
      </c>
      <c r="C34" s="6" t="s">
        <v>248</v>
      </c>
      <c r="D34" s="6" t="s">
        <v>249</v>
      </c>
    </row>
    <row r="35" spans="1:4" x14ac:dyDescent="0.3">
      <c r="A35" s="13" t="s">
        <v>250</v>
      </c>
      <c r="B35" s="7" t="s">
        <v>251</v>
      </c>
      <c r="C35" s="7" t="s">
        <v>252</v>
      </c>
      <c r="D35" s="7" t="s">
        <v>253</v>
      </c>
    </row>
    <row r="36" spans="1:4" x14ac:dyDescent="0.3">
      <c r="A36" s="235" t="s">
        <v>2283</v>
      </c>
      <c r="B36" s="234" t="s">
        <v>2284</v>
      </c>
      <c r="C36" s="234" t="s">
        <v>2285</v>
      </c>
      <c r="D36" s="234" t="s">
        <v>2286</v>
      </c>
    </row>
    <row r="37" spans="1:4" x14ac:dyDescent="0.3">
      <c r="A37" s="236" t="s">
        <v>2287</v>
      </c>
      <c r="B37" s="237" t="s">
        <v>2288</v>
      </c>
      <c r="C37" s="237" t="s">
        <v>2289</v>
      </c>
      <c r="D37" s="237" t="s">
        <v>2290</v>
      </c>
    </row>
  </sheetData>
  <mergeCells count="2">
    <mergeCell ref="A1:D1"/>
    <mergeCell ref="A2:D2"/>
  </mergeCells>
  <hyperlinks>
    <hyperlink ref="A1" location="'H01_PARAMETROS_GENERALES'!A1" tooltip="Volver a H01_PARAMETROS_GENERALES" display="🔙 Volver al Índice" xr:uid="{2FC86C64-DDCA-4CCC-94E4-2E3279AFD0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D7A1-6D7C-416B-B38C-DB4E85F9A5C5}">
  <dimension ref="A1:E11"/>
  <sheetViews>
    <sheetView zoomScale="95" zoomScaleNormal="95" workbookViewId="0">
      <pane ySplit="5" topLeftCell="A6" activePane="bottomLeft" state="frozen"/>
      <selection pane="bottomLeft" sqref="A1:E1"/>
    </sheetView>
  </sheetViews>
  <sheetFormatPr baseColWidth="10" defaultRowHeight="14.4" x14ac:dyDescent="0.3"/>
  <cols>
    <col min="1" max="1" width="33.33203125" customWidth="1"/>
    <col min="2" max="2" width="18.5546875" customWidth="1"/>
    <col min="3" max="3" width="64.77734375" customWidth="1"/>
    <col min="4" max="4" width="29.6640625" customWidth="1"/>
    <col min="5" max="5" width="18.5546875" customWidth="1"/>
  </cols>
  <sheetData>
    <row r="1" spans="1:5" x14ac:dyDescent="0.3">
      <c r="A1" s="458" t="s">
        <v>2717</v>
      </c>
      <c r="B1" s="459"/>
      <c r="C1" s="459"/>
      <c r="D1" s="459"/>
      <c r="E1" s="459"/>
    </row>
    <row r="2" spans="1:5" x14ac:dyDescent="0.3">
      <c r="A2" s="460" t="s">
        <v>254</v>
      </c>
      <c r="B2" s="455"/>
      <c r="C2" s="455"/>
      <c r="D2" s="455"/>
      <c r="E2" s="455"/>
    </row>
    <row r="3" spans="1:5" x14ac:dyDescent="0.3">
      <c r="A3" s="3" t="s">
        <v>144</v>
      </c>
    </row>
    <row r="5" spans="1:5" x14ac:dyDescent="0.3">
      <c r="A5" s="5" t="s">
        <v>255</v>
      </c>
      <c r="B5" s="5" t="s">
        <v>256</v>
      </c>
      <c r="C5" s="5" t="s">
        <v>257</v>
      </c>
      <c r="D5" s="5" t="s">
        <v>28</v>
      </c>
      <c r="E5" s="5" t="s">
        <v>43</v>
      </c>
    </row>
    <row r="6" spans="1:5" x14ac:dyDescent="0.3">
      <c r="A6" s="6" t="s">
        <v>258</v>
      </c>
      <c r="B6" s="6" t="s">
        <v>259</v>
      </c>
      <c r="C6" s="6" t="s">
        <v>260</v>
      </c>
      <c r="D6" s="6" t="s">
        <v>261</v>
      </c>
      <c r="E6" s="6" t="s">
        <v>262</v>
      </c>
    </row>
    <row r="7" spans="1:5" x14ac:dyDescent="0.3">
      <c r="A7" s="7" t="s">
        <v>263</v>
      </c>
      <c r="B7" s="7" t="s">
        <v>264</v>
      </c>
      <c r="C7" s="7" t="s">
        <v>265</v>
      </c>
      <c r="D7" s="7" t="s">
        <v>261</v>
      </c>
      <c r="E7" s="7" t="s">
        <v>262</v>
      </c>
    </row>
    <row r="8" spans="1:5" x14ac:dyDescent="0.3">
      <c r="A8" s="6" t="s">
        <v>266</v>
      </c>
      <c r="B8" s="8">
        <f ca="1">TODAY()</f>
        <v>46110</v>
      </c>
      <c r="C8" s="6" t="s">
        <v>2726</v>
      </c>
      <c r="D8" s="6" t="s">
        <v>261</v>
      </c>
      <c r="E8" s="18" t="s">
        <v>267</v>
      </c>
    </row>
    <row r="10" spans="1:5" x14ac:dyDescent="0.3">
      <c r="A10" s="19" t="s">
        <v>268</v>
      </c>
    </row>
    <row r="11" spans="1:5" ht="60" customHeight="1" x14ac:dyDescent="0.3">
      <c r="A11" s="461" t="s">
        <v>269</v>
      </c>
      <c r="B11" s="462"/>
      <c r="C11" s="462"/>
      <c r="D11" s="462"/>
      <c r="E11" s="462"/>
    </row>
  </sheetData>
  <mergeCells count="3">
    <mergeCell ref="A1:E1"/>
    <mergeCell ref="A2:E2"/>
    <mergeCell ref="A11:E11"/>
  </mergeCells>
  <hyperlinks>
    <hyperlink ref="A1" location="'H01_PARAMETROS_GENERALES'!A1" tooltip="Volver a H01_PARAMETROS_GENERALES" display="🔙 Volver al Índice" xr:uid="{DD6636AF-8D7C-4D5D-8EF3-F8B7B4BC8B7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2013-312D-449E-B5AC-6156800772D2}">
  <dimension ref="A1:K42"/>
  <sheetViews>
    <sheetView workbookViewId="0">
      <pane ySplit="5" topLeftCell="A6" activePane="bottomLeft" state="frozen"/>
      <selection pane="bottomLeft" sqref="A1:K1"/>
    </sheetView>
  </sheetViews>
  <sheetFormatPr baseColWidth="10" defaultRowHeight="14.4" x14ac:dyDescent="0.3"/>
  <cols>
    <col min="1" max="1" width="14.77734375" customWidth="1"/>
    <col min="2" max="2" width="29.6640625" customWidth="1"/>
    <col min="3" max="3" width="33.33203125" customWidth="1"/>
    <col min="4" max="4" width="3.6640625" customWidth="1"/>
    <col min="5" max="5" width="14.77734375" customWidth="1"/>
    <col min="6" max="6" width="29.6640625" customWidth="1"/>
    <col min="7" max="7" width="18.5546875" customWidth="1"/>
    <col min="8" max="8" width="42.5546875" customWidth="1"/>
  </cols>
  <sheetData>
    <row r="1" spans="1:11" x14ac:dyDescent="0.3">
      <c r="A1" s="458" t="s">
        <v>2717</v>
      </c>
      <c r="B1" s="459"/>
      <c r="C1" s="459"/>
      <c r="D1" s="459"/>
      <c r="E1" s="459"/>
      <c r="F1" s="459"/>
      <c r="G1" s="459"/>
      <c r="H1" s="459"/>
      <c r="I1" s="459"/>
      <c r="J1" s="459"/>
      <c r="K1" s="459"/>
    </row>
    <row r="2" spans="1:11" x14ac:dyDescent="0.3">
      <c r="A2" s="460" t="s">
        <v>270</v>
      </c>
      <c r="B2" s="455"/>
      <c r="C2" s="455"/>
      <c r="D2" s="455"/>
      <c r="E2" s="455"/>
      <c r="F2" s="455"/>
      <c r="G2" s="455"/>
      <c r="H2" s="455"/>
      <c r="I2" s="455"/>
      <c r="J2" s="455"/>
      <c r="K2" s="455"/>
    </row>
    <row r="3" spans="1:11" x14ac:dyDescent="0.3">
      <c r="A3" s="3" t="s">
        <v>144</v>
      </c>
    </row>
    <row r="5" spans="1:11" x14ac:dyDescent="0.3">
      <c r="A5" s="457" t="s">
        <v>271</v>
      </c>
      <c r="B5" s="453"/>
      <c r="C5" s="453"/>
      <c r="E5" s="457" t="s">
        <v>290</v>
      </c>
      <c r="F5" s="453"/>
      <c r="G5" s="453"/>
      <c r="H5" s="453"/>
    </row>
    <row r="6" spans="1:11" x14ac:dyDescent="0.3">
      <c r="A6" s="14" t="s">
        <v>272</v>
      </c>
      <c r="B6" s="14" t="s">
        <v>273</v>
      </c>
      <c r="C6" s="14" t="s">
        <v>274</v>
      </c>
      <c r="E6" s="14" t="s">
        <v>291</v>
      </c>
      <c r="F6" s="14" t="s">
        <v>292</v>
      </c>
      <c r="G6" s="14" t="s">
        <v>175</v>
      </c>
      <c r="H6" s="14" t="s">
        <v>293</v>
      </c>
    </row>
    <row r="7" spans="1:11" x14ac:dyDescent="0.3">
      <c r="A7" s="6" t="s">
        <v>275</v>
      </c>
      <c r="B7" s="6" t="s">
        <v>276</v>
      </c>
      <c r="C7" s="6" t="s">
        <v>277</v>
      </c>
      <c r="E7" s="6" t="s">
        <v>294</v>
      </c>
      <c r="F7" s="6" t="s">
        <v>295</v>
      </c>
      <c r="G7" s="6">
        <v>1.5</v>
      </c>
      <c r="H7" s="6" t="s">
        <v>296</v>
      </c>
    </row>
    <row r="8" spans="1:11" x14ac:dyDescent="0.3">
      <c r="A8" s="7" t="s">
        <v>278</v>
      </c>
      <c r="B8" s="7" t="s">
        <v>279</v>
      </c>
      <c r="C8" s="7" t="s">
        <v>280</v>
      </c>
      <c r="E8" s="7" t="s">
        <v>297</v>
      </c>
      <c r="F8" s="7" t="s">
        <v>298</v>
      </c>
      <c r="G8" s="7">
        <v>1.5</v>
      </c>
      <c r="H8" s="7" t="s">
        <v>296</v>
      </c>
    </row>
    <row r="9" spans="1:11" x14ac:dyDescent="0.3">
      <c r="A9" s="6" t="s">
        <v>281</v>
      </c>
      <c r="B9" s="6" t="s">
        <v>282</v>
      </c>
      <c r="C9" s="6" t="s">
        <v>283</v>
      </c>
      <c r="E9" s="6" t="s">
        <v>299</v>
      </c>
      <c r="F9" s="6" t="s">
        <v>300</v>
      </c>
      <c r="G9" s="6">
        <v>1.5</v>
      </c>
      <c r="H9" s="6" t="s">
        <v>296</v>
      </c>
    </row>
    <row r="10" spans="1:11" x14ac:dyDescent="0.3">
      <c r="A10" s="7" t="s">
        <v>284</v>
      </c>
      <c r="B10" s="7" t="s">
        <v>285</v>
      </c>
      <c r="C10" s="7" t="s">
        <v>286</v>
      </c>
      <c r="E10" s="7" t="s">
        <v>301</v>
      </c>
      <c r="F10" s="7" t="s">
        <v>302</v>
      </c>
      <c r="G10" s="7">
        <v>1.5</v>
      </c>
      <c r="H10" s="7" t="s">
        <v>296</v>
      </c>
    </row>
    <row r="11" spans="1:11" x14ac:dyDescent="0.3">
      <c r="A11" s="6" t="s">
        <v>287</v>
      </c>
      <c r="B11" s="6" t="s">
        <v>288</v>
      </c>
      <c r="C11" s="6" t="s">
        <v>289</v>
      </c>
      <c r="E11" s="6" t="s">
        <v>303</v>
      </c>
      <c r="F11" s="6" t="s">
        <v>304</v>
      </c>
      <c r="G11" s="6">
        <v>1</v>
      </c>
      <c r="H11" s="6" t="s">
        <v>305</v>
      </c>
    </row>
    <row r="12" spans="1:11" x14ac:dyDescent="0.3">
      <c r="E12" s="7" t="s">
        <v>306</v>
      </c>
      <c r="F12" s="7" t="s">
        <v>307</v>
      </c>
      <c r="G12" s="7">
        <v>1</v>
      </c>
      <c r="H12" s="7" t="s">
        <v>308</v>
      </c>
    </row>
    <row r="13" spans="1:11" x14ac:dyDescent="0.3">
      <c r="E13" s="6" t="s">
        <v>309</v>
      </c>
      <c r="F13" s="6" t="s">
        <v>310</v>
      </c>
      <c r="G13" s="6">
        <v>1</v>
      </c>
      <c r="H13" s="6" t="s">
        <v>311</v>
      </c>
    </row>
    <row r="14" spans="1:11" x14ac:dyDescent="0.3">
      <c r="E14" s="7" t="s">
        <v>312</v>
      </c>
      <c r="F14" s="7" t="s">
        <v>313</v>
      </c>
      <c r="G14" s="7">
        <v>1</v>
      </c>
      <c r="H14" s="7" t="s">
        <v>314</v>
      </c>
    </row>
    <row r="15" spans="1:11" x14ac:dyDescent="0.3">
      <c r="E15" s="6" t="s">
        <v>315</v>
      </c>
      <c r="F15" s="6" t="s">
        <v>316</v>
      </c>
      <c r="G15" s="6">
        <v>0.5</v>
      </c>
      <c r="H15" s="6" t="s">
        <v>317</v>
      </c>
    </row>
    <row r="16" spans="1:11" x14ac:dyDescent="0.3">
      <c r="E16" s="7" t="s">
        <v>318</v>
      </c>
      <c r="F16" s="7" t="s">
        <v>319</v>
      </c>
      <c r="G16" s="7">
        <v>0.5</v>
      </c>
      <c r="H16" s="7" t="s">
        <v>317</v>
      </c>
    </row>
    <row r="17" spans="1:8" x14ac:dyDescent="0.3">
      <c r="E17" s="6" t="s">
        <v>320</v>
      </c>
      <c r="F17" s="6" t="s">
        <v>321</v>
      </c>
      <c r="G17" s="6">
        <v>0.5</v>
      </c>
      <c r="H17" s="6" t="s">
        <v>322</v>
      </c>
    </row>
    <row r="18" spans="1:8" x14ac:dyDescent="0.3">
      <c r="E18" s="7" t="s">
        <v>323</v>
      </c>
      <c r="F18" s="7" t="s">
        <v>324</v>
      </c>
      <c r="G18" s="7">
        <v>0.5</v>
      </c>
      <c r="H18" s="7" t="s">
        <v>325</v>
      </c>
    </row>
    <row r="21" spans="1:8" x14ac:dyDescent="0.3">
      <c r="A21" s="457" t="s">
        <v>326</v>
      </c>
      <c r="B21" s="453"/>
      <c r="C21" s="453"/>
      <c r="E21" s="457" t="s">
        <v>340</v>
      </c>
      <c r="F21" s="453"/>
      <c r="G21" s="453"/>
      <c r="H21" s="453"/>
    </row>
    <row r="22" spans="1:8" x14ac:dyDescent="0.3">
      <c r="A22" s="14" t="s">
        <v>291</v>
      </c>
      <c r="B22" s="14" t="s">
        <v>43</v>
      </c>
      <c r="C22" s="14" t="s">
        <v>327</v>
      </c>
      <c r="E22" s="14" t="s">
        <v>291</v>
      </c>
      <c r="F22" s="14" t="s">
        <v>341</v>
      </c>
      <c r="G22" s="14" t="s">
        <v>181</v>
      </c>
      <c r="H22" s="14" t="s">
        <v>274</v>
      </c>
    </row>
    <row r="23" spans="1:8" x14ac:dyDescent="0.3">
      <c r="A23" s="6" t="s">
        <v>328</v>
      </c>
      <c r="B23" s="6" t="s">
        <v>329</v>
      </c>
      <c r="C23" s="17">
        <v>1</v>
      </c>
      <c r="E23" s="6" t="s">
        <v>342</v>
      </c>
      <c r="F23" s="6" t="s">
        <v>343</v>
      </c>
      <c r="G23" s="6">
        <v>1</v>
      </c>
      <c r="H23" s="6" t="s">
        <v>344</v>
      </c>
    </row>
    <row r="24" spans="1:8" x14ac:dyDescent="0.3">
      <c r="A24" s="7" t="s">
        <v>330</v>
      </c>
      <c r="B24" s="7" t="s">
        <v>331</v>
      </c>
      <c r="C24" s="17">
        <v>1</v>
      </c>
      <c r="E24" s="7" t="s">
        <v>345</v>
      </c>
      <c r="F24" s="7" t="s">
        <v>346</v>
      </c>
      <c r="G24" s="7">
        <v>0.9</v>
      </c>
      <c r="H24" s="7" t="s">
        <v>347</v>
      </c>
    </row>
    <row r="25" spans="1:8" x14ac:dyDescent="0.3">
      <c r="A25" s="6" t="s">
        <v>332</v>
      </c>
      <c r="B25" s="6" t="s">
        <v>333</v>
      </c>
      <c r="C25" s="17">
        <v>1</v>
      </c>
      <c r="E25" s="6" t="s">
        <v>348</v>
      </c>
      <c r="F25" s="6" t="s">
        <v>349</v>
      </c>
      <c r="G25" s="6">
        <v>0.75</v>
      </c>
      <c r="H25" s="6" t="s">
        <v>350</v>
      </c>
    </row>
    <row r="26" spans="1:8" x14ac:dyDescent="0.3">
      <c r="A26" s="7" t="s">
        <v>334</v>
      </c>
      <c r="B26" s="7" t="s">
        <v>335</v>
      </c>
      <c r="C26" s="21">
        <v>0</v>
      </c>
    </row>
    <row r="27" spans="1:8" x14ac:dyDescent="0.3">
      <c r="A27" s="6" t="s">
        <v>336</v>
      </c>
      <c r="B27" s="6" t="s">
        <v>337</v>
      </c>
      <c r="C27" s="21">
        <v>0</v>
      </c>
    </row>
    <row r="28" spans="1:8" x14ac:dyDescent="0.3">
      <c r="A28" s="7" t="s">
        <v>338</v>
      </c>
      <c r="B28" s="7" t="s">
        <v>339</v>
      </c>
      <c r="C28" s="21">
        <v>0</v>
      </c>
    </row>
    <row r="31" spans="1:8" x14ac:dyDescent="0.3">
      <c r="A31" s="457" t="s">
        <v>351</v>
      </c>
      <c r="B31" s="453"/>
      <c r="C31" s="453"/>
      <c r="E31" s="457" t="s">
        <v>358</v>
      </c>
      <c r="F31" s="453"/>
      <c r="G31" s="453"/>
      <c r="H31" s="453"/>
    </row>
    <row r="32" spans="1:8" x14ac:dyDescent="0.3">
      <c r="A32" s="14" t="s">
        <v>291</v>
      </c>
      <c r="B32" s="14" t="s">
        <v>352</v>
      </c>
      <c r="C32" s="14" t="s">
        <v>184</v>
      </c>
      <c r="E32" s="14" t="s">
        <v>291</v>
      </c>
      <c r="F32" s="14" t="s">
        <v>359</v>
      </c>
      <c r="G32" s="14" t="s">
        <v>360</v>
      </c>
      <c r="H32" s="14" t="s">
        <v>274</v>
      </c>
    </row>
    <row r="33" spans="1:8" x14ac:dyDescent="0.3">
      <c r="A33" s="6" t="s">
        <v>353</v>
      </c>
      <c r="B33" s="6" t="s">
        <v>354</v>
      </c>
      <c r="C33" s="6">
        <v>1</v>
      </c>
      <c r="E33" s="6" t="s">
        <v>250</v>
      </c>
      <c r="F33" s="6" t="s">
        <v>361</v>
      </c>
      <c r="G33" s="6" t="s">
        <v>362</v>
      </c>
      <c r="H33" s="6" t="s">
        <v>363</v>
      </c>
    </row>
    <row r="34" spans="1:8" x14ac:dyDescent="0.3">
      <c r="A34" s="7" t="s">
        <v>355</v>
      </c>
      <c r="B34" s="7" t="s">
        <v>346</v>
      </c>
      <c r="C34" s="7">
        <v>0.9</v>
      </c>
      <c r="E34" s="7" t="s">
        <v>364</v>
      </c>
      <c r="F34" s="7" t="s">
        <v>365</v>
      </c>
      <c r="G34" s="7" t="s">
        <v>366</v>
      </c>
      <c r="H34" s="7" t="s">
        <v>367</v>
      </c>
    </row>
    <row r="35" spans="1:8" x14ac:dyDescent="0.3">
      <c r="A35" s="6" t="s">
        <v>356</v>
      </c>
      <c r="B35" s="6" t="s">
        <v>357</v>
      </c>
      <c r="C35" s="6">
        <v>0.75</v>
      </c>
      <c r="E35" s="6" t="s">
        <v>368</v>
      </c>
      <c r="F35" s="6" t="s">
        <v>369</v>
      </c>
      <c r="G35" s="6" t="s">
        <v>370</v>
      </c>
      <c r="H35" s="6" t="s">
        <v>371</v>
      </c>
    </row>
    <row r="38" spans="1:8" x14ac:dyDescent="0.3">
      <c r="A38" s="457" t="s">
        <v>372</v>
      </c>
      <c r="B38" s="453"/>
      <c r="C38" s="453"/>
    </row>
    <row r="39" spans="1:8" x14ac:dyDescent="0.3">
      <c r="A39" s="14" t="s">
        <v>291</v>
      </c>
      <c r="B39" s="14" t="s">
        <v>373</v>
      </c>
      <c r="C39" s="14" t="s">
        <v>274</v>
      </c>
    </row>
    <row r="40" spans="1:8" x14ac:dyDescent="0.3">
      <c r="A40" s="6" t="s">
        <v>374</v>
      </c>
      <c r="B40" s="6" t="s">
        <v>375</v>
      </c>
      <c r="C40" s="6" t="s">
        <v>376</v>
      </c>
    </row>
    <row r="41" spans="1:8" x14ac:dyDescent="0.3">
      <c r="A41" s="7" t="s">
        <v>377</v>
      </c>
      <c r="B41" s="7" t="s">
        <v>378</v>
      </c>
      <c r="C41" s="7" t="s">
        <v>379</v>
      </c>
    </row>
    <row r="42" spans="1:8" x14ac:dyDescent="0.3">
      <c r="A42" s="6" t="s">
        <v>380</v>
      </c>
      <c r="B42" s="6" t="s">
        <v>381</v>
      </c>
      <c r="C42" s="6" t="s">
        <v>382</v>
      </c>
    </row>
  </sheetData>
  <mergeCells count="9">
    <mergeCell ref="A31:C31"/>
    <mergeCell ref="E31:H31"/>
    <mergeCell ref="A38:C38"/>
    <mergeCell ref="A1:K1"/>
    <mergeCell ref="A2:K2"/>
    <mergeCell ref="A5:C5"/>
    <mergeCell ref="E5:H5"/>
    <mergeCell ref="A21:C21"/>
    <mergeCell ref="E21:H21"/>
  </mergeCells>
  <hyperlinks>
    <hyperlink ref="A1" location="'H01_PARAMETROS_GENERALES'!A1" tooltip="Volver a H01_PARAMETROS_GENERALES" display="🔙 Volver al Índice" xr:uid="{F2F4BF1E-C4BD-4E3F-A9E3-991832FB1D5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AC71-A9A9-436B-8E6D-E580CC07D73B}">
  <dimension ref="A1:N62"/>
  <sheetViews>
    <sheetView workbookViewId="0">
      <pane ySplit="1" topLeftCell="A2" activePane="bottomLeft" state="frozen"/>
      <selection pane="bottomLeft" sqref="A1:N1"/>
    </sheetView>
  </sheetViews>
  <sheetFormatPr baseColWidth="10" defaultRowHeight="14.4" x14ac:dyDescent="0.3"/>
  <cols>
    <col min="1" max="1" width="33.77734375" bestFit="1" customWidth="1"/>
    <col min="3" max="3" width="56" bestFit="1" customWidth="1"/>
    <col min="14" max="14" width="61.109375" bestFit="1" customWidth="1"/>
  </cols>
  <sheetData>
    <row r="1" spans="1:14" x14ac:dyDescent="0.3">
      <c r="A1" s="466" t="s">
        <v>2717</v>
      </c>
      <c r="B1" s="466"/>
      <c r="C1" s="466"/>
      <c r="D1" s="466"/>
      <c r="E1" s="466"/>
      <c r="F1" s="466"/>
      <c r="G1" s="466"/>
      <c r="H1" s="466"/>
      <c r="I1" s="466"/>
      <c r="J1" s="466"/>
      <c r="K1" s="466"/>
      <c r="L1" s="466"/>
      <c r="M1" s="466"/>
      <c r="N1" s="466"/>
    </row>
    <row r="2" spans="1:14" x14ac:dyDescent="0.3">
      <c r="A2" s="464" t="s">
        <v>2313</v>
      </c>
      <c r="B2" s="464"/>
      <c r="C2" s="464"/>
      <c r="D2" s="464"/>
      <c r="E2" s="464"/>
      <c r="F2" s="464"/>
      <c r="G2" s="464"/>
      <c r="H2" s="464"/>
      <c r="I2" s="464"/>
      <c r="J2" s="464"/>
      <c r="K2" s="464"/>
      <c r="L2" s="464"/>
      <c r="M2" s="464"/>
      <c r="N2" s="464"/>
    </row>
    <row r="3" spans="1:14" x14ac:dyDescent="0.3">
      <c r="A3" s="465" t="s">
        <v>2314</v>
      </c>
      <c r="B3" s="465"/>
      <c r="C3" s="465"/>
      <c r="D3" s="465"/>
      <c r="E3" s="465"/>
      <c r="F3" s="465"/>
      <c r="G3" s="465"/>
      <c r="H3" s="465"/>
      <c r="I3" s="465"/>
      <c r="J3" s="465"/>
      <c r="K3" s="465"/>
      <c r="L3" s="465"/>
      <c r="M3" s="465"/>
      <c r="N3" s="465"/>
    </row>
    <row r="5" spans="1:14" ht="15.6" x14ac:dyDescent="0.3">
      <c r="A5" s="467" t="s">
        <v>2315</v>
      </c>
      <c r="B5" s="467"/>
      <c r="C5" s="467"/>
      <c r="D5" s="467"/>
      <c r="E5" s="467"/>
      <c r="F5" s="467"/>
      <c r="G5" s="467"/>
      <c r="H5" s="467"/>
      <c r="I5" s="467"/>
      <c r="J5" s="467"/>
      <c r="K5" s="467"/>
      <c r="L5" s="467"/>
      <c r="M5" s="467"/>
      <c r="N5" s="467"/>
    </row>
    <row r="6" spans="1:14" x14ac:dyDescent="0.3">
      <c r="A6" s="229" t="s">
        <v>4</v>
      </c>
      <c r="B6" s="229" t="s">
        <v>5</v>
      </c>
    </row>
    <row r="7" spans="1:14" x14ac:dyDescent="0.3">
      <c r="A7" s="235" t="s">
        <v>2316</v>
      </c>
      <c r="B7" s="234" t="s">
        <v>2317</v>
      </c>
    </row>
    <row r="8" spans="1:14" x14ac:dyDescent="0.3">
      <c r="A8" s="236" t="s">
        <v>2318</v>
      </c>
      <c r="B8" s="237" t="s">
        <v>2319</v>
      </c>
    </row>
    <row r="9" spans="1:14" x14ac:dyDescent="0.3">
      <c r="A9" s="235" t="s">
        <v>2320</v>
      </c>
      <c r="B9" s="234" t="s">
        <v>2321</v>
      </c>
    </row>
    <row r="10" spans="1:14" x14ac:dyDescent="0.3">
      <c r="A10" s="236" t="s">
        <v>2322</v>
      </c>
      <c r="B10" s="237" t="s">
        <v>2323</v>
      </c>
    </row>
    <row r="11" spans="1:14" x14ac:dyDescent="0.3">
      <c r="A11" s="235" t="s">
        <v>2324</v>
      </c>
      <c r="B11" s="234" t="s">
        <v>19</v>
      </c>
    </row>
    <row r="12" spans="1:14" x14ac:dyDescent="0.3">
      <c r="A12" s="236" t="s">
        <v>2325</v>
      </c>
      <c r="B12" s="237" t="s">
        <v>2326</v>
      </c>
    </row>
    <row r="13" spans="1:14" x14ac:dyDescent="0.3">
      <c r="A13" s="235" t="s">
        <v>2327</v>
      </c>
      <c r="B13" s="234" t="s">
        <v>2328</v>
      </c>
    </row>
    <row r="14" spans="1:14" x14ac:dyDescent="0.3">
      <c r="A14" s="236" t="s">
        <v>2329</v>
      </c>
      <c r="B14" s="321">
        <v>20</v>
      </c>
    </row>
    <row r="15" spans="1:14" x14ac:dyDescent="0.3">
      <c r="A15" s="235" t="s">
        <v>2330</v>
      </c>
      <c r="B15" s="234" t="s">
        <v>2331</v>
      </c>
    </row>
    <row r="16" spans="1:14" x14ac:dyDescent="0.3">
      <c r="A16" s="236" t="s">
        <v>2332</v>
      </c>
      <c r="B16" s="237" t="s">
        <v>2333</v>
      </c>
    </row>
    <row r="18" spans="1:14" ht="15.6" x14ac:dyDescent="0.3">
      <c r="A18" s="467" t="s">
        <v>2334</v>
      </c>
      <c r="B18" s="467"/>
      <c r="C18" s="467"/>
      <c r="D18" s="467"/>
      <c r="E18" s="467"/>
      <c r="F18" s="467"/>
      <c r="G18" s="467"/>
      <c r="H18" s="467"/>
      <c r="I18" s="467"/>
      <c r="J18" s="467"/>
      <c r="K18" s="467"/>
      <c r="L18" s="467"/>
      <c r="M18" s="467"/>
      <c r="N18" s="467"/>
    </row>
    <row r="19" spans="1:14" x14ac:dyDescent="0.3">
      <c r="A19" s="468" t="s">
        <v>2335</v>
      </c>
      <c r="B19" s="468"/>
      <c r="C19" s="468"/>
      <c r="D19" s="468"/>
      <c r="E19" s="468"/>
      <c r="F19" s="468"/>
      <c r="G19" s="468"/>
      <c r="H19" s="468"/>
      <c r="I19" s="468"/>
      <c r="J19" s="468"/>
      <c r="K19" s="468"/>
      <c r="L19" s="468"/>
      <c r="M19" s="468"/>
      <c r="N19" s="468"/>
    </row>
    <row r="20" spans="1:14" x14ac:dyDescent="0.3">
      <c r="A20" s="229" t="s">
        <v>2336</v>
      </c>
      <c r="B20" s="229" t="s">
        <v>2337</v>
      </c>
      <c r="C20" s="229" t="s">
        <v>2338</v>
      </c>
      <c r="D20" s="229" t="s">
        <v>2339</v>
      </c>
      <c r="E20" s="229" t="s">
        <v>2340</v>
      </c>
      <c r="F20" s="229" t="s">
        <v>373</v>
      </c>
      <c r="G20" s="229" t="s">
        <v>2341</v>
      </c>
      <c r="H20" s="229" t="s">
        <v>2342</v>
      </c>
      <c r="I20" s="229" t="s">
        <v>2343</v>
      </c>
      <c r="J20" s="229" t="s">
        <v>2344</v>
      </c>
      <c r="K20" s="229" t="s">
        <v>1188</v>
      </c>
      <c r="L20" s="229" t="s">
        <v>2345</v>
      </c>
      <c r="M20" s="229" t="s">
        <v>2346</v>
      </c>
      <c r="N20" s="229" t="s">
        <v>2347</v>
      </c>
    </row>
    <row r="21" spans="1:14" x14ac:dyDescent="0.3">
      <c r="A21" s="270" t="s">
        <v>2348</v>
      </c>
    </row>
    <row r="22" spans="1:14" x14ac:dyDescent="0.3">
      <c r="A22" t="s">
        <v>2349</v>
      </c>
      <c r="B22" t="s">
        <v>2350</v>
      </c>
      <c r="C22" t="s">
        <v>2351</v>
      </c>
      <c r="D22" t="s">
        <v>2352</v>
      </c>
      <c r="E22" t="s">
        <v>2353</v>
      </c>
      <c r="F22" t="s">
        <v>2354</v>
      </c>
      <c r="G22">
        <v>2023</v>
      </c>
      <c r="H22">
        <v>2024</v>
      </c>
      <c r="I22">
        <v>2025</v>
      </c>
      <c r="J22">
        <v>2026</v>
      </c>
      <c r="K22" t="s">
        <v>470</v>
      </c>
      <c r="L22" t="s">
        <v>519</v>
      </c>
      <c r="M22" s="70">
        <v>1</v>
      </c>
      <c r="N22" t="s">
        <v>2355</v>
      </c>
    </row>
    <row r="23" spans="1:14" x14ac:dyDescent="0.3">
      <c r="A23" t="s">
        <v>2356</v>
      </c>
      <c r="B23" t="s">
        <v>2350</v>
      </c>
      <c r="C23" t="s">
        <v>2357</v>
      </c>
      <c r="D23" t="s">
        <v>2358</v>
      </c>
      <c r="E23" t="s">
        <v>1865</v>
      </c>
      <c r="F23" t="s">
        <v>2359</v>
      </c>
      <c r="G23">
        <v>2023</v>
      </c>
      <c r="H23">
        <v>2024</v>
      </c>
      <c r="I23">
        <v>2025</v>
      </c>
      <c r="J23">
        <v>2026</v>
      </c>
      <c r="K23" t="s">
        <v>496</v>
      </c>
      <c r="L23" t="s">
        <v>519</v>
      </c>
      <c r="M23" s="70">
        <v>1</v>
      </c>
      <c r="N23" t="s">
        <v>2360</v>
      </c>
    </row>
    <row r="24" spans="1:14" x14ac:dyDescent="0.3">
      <c r="A24" t="s">
        <v>2361</v>
      </c>
      <c r="B24" t="s">
        <v>2350</v>
      </c>
      <c r="C24" t="s">
        <v>2362</v>
      </c>
      <c r="D24" t="s">
        <v>2363</v>
      </c>
      <c r="E24" t="s">
        <v>2364</v>
      </c>
      <c r="F24" t="s">
        <v>2365</v>
      </c>
      <c r="G24">
        <v>2023</v>
      </c>
      <c r="H24">
        <v>2024</v>
      </c>
      <c r="I24">
        <v>2025</v>
      </c>
      <c r="J24">
        <v>2026</v>
      </c>
      <c r="K24" t="s">
        <v>470</v>
      </c>
      <c r="L24" t="s">
        <v>519</v>
      </c>
      <c r="M24" s="70">
        <v>1</v>
      </c>
      <c r="N24" t="s">
        <v>2366</v>
      </c>
    </row>
    <row r="25" spans="1:14" x14ac:dyDescent="0.3">
      <c r="A25" t="s">
        <v>2367</v>
      </c>
      <c r="B25" t="s">
        <v>2350</v>
      </c>
      <c r="C25" t="s">
        <v>2368</v>
      </c>
      <c r="D25" t="s">
        <v>2369</v>
      </c>
      <c r="E25" t="s">
        <v>321</v>
      </c>
      <c r="F25" t="s">
        <v>2370</v>
      </c>
      <c r="G25">
        <v>2023</v>
      </c>
      <c r="H25">
        <v>2024</v>
      </c>
      <c r="I25">
        <v>2025</v>
      </c>
      <c r="J25">
        <v>2026</v>
      </c>
      <c r="K25" t="s">
        <v>457</v>
      </c>
      <c r="L25" t="s">
        <v>519</v>
      </c>
      <c r="M25" s="70">
        <v>1</v>
      </c>
      <c r="N25" t="s">
        <v>2371</v>
      </c>
    </row>
    <row r="26" spans="1:14" x14ac:dyDescent="0.3">
      <c r="A26" t="s">
        <v>2372</v>
      </c>
      <c r="B26" t="s">
        <v>2350</v>
      </c>
      <c r="C26" t="s">
        <v>2373</v>
      </c>
      <c r="D26" t="s">
        <v>2374</v>
      </c>
      <c r="E26" t="s">
        <v>285</v>
      </c>
      <c r="F26" t="s">
        <v>2375</v>
      </c>
      <c r="G26">
        <v>2023</v>
      </c>
      <c r="H26">
        <v>2024</v>
      </c>
      <c r="I26">
        <v>2025</v>
      </c>
      <c r="J26">
        <v>2026</v>
      </c>
      <c r="K26" t="s">
        <v>424</v>
      </c>
      <c r="L26" t="s">
        <v>519</v>
      </c>
      <c r="M26" s="70">
        <v>1</v>
      </c>
      <c r="N26" t="s">
        <v>2376</v>
      </c>
    </row>
    <row r="27" spans="1:14" x14ac:dyDescent="0.3">
      <c r="A27" s="270" t="s">
        <v>2377</v>
      </c>
    </row>
    <row r="28" spans="1:14" x14ac:dyDescent="0.3">
      <c r="A28" t="s">
        <v>2378</v>
      </c>
      <c r="B28" t="s">
        <v>253</v>
      </c>
      <c r="C28" t="s">
        <v>2379</v>
      </c>
      <c r="D28" t="s">
        <v>2380</v>
      </c>
      <c r="E28" t="s">
        <v>1865</v>
      </c>
      <c r="F28" t="s">
        <v>2381</v>
      </c>
      <c r="G28">
        <v>2023</v>
      </c>
      <c r="H28">
        <v>2024</v>
      </c>
      <c r="I28">
        <v>2025</v>
      </c>
      <c r="J28">
        <v>2026</v>
      </c>
      <c r="K28" t="s">
        <v>478</v>
      </c>
      <c r="L28" t="s">
        <v>519</v>
      </c>
      <c r="M28" s="70">
        <v>1</v>
      </c>
      <c r="N28" t="s">
        <v>2382</v>
      </c>
    </row>
    <row r="29" spans="1:14" x14ac:dyDescent="0.3">
      <c r="A29" t="s">
        <v>2383</v>
      </c>
      <c r="B29" t="s">
        <v>253</v>
      </c>
      <c r="C29" t="s">
        <v>2384</v>
      </c>
      <c r="D29" t="s">
        <v>2385</v>
      </c>
      <c r="E29" t="s">
        <v>1865</v>
      </c>
      <c r="F29" t="s">
        <v>381</v>
      </c>
      <c r="G29">
        <v>2023</v>
      </c>
      <c r="H29">
        <v>2024</v>
      </c>
      <c r="I29">
        <v>2025</v>
      </c>
      <c r="J29">
        <v>2026</v>
      </c>
      <c r="K29" t="s">
        <v>478</v>
      </c>
      <c r="L29" t="s">
        <v>519</v>
      </c>
      <c r="M29" s="70">
        <v>1</v>
      </c>
      <c r="N29" t="s">
        <v>2386</v>
      </c>
    </row>
    <row r="30" spans="1:14" x14ac:dyDescent="0.3">
      <c r="A30" t="s">
        <v>2387</v>
      </c>
      <c r="B30" t="s">
        <v>253</v>
      </c>
      <c r="C30" t="s">
        <v>2388</v>
      </c>
      <c r="D30" t="s">
        <v>2389</v>
      </c>
      <c r="E30" t="s">
        <v>285</v>
      </c>
      <c r="F30" t="s">
        <v>2390</v>
      </c>
      <c r="G30">
        <v>2023</v>
      </c>
      <c r="H30">
        <v>2024</v>
      </c>
      <c r="I30">
        <v>2025</v>
      </c>
      <c r="J30">
        <v>2026</v>
      </c>
      <c r="K30" t="s">
        <v>474</v>
      </c>
      <c r="L30" t="s">
        <v>519</v>
      </c>
      <c r="M30" s="70">
        <v>1</v>
      </c>
      <c r="N30" t="s">
        <v>2391</v>
      </c>
    </row>
    <row r="31" spans="1:14" x14ac:dyDescent="0.3">
      <c r="A31" t="s">
        <v>2392</v>
      </c>
      <c r="B31" t="s">
        <v>253</v>
      </c>
      <c r="C31" t="s">
        <v>2393</v>
      </c>
      <c r="D31" t="s">
        <v>2394</v>
      </c>
      <c r="E31" t="s">
        <v>1865</v>
      </c>
      <c r="F31" t="s">
        <v>2381</v>
      </c>
      <c r="G31">
        <v>2023</v>
      </c>
      <c r="H31">
        <v>2024</v>
      </c>
      <c r="I31">
        <v>2025</v>
      </c>
      <c r="J31">
        <v>2026</v>
      </c>
      <c r="K31" t="s">
        <v>496</v>
      </c>
      <c r="L31" t="s">
        <v>519</v>
      </c>
      <c r="M31" s="70">
        <v>1</v>
      </c>
      <c r="N31" t="s">
        <v>2395</v>
      </c>
    </row>
    <row r="32" spans="1:14" x14ac:dyDescent="0.3">
      <c r="A32" s="270" t="s">
        <v>2396</v>
      </c>
    </row>
    <row r="33" spans="1:14" x14ac:dyDescent="0.3">
      <c r="A33" t="s">
        <v>2397</v>
      </c>
      <c r="B33" t="s">
        <v>1890</v>
      </c>
      <c r="C33" t="s">
        <v>2398</v>
      </c>
      <c r="D33" t="s">
        <v>2399</v>
      </c>
      <c r="E33" t="s">
        <v>2400</v>
      </c>
      <c r="F33" t="s">
        <v>2401</v>
      </c>
      <c r="G33">
        <v>2023</v>
      </c>
      <c r="H33">
        <v>2024</v>
      </c>
      <c r="I33">
        <v>2025</v>
      </c>
      <c r="J33">
        <v>2026</v>
      </c>
      <c r="K33" t="s">
        <v>436</v>
      </c>
      <c r="L33" t="s">
        <v>519</v>
      </c>
      <c r="M33" s="70">
        <v>1</v>
      </c>
      <c r="N33" t="s">
        <v>2402</v>
      </c>
    </row>
    <row r="34" spans="1:14" x14ac:dyDescent="0.3">
      <c r="A34" t="s">
        <v>2403</v>
      </c>
      <c r="B34" t="s">
        <v>1890</v>
      </c>
      <c r="C34" t="s">
        <v>2404</v>
      </c>
      <c r="D34" t="s">
        <v>2405</v>
      </c>
      <c r="E34" t="s">
        <v>2400</v>
      </c>
      <c r="F34" t="s">
        <v>2406</v>
      </c>
      <c r="G34">
        <v>2023</v>
      </c>
      <c r="H34">
        <v>2024</v>
      </c>
      <c r="I34">
        <v>2025</v>
      </c>
      <c r="J34">
        <v>2026</v>
      </c>
      <c r="K34" t="s">
        <v>430</v>
      </c>
      <c r="L34" t="s">
        <v>519</v>
      </c>
      <c r="M34" s="70">
        <v>1</v>
      </c>
      <c r="N34" t="s">
        <v>2407</v>
      </c>
    </row>
    <row r="35" spans="1:14" x14ac:dyDescent="0.3">
      <c r="A35" t="s">
        <v>2408</v>
      </c>
      <c r="B35" t="s">
        <v>1890</v>
      </c>
      <c r="C35" t="s">
        <v>2409</v>
      </c>
      <c r="D35" t="s">
        <v>2410</v>
      </c>
      <c r="E35" t="s">
        <v>319</v>
      </c>
      <c r="F35" t="s">
        <v>2411</v>
      </c>
      <c r="G35">
        <v>2023</v>
      </c>
      <c r="H35">
        <v>2024</v>
      </c>
      <c r="I35">
        <v>2025</v>
      </c>
      <c r="J35">
        <v>2026</v>
      </c>
      <c r="K35" t="s">
        <v>451</v>
      </c>
      <c r="L35" t="s">
        <v>519</v>
      </c>
      <c r="M35" s="70">
        <v>1</v>
      </c>
      <c r="N35" t="s">
        <v>2412</v>
      </c>
    </row>
    <row r="36" spans="1:14" x14ac:dyDescent="0.3">
      <c r="A36" t="s">
        <v>2413</v>
      </c>
      <c r="B36" t="s">
        <v>1890</v>
      </c>
      <c r="C36" t="s">
        <v>998</v>
      </c>
      <c r="D36" t="s">
        <v>1210</v>
      </c>
      <c r="E36" t="s">
        <v>2400</v>
      </c>
      <c r="F36" t="s">
        <v>2414</v>
      </c>
      <c r="G36">
        <v>2023</v>
      </c>
      <c r="H36">
        <v>2024</v>
      </c>
      <c r="I36">
        <v>2025</v>
      </c>
      <c r="J36">
        <v>2026</v>
      </c>
      <c r="K36" t="s">
        <v>441</v>
      </c>
      <c r="L36" t="s">
        <v>519</v>
      </c>
      <c r="M36" s="70">
        <v>1</v>
      </c>
      <c r="N36" t="s">
        <v>2415</v>
      </c>
    </row>
    <row r="37" spans="1:14" x14ac:dyDescent="0.3">
      <c r="A37" t="s">
        <v>2416</v>
      </c>
      <c r="B37" t="s">
        <v>1890</v>
      </c>
      <c r="C37" t="s">
        <v>2417</v>
      </c>
      <c r="D37" t="s">
        <v>2418</v>
      </c>
      <c r="E37" t="s">
        <v>2419</v>
      </c>
      <c r="F37" t="s">
        <v>2420</v>
      </c>
      <c r="G37">
        <v>2023</v>
      </c>
      <c r="H37">
        <v>2024</v>
      </c>
      <c r="I37">
        <v>2025</v>
      </c>
      <c r="J37">
        <v>2026</v>
      </c>
      <c r="K37" t="s">
        <v>491</v>
      </c>
      <c r="L37" t="s">
        <v>519</v>
      </c>
      <c r="M37" s="70">
        <v>1</v>
      </c>
      <c r="N37" t="s">
        <v>2421</v>
      </c>
    </row>
    <row r="38" spans="1:14" x14ac:dyDescent="0.3">
      <c r="A38" s="270" t="s">
        <v>2422</v>
      </c>
    </row>
    <row r="39" spans="1:14" x14ac:dyDescent="0.3">
      <c r="A39" t="s">
        <v>2423</v>
      </c>
      <c r="B39" t="s">
        <v>1893</v>
      </c>
      <c r="C39" t="s">
        <v>988</v>
      </c>
      <c r="D39" t="s">
        <v>2424</v>
      </c>
      <c r="E39" t="s">
        <v>295</v>
      </c>
      <c r="F39" t="s">
        <v>2425</v>
      </c>
      <c r="G39">
        <v>2023</v>
      </c>
      <c r="H39">
        <v>2024</v>
      </c>
      <c r="I39">
        <v>2025</v>
      </c>
      <c r="J39">
        <v>2026</v>
      </c>
      <c r="K39" t="s">
        <v>401</v>
      </c>
      <c r="L39" t="s">
        <v>519</v>
      </c>
      <c r="M39" s="70">
        <v>1</v>
      </c>
      <c r="N39" t="s">
        <v>2426</v>
      </c>
    </row>
    <row r="40" spans="1:14" x14ac:dyDescent="0.3">
      <c r="A40" t="s">
        <v>2427</v>
      </c>
      <c r="B40" t="s">
        <v>1893</v>
      </c>
      <c r="C40" t="s">
        <v>2428</v>
      </c>
      <c r="D40" t="s">
        <v>2429</v>
      </c>
      <c r="E40" t="s">
        <v>298</v>
      </c>
      <c r="F40" t="s">
        <v>2425</v>
      </c>
      <c r="G40">
        <v>2023</v>
      </c>
      <c r="H40">
        <v>2024</v>
      </c>
      <c r="I40">
        <v>2025</v>
      </c>
      <c r="J40">
        <v>2026</v>
      </c>
      <c r="K40" t="s">
        <v>408</v>
      </c>
      <c r="L40" t="s">
        <v>519</v>
      </c>
      <c r="M40" s="70">
        <v>1</v>
      </c>
      <c r="N40" t="s">
        <v>2430</v>
      </c>
    </row>
    <row r="41" spans="1:14" x14ac:dyDescent="0.3">
      <c r="A41" t="s">
        <v>2431</v>
      </c>
      <c r="B41" t="s">
        <v>1893</v>
      </c>
      <c r="C41" t="s">
        <v>2432</v>
      </c>
      <c r="D41" t="s">
        <v>2433</v>
      </c>
      <c r="E41" t="s">
        <v>302</v>
      </c>
      <c r="F41" t="s">
        <v>2434</v>
      </c>
      <c r="G41">
        <v>2023</v>
      </c>
      <c r="H41">
        <v>2024</v>
      </c>
      <c r="I41">
        <v>2025</v>
      </c>
      <c r="J41">
        <v>2026</v>
      </c>
      <c r="K41" t="s">
        <v>482</v>
      </c>
      <c r="L41" t="s">
        <v>519</v>
      </c>
      <c r="M41" s="70">
        <v>1</v>
      </c>
      <c r="N41" t="s">
        <v>2435</v>
      </c>
    </row>
    <row r="42" spans="1:14" x14ac:dyDescent="0.3">
      <c r="A42" s="270" t="s">
        <v>2436</v>
      </c>
    </row>
    <row r="43" spans="1:14" x14ac:dyDescent="0.3">
      <c r="A43" t="s">
        <v>2437</v>
      </c>
      <c r="B43" t="s">
        <v>2438</v>
      </c>
      <c r="C43" t="s">
        <v>2439</v>
      </c>
      <c r="D43" t="s">
        <v>2440</v>
      </c>
      <c r="E43" t="s">
        <v>304</v>
      </c>
      <c r="F43" t="s">
        <v>2441</v>
      </c>
      <c r="G43">
        <v>2023</v>
      </c>
      <c r="H43">
        <v>2024</v>
      </c>
      <c r="I43">
        <v>2025</v>
      </c>
      <c r="J43">
        <v>2026</v>
      </c>
      <c r="K43" t="s">
        <v>418</v>
      </c>
      <c r="L43" t="s">
        <v>519</v>
      </c>
      <c r="M43" s="70">
        <v>1</v>
      </c>
      <c r="N43" t="s">
        <v>2442</v>
      </c>
    </row>
    <row r="44" spans="1:14" x14ac:dyDescent="0.3">
      <c r="A44" t="s">
        <v>2443</v>
      </c>
      <c r="B44" t="s">
        <v>2438</v>
      </c>
      <c r="C44" t="s">
        <v>2444</v>
      </c>
      <c r="D44" t="s">
        <v>2445</v>
      </c>
      <c r="E44" t="s">
        <v>1009</v>
      </c>
      <c r="F44" t="s">
        <v>2446</v>
      </c>
      <c r="G44">
        <v>2023</v>
      </c>
      <c r="H44">
        <v>2024</v>
      </c>
      <c r="I44">
        <v>2025</v>
      </c>
      <c r="J44">
        <v>2026</v>
      </c>
      <c r="K44" t="s">
        <v>488</v>
      </c>
      <c r="L44" t="s">
        <v>519</v>
      </c>
      <c r="M44" s="70">
        <v>1</v>
      </c>
      <c r="N44" t="s">
        <v>2447</v>
      </c>
    </row>
    <row r="45" spans="1:14" x14ac:dyDescent="0.3">
      <c r="A45" t="s">
        <v>2448</v>
      </c>
      <c r="B45" t="s">
        <v>2438</v>
      </c>
      <c r="C45" t="s">
        <v>2449</v>
      </c>
      <c r="D45" t="s">
        <v>2450</v>
      </c>
      <c r="E45" t="s">
        <v>298</v>
      </c>
      <c r="F45" t="s">
        <v>2451</v>
      </c>
      <c r="G45">
        <v>2023</v>
      </c>
      <c r="H45">
        <v>2024</v>
      </c>
      <c r="I45">
        <v>2025</v>
      </c>
      <c r="J45">
        <v>2026</v>
      </c>
      <c r="K45" t="s">
        <v>447</v>
      </c>
      <c r="L45" t="s">
        <v>1213</v>
      </c>
      <c r="M45" s="20">
        <v>0.5</v>
      </c>
      <c r="N45" t="s">
        <v>2452</v>
      </c>
    </row>
    <row r="47" spans="1:14" ht="15.6" x14ac:dyDescent="0.3">
      <c r="A47" s="467" t="s">
        <v>2453</v>
      </c>
      <c r="B47" s="467"/>
      <c r="C47" s="467"/>
      <c r="D47" s="467"/>
      <c r="E47" s="467"/>
      <c r="F47" s="467"/>
      <c r="G47" s="467"/>
      <c r="H47" s="467"/>
      <c r="I47" s="467"/>
      <c r="J47" s="467"/>
      <c r="K47" s="467"/>
      <c r="L47" s="467"/>
      <c r="M47" s="467"/>
      <c r="N47" s="467"/>
    </row>
    <row r="48" spans="1:14" x14ac:dyDescent="0.3">
      <c r="A48" s="468" t="s">
        <v>2454</v>
      </c>
      <c r="B48" s="468"/>
      <c r="C48" s="468"/>
      <c r="D48" s="468"/>
      <c r="E48" s="468"/>
      <c r="F48" s="468"/>
      <c r="G48" s="468"/>
      <c r="H48" s="468"/>
      <c r="I48" s="468"/>
      <c r="J48" s="468"/>
      <c r="K48" s="468"/>
      <c r="L48" s="468"/>
      <c r="M48" s="468"/>
      <c r="N48" s="468"/>
    </row>
    <row r="49" spans="1:14" x14ac:dyDescent="0.3">
      <c r="A49" s="229" t="s">
        <v>4</v>
      </c>
      <c r="B49" s="229" t="s">
        <v>5</v>
      </c>
      <c r="C49" s="229" t="s">
        <v>2455</v>
      </c>
    </row>
    <row r="50" spans="1:14" x14ac:dyDescent="0.3">
      <c r="A50" s="235" t="s">
        <v>2456</v>
      </c>
      <c r="B50" s="271">
        <f>SUM(M22:M26,M28:M31,M33:M37,M39:M41,M43:M45)</f>
        <v>19.5</v>
      </c>
      <c r="C50" s="272" t="s">
        <v>2622</v>
      </c>
    </row>
    <row r="51" spans="1:14" x14ac:dyDescent="0.3">
      <c r="A51" s="236" t="s">
        <v>2457</v>
      </c>
      <c r="B51" s="237">
        <v>20</v>
      </c>
      <c r="C51" s="273" t="s">
        <v>2458</v>
      </c>
    </row>
    <row r="52" spans="1:14" ht="18" x14ac:dyDescent="0.35">
      <c r="A52" s="269" t="s">
        <v>2459</v>
      </c>
      <c r="B52" s="274">
        <f>B50/B51*100</f>
        <v>97.5</v>
      </c>
      <c r="C52" s="467" t="str">
        <f>IF(B52&gt;=85,"✅ Alta Fidelidad Electoral",IF(B52&gt;=60,"⚠️ Fidelidad Moderada",IF(B52&gt;=40,"🔶 Erosión Programática","🔴 Ruptura con el Mandato")))</f>
        <v>✅ Alta Fidelidad Electoral</v>
      </c>
      <c r="D52" s="467"/>
      <c r="E52" s="467"/>
      <c r="F52" s="467"/>
      <c r="G52" s="467"/>
      <c r="H52" s="467"/>
      <c r="I52" s="467"/>
      <c r="J52" s="467"/>
      <c r="K52" s="467"/>
      <c r="L52" s="467"/>
      <c r="M52" s="467"/>
      <c r="N52" s="467"/>
    </row>
    <row r="53" spans="1:14" x14ac:dyDescent="0.3">
      <c r="A53" s="275" t="s">
        <v>2460</v>
      </c>
      <c r="B53" s="275" t="s">
        <v>2461</v>
      </c>
      <c r="C53" s="275" t="s">
        <v>1250</v>
      </c>
    </row>
    <row r="54" spans="1:14" x14ac:dyDescent="0.3">
      <c r="A54" s="235" t="s">
        <v>2462</v>
      </c>
      <c r="B54" s="271">
        <f>AVERAGE(M22:M26)*100</f>
        <v>100</v>
      </c>
      <c r="C54" s="276" t="s">
        <v>2463</v>
      </c>
    </row>
    <row r="55" spans="1:14" x14ac:dyDescent="0.3">
      <c r="A55" s="236" t="s">
        <v>2464</v>
      </c>
      <c r="B55" s="277">
        <f>AVERAGE(M28:M31)*100</f>
        <v>100</v>
      </c>
      <c r="C55" s="278" t="s">
        <v>2465</v>
      </c>
    </row>
    <row r="56" spans="1:14" x14ac:dyDescent="0.3">
      <c r="A56" s="235" t="s">
        <v>2466</v>
      </c>
      <c r="B56" s="271">
        <f>AVERAGE(M33:M37)*100</f>
        <v>100</v>
      </c>
      <c r="C56" s="276" t="s">
        <v>2467</v>
      </c>
    </row>
    <row r="57" spans="1:14" x14ac:dyDescent="0.3">
      <c r="A57" s="236" t="s">
        <v>2468</v>
      </c>
      <c r="B57" s="277">
        <f>AVERAGE(M39:M41)*100</f>
        <v>100</v>
      </c>
      <c r="C57" s="278" t="s">
        <v>2469</v>
      </c>
    </row>
    <row r="58" spans="1:14" x14ac:dyDescent="0.3">
      <c r="A58" s="235" t="s">
        <v>2470</v>
      </c>
      <c r="B58" s="271">
        <f>AVERAGE(M43:M45)*100</f>
        <v>83.333333333333343</v>
      </c>
      <c r="C58" s="276" t="s">
        <v>2471</v>
      </c>
    </row>
    <row r="60" spans="1:14" x14ac:dyDescent="0.3">
      <c r="A60" s="227" t="s">
        <v>2472</v>
      </c>
      <c r="B60" s="469" t="str">
        <f>"El candidato Toro Largacha plasmó en el PDOT el "&amp;TEXT(B52,"0.0")&amp;"% de sus promesas electorales. El circuito democrático planificación → promesa está sustancialmente cerrado. La brecha ICM-ICPI ("&amp;TEXT(H01_PARAMETROS_GENERALES!B12*100-H14_CALCULO_ICPI!B32,"0.0")&amp;"pp) no se debe a infidelidad al mandato sino a déficits de trazabilidad documental en la ejecución."</f>
        <v>El candidato Toro Largacha plasmó en el PDOT el 98% de sus promesas electorales. El circuito democrático planificación → promesa está sustancialmente cerrado. La brecha ICM-ICPI (59pp) no se debe a infidelidad al mandato sino a déficits de trazabilidad documental en la ejecución.</v>
      </c>
      <c r="C60" s="469"/>
      <c r="D60" s="469"/>
      <c r="E60" s="469"/>
      <c r="F60" s="469"/>
      <c r="G60" s="469"/>
      <c r="H60" s="469"/>
      <c r="I60" s="469"/>
      <c r="J60" s="469"/>
      <c r="K60" s="469"/>
      <c r="L60" s="469"/>
      <c r="M60" s="469"/>
      <c r="N60" s="469"/>
    </row>
    <row r="61" spans="1:14" x14ac:dyDescent="0.3">
      <c r="A61" s="227" t="s">
        <v>2473</v>
      </c>
      <c r="B61" s="469" t="s">
        <v>2474</v>
      </c>
      <c r="C61" s="469"/>
      <c r="D61" s="469"/>
      <c r="E61" s="469"/>
      <c r="F61" s="469"/>
      <c r="G61" s="469"/>
      <c r="H61" s="469"/>
      <c r="I61" s="469"/>
      <c r="J61" s="469"/>
      <c r="K61" s="469"/>
      <c r="L61" s="469"/>
      <c r="M61" s="469"/>
      <c r="N61" s="469"/>
    </row>
    <row r="62" spans="1:14" x14ac:dyDescent="0.3">
      <c r="A62" s="242" t="s">
        <v>2475</v>
      </c>
      <c r="B62" s="463" t="s">
        <v>2476</v>
      </c>
      <c r="C62" s="463"/>
      <c r="D62" s="463"/>
      <c r="E62" s="463"/>
      <c r="F62" s="463"/>
      <c r="G62" s="463"/>
      <c r="H62" s="463"/>
      <c r="I62" s="463"/>
      <c r="J62" s="463"/>
      <c r="K62" s="463"/>
      <c r="L62" s="463"/>
      <c r="M62" s="463"/>
      <c r="N62" s="463"/>
    </row>
  </sheetData>
  <mergeCells count="12">
    <mergeCell ref="B62:N62"/>
    <mergeCell ref="A2:N2"/>
    <mergeCell ref="A3:N3"/>
    <mergeCell ref="A1:N1"/>
    <mergeCell ref="A5:N5"/>
    <mergeCell ref="A18:N18"/>
    <mergeCell ref="A19:N19"/>
    <mergeCell ref="A47:N47"/>
    <mergeCell ref="A48:N48"/>
    <mergeCell ref="C52:N52"/>
    <mergeCell ref="B60:N60"/>
    <mergeCell ref="B61:N61"/>
  </mergeCells>
  <hyperlinks>
    <hyperlink ref="A1" location="'H01_PARAMETROS_GENERALES'!A1" tooltip="Volver a H01_PARAMETROS_GENERALES" display="🔙 Volver al Índice" xr:uid="{D626CFF9-47F6-4E16-B463-1E25D108DA6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C332-0FEF-4EEC-9324-F973F950E9E3}">
  <dimension ref="A1:R27"/>
  <sheetViews>
    <sheetView tabSelected="1" workbookViewId="0">
      <pane ySplit="6" topLeftCell="A19" activePane="bottomLeft" state="frozen"/>
      <selection pane="bottomLeft" sqref="A1:R1"/>
    </sheetView>
  </sheetViews>
  <sheetFormatPr baseColWidth="10" defaultRowHeight="14.4" x14ac:dyDescent="0.3"/>
  <cols>
    <col min="1" max="1" width="14.77734375" customWidth="1"/>
    <col min="2" max="2" width="48.109375" customWidth="1"/>
    <col min="3" max="3" width="8.33203125" customWidth="1"/>
    <col min="4" max="4" width="10.21875" customWidth="1"/>
    <col min="5" max="5" width="7.44140625" customWidth="1"/>
    <col min="6" max="7" width="18.5546875" customWidth="1"/>
    <col min="8" max="8" width="12" customWidth="1"/>
    <col min="9" max="9" width="30.88671875" customWidth="1"/>
    <col min="10" max="10" width="13" customWidth="1"/>
    <col min="11" max="11" width="14.77734375" customWidth="1"/>
    <col min="12" max="12" width="11.109375" customWidth="1"/>
    <col min="13" max="13" width="27.77734375" customWidth="1"/>
    <col min="14" max="14" width="25.88671875" customWidth="1"/>
    <col min="15" max="15" width="18.5546875" customWidth="1"/>
    <col min="16" max="16" width="9.21875" customWidth="1"/>
    <col min="17" max="17" width="13" customWidth="1"/>
    <col min="18" max="18" width="40.77734375" customWidth="1"/>
  </cols>
  <sheetData>
    <row r="1" spans="1:18" x14ac:dyDescent="0.3">
      <c r="A1" s="458" t="s">
        <v>2717</v>
      </c>
      <c r="B1" s="459"/>
      <c r="C1" s="459"/>
      <c r="D1" s="459"/>
      <c r="E1" s="459"/>
      <c r="F1" s="459"/>
      <c r="G1" s="459"/>
      <c r="H1" s="459"/>
      <c r="I1" s="459"/>
      <c r="J1" s="459"/>
      <c r="K1" s="459"/>
      <c r="L1" s="459"/>
      <c r="M1" s="459"/>
      <c r="N1" s="459"/>
      <c r="O1" s="459"/>
      <c r="P1" s="459"/>
      <c r="Q1" s="459"/>
      <c r="R1" s="459"/>
    </row>
    <row r="2" spans="1:18" x14ac:dyDescent="0.3">
      <c r="A2" s="460" t="s">
        <v>383</v>
      </c>
      <c r="B2" s="455"/>
      <c r="C2" s="455"/>
      <c r="D2" s="455"/>
      <c r="E2" s="455"/>
      <c r="F2" s="455"/>
      <c r="G2" s="455"/>
      <c r="H2" s="455"/>
      <c r="I2" s="455"/>
      <c r="J2" s="455"/>
      <c r="K2" s="455"/>
      <c r="L2" s="455"/>
      <c r="M2" s="455"/>
      <c r="N2" s="455"/>
      <c r="O2" s="455"/>
      <c r="P2" s="455"/>
      <c r="Q2" s="455"/>
      <c r="R2" s="455"/>
    </row>
    <row r="3" spans="1:18" x14ac:dyDescent="0.3">
      <c r="A3" s="470" t="s">
        <v>384</v>
      </c>
      <c r="B3" s="471"/>
      <c r="C3" s="471"/>
      <c r="D3" s="471"/>
      <c r="E3" s="471"/>
      <c r="F3" s="471"/>
      <c r="G3" s="471"/>
      <c r="H3" s="471"/>
      <c r="I3" s="471"/>
      <c r="J3" s="471"/>
      <c r="K3" s="471"/>
      <c r="L3" s="471"/>
      <c r="M3" s="471"/>
      <c r="N3" s="471"/>
      <c r="O3" s="471"/>
      <c r="P3" s="471"/>
      <c r="Q3" s="471"/>
      <c r="R3" s="471"/>
    </row>
    <row r="4" spans="1:18" ht="15" thickBot="1" x14ac:dyDescent="0.35"/>
    <row r="5" spans="1:18" ht="15" thickBot="1" x14ac:dyDescent="0.35">
      <c r="A5" s="240" t="s">
        <v>2296</v>
      </c>
    </row>
    <row r="6" spans="1:18" x14ac:dyDescent="0.3">
      <c r="A6" s="5" t="s">
        <v>385</v>
      </c>
      <c r="B6" s="5" t="s">
        <v>386</v>
      </c>
      <c r="C6" s="5" t="s">
        <v>387</v>
      </c>
      <c r="D6" s="5" t="s">
        <v>388</v>
      </c>
      <c r="E6" s="5" t="s">
        <v>175</v>
      </c>
      <c r="F6" s="5" t="s">
        <v>389</v>
      </c>
      <c r="G6" s="5" t="s">
        <v>390</v>
      </c>
      <c r="H6" s="5" t="s">
        <v>172</v>
      </c>
      <c r="I6" s="5" t="s">
        <v>391</v>
      </c>
      <c r="J6" s="5" t="s">
        <v>392</v>
      </c>
      <c r="K6" s="5" t="s">
        <v>393</v>
      </c>
      <c r="L6" s="5" t="s">
        <v>394</v>
      </c>
      <c r="M6" s="5" t="s">
        <v>395</v>
      </c>
      <c r="N6" s="5" t="s">
        <v>396</v>
      </c>
      <c r="O6" s="5" t="s">
        <v>397</v>
      </c>
      <c r="P6" s="5" t="s">
        <v>398</v>
      </c>
      <c r="Q6" s="5" t="s">
        <v>399</v>
      </c>
      <c r="R6" s="5" t="s">
        <v>400</v>
      </c>
    </row>
    <row r="7" spans="1:18" x14ac:dyDescent="0.3">
      <c r="A7" s="30" t="s">
        <v>401</v>
      </c>
      <c r="B7" s="6" t="s">
        <v>402</v>
      </c>
      <c r="C7" s="6" t="s">
        <v>275</v>
      </c>
      <c r="D7" s="6" t="s">
        <v>294</v>
      </c>
      <c r="E7" s="23">
        <v>1.5</v>
      </c>
      <c r="F7" s="24">
        <v>8500000</v>
      </c>
      <c r="G7" s="24">
        <v>2125000</v>
      </c>
      <c r="H7" s="22">
        <f t="shared" ref="H7:H26" si="0">G7/SUM($G$7:$G$26)</f>
        <v>0.2230971128608924</v>
      </c>
      <c r="I7" s="6" t="s">
        <v>250</v>
      </c>
      <c r="J7" s="6">
        <v>45</v>
      </c>
      <c r="K7" s="6" t="s">
        <v>403</v>
      </c>
      <c r="L7" s="6">
        <v>12</v>
      </c>
      <c r="M7" s="6" t="s">
        <v>404</v>
      </c>
      <c r="N7" s="6" t="s">
        <v>405</v>
      </c>
      <c r="O7" s="6" t="s">
        <v>377</v>
      </c>
      <c r="P7" s="6">
        <v>42</v>
      </c>
      <c r="Q7" s="29" t="s">
        <v>406</v>
      </c>
      <c r="R7" s="6" t="s">
        <v>407</v>
      </c>
    </row>
    <row r="8" spans="1:18" x14ac:dyDescent="0.3">
      <c r="A8" s="32" t="s">
        <v>408</v>
      </c>
      <c r="B8" s="7" t="s">
        <v>409</v>
      </c>
      <c r="C8" s="7" t="s">
        <v>275</v>
      </c>
      <c r="D8" s="7" t="s">
        <v>297</v>
      </c>
      <c r="E8" s="26">
        <v>1.5</v>
      </c>
      <c r="F8" s="10">
        <v>6200000</v>
      </c>
      <c r="G8" s="10">
        <v>1550000</v>
      </c>
      <c r="H8" s="25">
        <f t="shared" si="0"/>
        <v>0.16272965879265092</v>
      </c>
      <c r="I8" s="7" t="s">
        <v>250</v>
      </c>
      <c r="J8" s="7">
        <v>28</v>
      </c>
      <c r="K8" s="7" t="s">
        <v>403</v>
      </c>
      <c r="L8" s="7">
        <v>8</v>
      </c>
      <c r="M8" s="7" t="s">
        <v>410</v>
      </c>
      <c r="N8" s="7" t="s">
        <v>405</v>
      </c>
      <c r="O8" s="7" t="s">
        <v>377</v>
      </c>
      <c r="P8" s="7">
        <v>45</v>
      </c>
      <c r="Q8" s="31" t="s">
        <v>411</v>
      </c>
      <c r="R8" s="7" t="s">
        <v>412</v>
      </c>
    </row>
    <row r="9" spans="1:18" x14ac:dyDescent="0.3">
      <c r="A9" s="30" t="s">
        <v>413</v>
      </c>
      <c r="B9" s="6" t="s">
        <v>414</v>
      </c>
      <c r="C9" s="6" t="s">
        <v>275</v>
      </c>
      <c r="D9" s="6" t="s">
        <v>299</v>
      </c>
      <c r="E9" s="23">
        <v>1.5</v>
      </c>
      <c r="F9" s="24">
        <v>1800000</v>
      </c>
      <c r="G9" s="24">
        <v>450000</v>
      </c>
      <c r="H9" s="22">
        <f t="shared" si="0"/>
        <v>4.7244094488188976E-2</v>
      </c>
      <c r="I9" s="6" t="s">
        <v>348</v>
      </c>
      <c r="J9" s="6">
        <v>1</v>
      </c>
      <c r="K9" s="6" t="s">
        <v>152</v>
      </c>
      <c r="L9" s="6">
        <v>0</v>
      </c>
      <c r="M9" s="6" t="s">
        <v>415</v>
      </c>
      <c r="N9" s="6" t="s">
        <v>416</v>
      </c>
      <c r="O9" s="6" t="s">
        <v>377</v>
      </c>
      <c r="P9" s="6">
        <v>48</v>
      </c>
      <c r="Q9" s="31" t="s">
        <v>411</v>
      </c>
      <c r="R9" s="6" t="s">
        <v>417</v>
      </c>
    </row>
    <row r="10" spans="1:18" x14ac:dyDescent="0.3">
      <c r="A10" s="32" t="s">
        <v>418</v>
      </c>
      <c r="B10" s="7" t="s">
        <v>419</v>
      </c>
      <c r="C10" s="7" t="s">
        <v>284</v>
      </c>
      <c r="D10" s="7" t="s">
        <v>303</v>
      </c>
      <c r="E10" s="26">
        <v>1</v>
      </c>
      <c r="F10" s="10">
        <v>3200000</v>
      </c>
      <c r="G10" s="10">
        <v>800000</v>
      </c>
      <c r="H10" s="25">
        <f t="shared" si="0"/>
        <v>8.3989501312335957E-2</v>
      </c>
      <c r="I10" s="7" t="s">
        <v>250</v>
      </c>
      <c r="J10" s="7">
        <v>18</v>
      </c>
      <c r="K10" s="7" t="s">
        <v>420</v>
      </c>
      <c r="L10" s="7">
        <v>5</v>
      </c>
      <c r="M10" s="7" t="s">
        <v>421</v>
      </c>
      <c r="N10" s="7" t="s">
        <v>405</v>
      </c>
      <c r="O10" s="7" t="s">
        <v>377</v>
      </c>
      <c r="P10" s="7">
        <v>52</v>
      </c>
      <c r="Q10" s="18" t="s">
        <v>422</v>
      </c>
      <c r="R10" s="7" t="s">
        <v>423</v>
      </c>
    </row>
    <row r="11" spans="1:18" x14ac:dyDescent="0.3">
      <c r="A11" s="30" t="s">
        <v>424</v>
      </c>
      <c r="B11" s="6" t="s">
        <v>425</v>
      </c>
      <c r="C11" s="6" t="s">
        <v>278</v>
      </c>
      <c r="D11" s="6" t="s">
        <v>306</v>
      </c>
      <c r="E11" s="23">
        <v>1</v>
      </c>
      <c r="F11" s="24">
        <v>1500000</v>
      </c>
      <c r="G11" s="24">
        <v>375000</v>
      </c>
      <c r="H11" s="22">
        <f t="shared" si="0"/>
        <v>3.937007874015748E-2</v>
      </c>
      <c r="I11" s="6" t="s">
        <v>250</v>
      </c>
      <c r="J11" s="6">
        <v>1</v>
      </c>
      <c r="K11" s="6" t="s">
        <v>426</v>
      </c>
      <c r="L11" s="6">
        <v>0</v>
      </c>
      <c r="M11" s="6" t="s">
        <v>427</v>
      </c>
      <c r="N11" s="6" t="s">
        <v>428</v>
      </c>
      <c r="O11" s="6" t="s">
        <v>380</v>
      </c>
      <c r="P11" s="6">
        <v>55</v>
      </c>
      <c r="Q11" s="29" t="s">
        <v>406</v>
      </c>
      <c r="R11" s="6" t="s">
        <v>429</v>
      </c>
    </row>
    <row r="12" spans="1:18" x14ac:dyDescent="0.3">
      <c r="A12" s="32" t="s">
        <v>430</v>
      </c>
      <c r="B12" s="7" t="s">
        <v>431</v>
      </c>
      <c r="C12" s="7" t="s">
        <v>281</v>
      </c>
      <c r="D12" s="7" t="s">
        <v>309</v>
      </c>
      <c r="E12" s="26">
        <v>1</v>
      </c>
      <c r="F12" s="10">
        <v>2800000</v>
      </c>
      <c r="G12" s="10">
        <v>700000</v>
      </c>
      <c r="H12" s="25">
        <f t="shared" si="0"/>
        <v>7.3490813648293962E-2</v>
      </c>
      <c r="I12" s="7" t="s">
        <v>364</v>
      </c>
      <c r="J12" s="7">
        <v>1</v>
      </c>
      <c r="K12" s="7" t="s">
        <v>432</v>
      </c>
      <c r="L12" s="7">
        <v>0</v>
      </c>
      <c r="M12" s="7" t="s">
        <v>433</v>
      </c>
      <c r="N12" s="7" t="s">
        <v>434</v>
      </c>
      <c r="O12" s="7" t="s">
        <v>374</v>
      </c>
      <c r="P12" s="7">
        <v>58</v>
      </c>
      <c r="Q12" s="31" t="s">
        <v>411</v>
      </c>
      <c r="R12" s="7" t="s">
        <v>435</v>
      </c>
    </row>
    <row r="13" spans="1:18" x14ac:dyDescent="0.3">
      <c r="A13" s="30" t="s">
        <v>436</v>
      </c>
      <c r="B13" s="6" t="s">
        <v>437</v>
      </c>
      <c r="C13" s="6" t="s">
        <v>281</v>
      </c>
      <c r="D13" s="6" t="s">
        <v>309</v>
      </c>
      <c r="E13" s="23">
        <v>1</v>
      </c>
      <c r="F13" s="24">
        <v>950000</v>
      </c>
      <c r="G13" s="24">
        <v>237500</v>
      </c>
      <c r="H13" s="22">
        <f t="shared" si="0"/>
        <v>2.4934383202099737E-2</v>
      </c>
      <c r="I13" s="6" t="s">
        <v>364</v>
      </c>
      <c r="J13" s="6">
        <v>12</v>
      </c>
      <c r="K13" s="6" t="s">
        <v>438</v>
      </c>
      <c r="L13" s="6">
        <v>3</v>
      </c>
      <c r="M13" s="6" t="s">
        <v>439</v>
      </c>
      <c r="N13" s="6" t="s">
        <v>434</v>
      </c>
      <c r="O13" s="6" t="s">
        <v>374</v>
      </c>
      <c r="P13" s="6">
        <v>61</v>
      </c>
      <c r="Q13" s="29" t="s">
        <v>406</v>
      </c>
      <c r="R13" s="6" t="s">
        <v>440</v>
      </c>
    </row>
    <row r="14" spans="1:18" x14ac:dyDescent="0.3">
      <c r="A14" s="32" t="s">
        <v>441</v>
      </c>
      <c r="B14" s="7" t="s">
        <v>442</v>
      </c>
      <c r="C14" s="7" t="s">
        <v>281</v>
      </c>
      <c r="D14" s="7" t="s">
        <v>309</v>
      </c>
      <c r="E14" s="26">
        <v>1</v>
      </c>
      <c r="F14" s="10">
        <v>1200000</v>
      </c>
      <c r="G14" s="10">
        <v>300000</v>
      </c>
      <c r="H14" s="25">
        <f t="shared" si="0"/>
        <v>3.1496062992125984E-2</v>
      </c>
      <c r="I14" s="7" t="s">
        <v>250</v>
      </c>
      <c r="J14" s="7">
        <v>1</v>
      </c>
      <c r="K14" s="7" t="s">
        <v>443</v>
      </c>
      <c r="L14" s="7">
        <v>0</v>
      </c>
      <c r="M14" s="7" t="s">
        <v>444</v>
      </c>
      <c r="N14" s="7" t="s">
        <v>445</v>
      </c>
      <c r="O14" s="7" t="s">
        <v>374</v>
      </c>
      <c r="P14" s="7">
        <v>64</v>
      </c>
      <c r="Q14" s="31" t="s">
        <v>411</v>
      </c>
      <c r="R14" s="7" t="s">
        <v>446</v>
      </c>
    </row>
    <row r="15" spans="1:18" x14ac:dyDescent="0.3">
      <c r="A15" s="30" t="s">
        <v>447</v>
      </c>
      <c r="B15" s="6" t="s">
        <v>448</v>
      </c>
      <c r="C15" s="6" t="s">
        <v>284</v>
      </c>
      <c r="D15" s="6" t="s">
        <v>297</v>
      </c>
      <c r="E15" s="23">
        <v>1.5</v>
      </c>
      <c r="F15" s="24">
        <v>2100000</v>
      </c>
      <c r="G15" s="24">
        <v>525000</v>
      </c>
      <c r="H15" s="22">
        <f t="shared" si="0"/>
        <v>5.5118110236220472E-2</v>
      </c>
      <c r="I15" s="6" t="s">
        <v>250</v>
      </c>
      <c r="J15" s="6">
        <v>12</v>
      </c>
      <c r="K15" s="6" t="s">
        <v>420</v>
      </c>
      <c r="L15" s="6">
        <v>0</v>
      </c>
      <c r="M15" s="6" t="s">
        <v>449</v>
      </c>
      <c r="N15" s="6" t="s">
        <v>405</v>
      </c>
      <c r="O15" s="6" t="s">
        <v>377</v>
      </c>
      <c r="P15" s="6">
        <v>67</v>
      </c>
      <c r="Q15" s="31" t="s">
        <v>411</v>
      </c>
      <c r="R15" s="6" t="s">
        <v>450</v>
      </c>
    </row>
    <row r="16" spans="1:18" x14ac:dyDescent="0.3">
      <c r="A16" s="32" t="s">
        <v>451</v>
      </c>
      <c r="B16" s="7" t="s">
        <v>452</v>
      </c>
      <c r="C16" s="7" t="s">
        <v>281</v>
      </c>
      <c r="D16" s="7" t="s">
        <v>318</v>
      </c>
      <c r="E16" s="26">
        <v>0.5</v>
      </c>
      <c r="F16" s="10">
        <v>450000</v>
      </c>
      <c r="G16" s="10">
        <v>112500</v>
      </c>
      <c r="H16" s="25">
        <f t="shared" si="0"/>
        <v>1.1811023622047244E-2</v>
      </c>
      <c r="I16" s="7" t="s">
        <v>250</v>
      </c>
      <c r="J16" s="7">
        <v>1</v>
      </c>
      <c r="K16" s="7" t="s">
        <v>453</v>
      </c>
      <c r="L16" s="7">
        <v>0</v>
      </c>
      <c r="M16" s="7" t="s">
        <v>454</v>
      </c>
      <c r="N16" s="7" t="s">
        <v>455</v>
      </c>
      <c r="O16" s="7" t="s">
        <v>374</v>
      </c>
      <c r="P16" s="7">
        <v>70</v>
      </c>
      <c r="Q16" s="18" t="s">
        <v>422</v>
      </c>
      <c r="R16" s="7" t="s">
        <v>456</v>
      </c>
    </row>
    <row r="17" spans="1:18" x14ac:dyDescent="0.3">
      <c r="A17" s="30" t="s">
        <v>457</v>
      </c>
      <c r="B17" s="6" t="s">
        <v>458</v>
      </c>
      <c r="C17" s="6" t="s">
        <v>278</v>
      </c>
      <c r="D17" s="6" t="s">
        <v>320</v>
      </c>
      <c r="E17" s="23">
        <v>0.5</v>
      </c>
      <c r="F17" s="24">
        <v>1800000</v>
      </c>
      <c r="G17" s="24">
        <v>450000</v>
      </c>
      <c r="H17" s="22">
        <f t="shared" si="0"/>
        <v>4.7244094488188976E-2</v>
      </c>
      <c r="I17" s="6" t="s">
        <v>345</v>
      </c>
      <c r="J17" s="6">
        <v>1</v>
      </c>
      <c r="K17" s="6" t="s">
        <v>459</v>
      </c>
      <c r="L17" s="6">
        <v>0</v>
      </c>
      <c r="M17" s="6" t="s">
        <v>460</v>
      </c>
      <c r="N17" s="6" t="s">
        <v>461</v>
      </c>
      <c r="O17" s="6" t="s">
        <v>377</v>
      </c>
      <c r="P17" s="6">
        <v>73</v>
      </c>
      <c r="Q17" s="29" t="s">
        <v>406</v>
      </c>
      <c r="R17" s="6" t="s">
        <v>462</v>
      </c>
    </row>
    <row r="18" spans="1:18" x14ac:dyDescent="0.3">
      <c r="A18" s="32" t="s">
        <v>463</v>
      </c>
      <c r="B18" s="7" t="s">
        <v>464</v>
      </c>
      <c r="C18" s="7" t="s">
        <v>281</v>
      </c>
      <c r="D18" s="7" t="s">
        <v>309</v>
      </c>
      <c r="E18" s="26">
        <v>1</v>
      </c>
      <c r="F18" s="10">
        <v>380000</v>
      </c>
      <c r="G18" s="10">
        <v>95000</v>
      </c>
      <c r="H18" s="25">
        <f t="shared" si="0"/>
        <v>9.9737532808398949E-3</v>
      </c>
      <c r="I18" s="7" t="s">
        <v>250</v>
      </c>
      <c r="J18" s="7">
        <v>1</v>
      </c>
      <c r="K18" s="7" t="s">
        <v>465</v>
      </c>
      <c r="L18" s="7">
        <v>0</v>
      </c>
      <c r="M18" s="7" t="s">
        <v>466</v>
      </c>
      <c r="N18" s="7" t="s">
        <v>467</v>
      </c>
      <c r="O18" s="7" t="s">
        <v>374</v>
      </c>
      <c r="P18" s="7">
        <v>76</v>
      </c>
      <c r="Q18" s="34" t="s">
        <v>468</v>
      </c>
      <c r="R18" s="7" t="s">
        <v>469</v>
      </c>
    </row>
    <row r="19" spans="1:18" x14ac:dyDescent="0.3">
      <c r="A19" s="30" t="s">
        <v>470</v>
      </c>
      <c r="B19" s="6" t="s">
        <v>471</v>
      </c>
      <c r="C19" s="6" t="s">
        <v>278</v>
      </c>
      <c r="D19" s="6" t="s">
        <v>320</v>
      </c>
      <c r="E19" s="23">
        <v>0.5</v>
      </c>
      <c r="F19" s="24">
        <v>180000</v>
      </c>
      <c r="G19" s="24">
        <v>45000</v>
      </c>
      <c r="H19" s="22">
        <f t="shared" si="0"/>
        <v>4.7244094488188976E-3</v>
      </c>
      <c r="I19" s="6" t="s">
        <v>364</v>
      </c>
      <c r="J19" s="6">
        <v>200</v>
      </c>
      <c r="K19" s="6" t="s">
        <v>472</v>
      </c>
      <c r="L19" s="6">
        <v>50</v>
      </c>
      <c r="M19" s="6" t="s">
        <v>473</v>
      </c>
      <c r="N19" s="6" t="s">
        <v>461</v>
      </c>
      <c r="O19" s="6" t="s">
        <v>380</v>
      </c>
      <c r="P19" s="6">
        <v>79</v>
      </c>
      <c r="Q19" s="18" t="s">
        <v>422</v>
      </c>
      <c r="R19" s="6" t="s">
        <v>456</v>
      </c>
    </row>
    <row r="20" spans="1:18" x14ac:dyDescent="0.3">
      <c r="A20" s="32" t="s">
        <v>474</v>
      </c>
      <c r="B20" s="7" t="s">
        <v>475</v>
      </c>
      <c r="C20" s="7" t="s">
        <v>287</v>
      </c>
      <c r="D20" s="7" t="s">
        <v>306</v>
      </c>
      <c r="E20" s="26">
        <v>1</v>
      </c>
      <c r="F20" s="10">
        <v>620000</v>
      </c>
      <c r="G20" s="10">
        <v>155000</v>
      </c>
      <c r="H20" s="25">
        <f t="shared" si="0"/>
        <v>1.6272965879265092E-2</v>
      </c>
      <c r="I20" s="7" t="s">
        <v>250</v>
      </c>
      <c r="J20" s="7">
        <v>1</v>
      </c>
      <c r="K20" s="7" t="s">
        <v>152</v>
      </c>
      <c r="L20" s="7">
        <v>0</v>
      </c>
      <c r="M20" s="7" t="s">
        <v>476</v>
      </c>
      <c r="N20" s="7" t="s">
        <v>434</v>
      </c>
      <c r="O20" s="7" t="s">
        <v>380</v>
      </c>
      <c r="P20" s="7">
        <v>82</v>
      </c>
      <c r="Q20" s="29" t="s">
        <v>406</v>
      </c>
      <c r="R20" s="7" t="s">
        <v>477</v>
      </c>
    </row>
    <row r="21" spans="1:18" x14ac:dyDescent="0.3">
      <c r="A21" s="30" t="s">
        <v>478</v>
      </c>
      <c r="B21" s="6" t="s">
        <v>479</v>
      </c>
      <c r="C21" s="6" t="s">
        <v>287</v>
      </c>
      <c r="D21" s="6" t="s">
        <v>323</v>
      </c>
      <c r="E21" s="23">
        <v>0.5</v>
      </c>
      <c r="F21" s="24">
        <v>280000</v>
      </c>
      <c r="G21" s="24">
        <v>70000</v>
      </c>
      <c r="H21" s="22">
        <f t="shared" si="0"/>
        <v>7.3490813648293962E-3</v>
      </c>
      <c r="I21" s="6" t="s">
        <v>250</v>
      </c>
      <c r="J21" s="6">
        <v>4</v>
      </c>
      <c r="K21" s="6" t="s">
        <v>480</v>
      </c>
      <c r="L21" s="6">
        <v>1</v>
      </c>
      <c r="M21" s="6" t="s">
        <v>481</v>
      </c>
      <c r="N21" s="6" t="s">
        <v>434</v>
      </c>
      <c r="O21" s="6" t="s">
        <v>380</v>
      </c>
      <c r="P21" s="6">
        <v>85</v>
      </c>
      <c r="Q21" s="18" t="s">
        <v>422</v>
      </c>
      <c r="R21" s="6" t="s">
        <v>456</v>
      </c>
    </row>
    <row r="22" spans="1:18" x14ac:dyDescent="0.3">
      <c r="A22" s="32" t="s">
        <v>482</v>
      </c>
      <c r="B22" s="7" t="s">
        <v>483</v>
      </c>
      <c r="C22" s="7" t="s">
        <v>275</v>
      </c>
      <c r="D22" s="7" t="s">
        <v>301</v>
      </c>
      <c r="E22" s="26">
        <v>1.5</v>
      </c>
      <c r="F22" s="10">
        <v>320000</v>
      </c>
      <c r="G22" s="10">
        <v>80000</v>
      </c>
      <c r="H22" s="25">
        <f t="shared" si="0"/>
        <v>8.3989501312335957E-3</v>
      </c>
      <c r="I22" s="7" t="s">
        <v>345</v>
      </c>
      <c r="J22" s="7">
        <v>5000</v>
      </c>
      <c r="K22" s="7" t="s">
        <v>484</v>
      </c>
      <c r="L22" s="7">
        <v>0</v>
      </c>
      <c r="M22" s="7" t="s">
        <v>485</v>
      </c>
      <c r="N22" s="7" t="s">
        <v>486</v>
      </c>
      <c r="O22" s="7" t="s">
        <v>374</v>
      </c>
      <c r="P22" s="7">
        <v>88</v>
      </c>
      <c r="Q22" s="29" t="s">
        <v>406</v>
      </c>
      <c r="R22" s="7" t="s">
        <v>487</v>
      </c>
    </row>
    <row r="23" spans="1:18" x14ac:dyDescent="0.3">
      <c r="A23" s="30" t="s">
        <v>488</v>
      </c>
      <c r="B23" s="6" t="s">
        <v>489</v>
      </c>
      <c r="C23" s="6" t="s">
        <v>284</v>
      </c>
      <c r="D23" s="6" t="s">
        <v>303</v>
      </c>
      <c r="E23" s="23">
        <v>1</v>
      </c>
      <c r="F23" s="24">
        <v>850000</v>
      </c>
      <c r="G23" s="24">
        <v>212500</v>
      </c>
      <c r="H23" s="22">
        <f t="shared" si="0"/>
        <v>2.2309711286089239E-2</v>
      </c>
      <c r="I23" s="6" t="s">
        <v>250</v>
      </c>
      <c r="J23" s="6">
        <v>25</v>
      </c>
      <c r="K23" s="6" t="s">
        <v>420</v>
      </c>
      <c r="L23" s="6">
        <v>5</v>
      </c>
      <c r="M23" s="6" t="s">
        <v>490</v>
      </c>
      <c r="N23" s="6" t="s">
        <v>405</v>
      </c>
      <c r="O23" s="6" t="s">
        <v>377</v>
      </c>
      <c r="P23" s="6">
        <v>91</v>
      </c>
      <c r="Q23" s="18" t="s">
        <v>422</v>
      </c>
      <c r="R23" s="6" t="s">
        <v>456</v>
      </c>
    </row>
    <row r="24" spans="1:18" x14ac:dyDescent="0.3">
      <c r="A24" s="32" t="s">
        <v>491</v>
      </c>
      <c r="B24" s="7" t="s">
        <v>492</v>
      </c>
      <c r="C24" s="7" t="s">
        <v>281</v>
      </c>
      <c r="D24" s="7" t="s">
        <v>309</v>
      </c>
      <c r="E24" s="26">
        <v>1</v>
      </c>
      <c r="F24" s="10">
        <v>420000</v>
      </c>
      <c r="G24" s="10">
        <v>105000</v>
      </c>
      <c r="H24" s="25">
        <f t="shared" si="0"/>
        <v>1.1023622047244094E-2</v>
      </c>
      <c r="I24" s="7" t="s">
        <v>348</v>
      </c>
      <c r="J24" s="7">
        <v>500</v>
      </c>
      <c r="K24" s="7" t="s">
        <v>493</v>
      </c>
      <c r="L24" s="7">
        <v>120</v>
      </c>
      <c r="M24" s="7" t="s">
        <v>494</v>
      </c>
      <c r="N24" s="7" t="s">
        <v>467</v>
      </c>
      <c r="O24" s="7" t="s">
        <v>374</v>
      </c>
      <c r="P24" s="7">
        <v>94</v>
      </c>
      <c r="Q24" s="34" t="s">
        <v>468</v>
      </c>
      <c r="R24" s="7" t="s">
        <v>495</v>
      </c>
    </row>
    <row r="25" spans="1:18" x14ac:dyDescent="0.3">
      <c r="A25" s="30" t="s">
        <v>496</v>
      </c>
      <c r="B25" s="6" t="s">
        <v>497</v>
      </c>
      <c r="C25" s="6" t="s">
        <v>287</v>
      </c>
      <c r="D25" s="6" t="s">
        <v>323</v>
      </c>
      <c r="E25" s="23">
        <v>0.5</v>
      </c>
      <c r="F25" s="24">
        <v>350000</v>
      </c>
      <c r="G25" s="24">
        <v>87500</v>
      </c>
      <c r="H25" s="22">
        <f t="shared" si="0"/>
        <v>9.1863517060367453E-3</v>
      </c>
      <c r="I25" s="6" t="s">
        <v>250</v>
      </c>
      <c r="J25" s="6">
        <v>1</v>
      </c>
      <c r="K25" s="6" t="s">
        <v>152</v>
      </c>
      <c r="L25" s="6">
        <v>0</v>
      </c>
      <c r="M25" s="6" t="s">
        <v>498</v>
      </c>
      <c r="N25" s="6" t="s">
        <v>499</v>
      </c>
      <c r="O25" s="6" t="s">
        <v>380</v>
      </c>
      <c r="P25" s="6">
        <v>97</v>
      </c>
      <c r="Q25" s="18" t="s">
        <v>422</v>
      </c>
      <c r="R25" s="6" t="s">
        <v>456</v>
      </c>
    </row>
    <row r="26" spans="1:18" x14ac:dyDescent="0.3">
      <c r="A26" s="32" t="s">
        <v>500</v>
      </c>
      <c r="B26" s="7" t="s">
        <v>501</v>
      </c>
      <c r="C26" s="7" t="s">
        <v>275</v>
      </c>
      <c r="D26" s="7" t="s">
        <v>297</v>
      </c>
      <c r="E26" s="26">
        <v>1.5</v>
      </c>
      <c r="F26" s="10">
        <v>4200000</v>
      </c>
      <c r="G26" s="10">
        <v>1050000</v>
      </c>
      <c r="H26" s="25">
        <f t="shared" si="0"/>
        <v>0.11023622047244094</v>
      </c>
      <c r="I26" s="7" t="s">
        <v>364</v>
      </c>
      <c r="J26" s="7">
        <v>1</v>
      </c>
      <c r="K26" s="7" t="s">
        <v>502</v>
      </c>
      <c r="L26" s="7">
        <v>0</v>
      </c>
      <c r="M26" s="7" t="s">
        <v>503</v>
      </c>
      <c r="N26" s="7" t="s">
        <v>405</v>
      </c>
      <c r="O26" s="7" t="s">
        <v>377</v>
      </c>
      <c r="P26" s="7">
        <v>100</v>
      </c>
      <c r="Q26" s="31" t="s">
        <v>411</v>
      </c>
      <c r="R26" s="7" t="s">
        <v>504</v>
      </c>
    </row>
    <row r="27" spans="1:18" x14ac:dyDescent="0.3">
      <c r="G27" s="1" t="s">
        <v>505</v>
      </c>
      <c r="H27" s="35">
        <f>SUM(H7:H26)</f>
        <v>1</v>
      </c>
      <c r="I27" s="36" t="str">
        <f>IF(ABS(H27-1)&lt;0.0001,"✅ Suma P_i = 1.0000 — CORRECTO","❌ ERROR: Suma ≠ 1")</f>
        <v>✅ Suma P_i = 1.0000 — CORRECTO</v>
      </c>
    </row>
  </sheetData>
  <mergeCells count="3">
    <mergeCell ref="A1:R1"/>
    <mergeCell ref="A2:R2"/>
    <mergeCell ref="A3:R3"/>
  </mergeCells>
  <hyperlinks>
    <hyperlink ref="A1" location="'H01_PARAMETROS_GENERALES'!A1" tooltip="Volver a H01_PARAMETROS_GENERALES" display="🔙 Volver al Índice" xr:uid="{5D6B0244-1AAB-429F-8281-66B2E9D86B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BA66-44E0-42D3-9927-54F5384B98F0}">
  <dimension ref="A1:I25"/>
  <sheetViews>
    <sheetView workbookViewId="0">
      <pane ySplit="5" topLeftCell="A6" activePane="bottomLeft" state="frozen"/>
      <selection pane="bottomLeft" sqref="A1:I1"/>
    </sheetView>
  </sheetViews>
  <sheetFormatPr baseColWidth="10" defaultRowHeight="14.4" x14ac:dyDescent="0.3"/>
  <cols>
    <col min="1" max="1" width="13" customWidth="1"/>
    <col min="2" max="2" width="14.77734375" customWidth="1"/>
    <col min="3" max="3" width="18.5546875" customWidth="1"/>
    <col min="4" max="4" width="48.109375" customWidth="1"/>
    <col min="5" max="5" width="20.33203125" customWidth="1"/>
    <col min="6" max="6" width="18.5546875" customWidth="1"/>
    <col min="7" max="7" width="25.88671875" customWidth="1"/>
    <col min="8" max="8" width="18.5546875" customWidth="1"/>
    <col min="9" max="9" width="11.109375" customWidth="1"/>
  </cols>
  <sheetData>
    <row r="1" spans="1:9" x14ac:dyDescent="0.3">
      <c r="A1" s="458" t="s">
        <v>2717</v>
      </c>
      <c r="B1" s="459"/>
      <c r="C1" s="459"/>
      <c r="D1" s="459"/>
      <c r="E1" s="459"/>
      <c r="F1" s="459"/>
      <c r="G1" s="459"/>
      <c r="H1" s="459"/>
      <c r="I1" s="459"/>
    </row>
    <row r="2" spans="1:9" x14ac:dyDescent="0.3">
      <c r="A2" s="460" t="s">
        <v>506</v>
      </c>
      <c r="B2" s="455"/>
      <c r="C2" s="455"/>
      <c r="D2" s="455"/>
      <c r="E2" s="455"/>
      <c r="F2" s="455"/>
      <c r="G2" s="455"/>
      <c r="H2" s="455"/>
      <c r="I2" s="455"/>
    </row>
    <row r="3" spans="1:9" x14ac:dyDescent="0.3">
      <c r="A3" s="3" t="s">
        <v>144</v>
      </c>
    </row>
    <row r="5" spans="1:9" x14ac:dyDescent="0.3">
      <c r="A5" s="5" t="s">
        <v>507</v>
      </c>
      <c r="B5" s="5" t="s">
        <v>385</v>
      </c>
      <c r="C5" s="5" t="s">
        <v>508</v>
      </c>
      <c r="D5" s="5" t="s">
        <v>509</v>
      </c>
      <c r="E5" s="5" t="s">
        <v>510</v>
      </c>
      <c r="F5" s="5" t="s">
        <v>511</v>
      </c>
      <c r="G5" s="5" t="s">
        <v>512</v>
      </c>
      <c r="H5" s="5" t="s">
        <v>513</v>
      </c>
      <c r="I5" s="5" t="s">
        <v>514</v>
      </c>
    </row>
    <row r="6" spans="1:9" x14ac:dyDescent="0.3">
      <c r="A6" s="6" t="s">
        <v>515</v>
      </c>
      <c r="B6" s="6" t="s">
        <v>401</v>
      </c>
      <c r="C6" s="6" t="s">
        <v>516</v>
      </c>
      <c r="D6" s="6" t="s">
        <v>517</v>
      </c>
      <c r="E6" s="6" t="s">
        <v>518</v>
      </c>
      <c r="F6" s="24">
        <v>2125000</v>
      </c>
      <c r="G6" s="6" t="s">
        <v>405</v>
      </c>
      <c r="H6" s="6" t="s">
        <v>519</v>
      </c>
      <c r="I6" s="18">
        <v>1</v>
      </c>
    </row>
    <row r="7" spans="1:9" x14ac:dyDescent="0.3">
      <c r="A7" s="7" t="s">
        <v>520</v>
      </c>
      <c r="B7" s="7" t="s">
        <v>408</v>
      </c>
      <c r="C7" s="7" t="s">
        <v>521</v>
      </c>
      <c r="D7" s="7" t="s">
        <v>522</v>
      </c>
      <c r="E7" s="7" t="s">
        <v>518</v>
      </c>
      <c r="F7" s="10">
        <v>1550000</v>
      </c>
      <c r="G7" s="7" t="s">
        <v>405</v>
      </c>
      <c r="H7" s="7" t="s">
        <v>519</v>
      </c>
      <c r="I7" s="18">
        <v>1</v>
      </c>
    </row>
    <row r="8" spans="1:9" x14ac:dyDescent="0.3">
      <c r="A8" s="6" t="s">
        <v>523</v>
      </c>
      <c r="B8" s="6" t="s">
        <v>413</v>
      </c>
      <c r="C8" s="6" t="s">
        <v>524</v>
      </c>
      <c r="D8" s="6" t="s">
        <v>525</v>
      </c>
      <c r="E8" s="6" t="s">
        <v>518</v>
      </c>
      <c r="F8" s="24">
        <v>450000</v>
      </c>
      <c r="G8" s="6" t="s">
        <v>416</v>
      </c>
      <c r="H8" s="6" t="s">
        <v>519</v>
      </c>
      <c r="I8" s="18">
        <v>1</v>
      </c>
    </row>
    <row r="9" spans="1:9" x14ac:dyDescent="0.3">
      <c r="A9" s="7" t="s">
        <v>526</v>
      </c>
      <c r="B9" s="7" t="s">
        <v>418</v>
      </c>
      <c r="C9" s="7" t="s">
        <v>527</v>
      </c>
      <c r="D9" s="7" t="s">
        <v>528</v>
      </c>
      <c r="E9" s="7" t="s">
        <v>518</v>
      </c>
      <c r="F9" s="10">
        <v>800000</v>
      </c>
      <c r="G9" s="7" t="s">
        <v>405</v>
      </c>
      <c r="H9" s="7" t="s">
        <v>519</v>
      </c>
      <c r="I9" s="18">
        <v>1</v>
      </c>
    </row>
    <row r="10" spans="1:9" x14ac:dyDescent="0.3">
      <c r="A10" s="6" t="s">
        <v>529</v>
      </c>
      <c r="B10" s="6" t="s">
        <v>424</v>
      </c>
      <c r="C10" s="6" t="s">
        <v>530</v>
      </c>
      <c r="D10" s="6" t="s">
        <v>531</v>
      </c>
      <c r="E10" s="6" t="s">
        <v>518</v>
      </c>
      <c r="F10" s="24">
        <v>375000</v>
      </c>
      <c r="G10" s="6" t="s">
        <v>428</v>
      </c>
      <c r="H10" s="6" t="s">
        <v>519</v>
      </c>
      <c r="I10" s="18">
        <v>1</v>
      </c>
    </row>
    <row r="11" spans="1:9" x14ac:dyDescent="0.3">
      <c r="A11" s="7" t="s">
        <v>532</v>
      </c>
      <c r="B11" s="7" t="s">
        <v>430</v>
      </c>
      <c r="C11" s="7" t="s">
        <v>533</v>
      </c>
      <c r="D11" s="7" t="s">
        <v>534</v>
      </c>
      <c r="E11" s="7" t="s">
        <v>518</v>
      </c>
      <c r="F11" s="10">
        <v>700000</v>
      </c>
      <c r="G11" s="7" t="s">
        <v>434</v>
      </c>
      <c r="H11" s="7" t="s">
        <v>519</v>
      </c>
      <c r="I11" s="18">
        <v>1</v>
      </c>
    </row>
    <row r="12" spans="1:9" x14ac:dyDescent="0.3">
      <c r="A12" s="6" t="s">
        <v>535</v>
      </c>
      <c r="B12" s="6" t="s">
        <v>436</v>
      </c>
      <c r="C12" s="6" t="s">
        <v>536</v>
      </c>
      <c r="D12" s="6" t="s">
        <v>537</v>
      </c>
      <c r="E12" s="6" t="s">
        <v>518</v>
      </c>
      <c r="F12" s="24">
        <v>237500</v>
      </c>
      <c r="G12" s="6" t="s">
        <v>434</v>
      </c>
      <c r="H12" s="6" t="s">
        <v>519</v>
      </c>
      <c r="I12" s="18">
        <v>1</v>
      </c>
    </row>
    <row r="13" spans="1:9" x14ac:dyDescent="0.3">
      <c r="A13" s="7" t="s">
        <v>538</v>
      </c>
      <c r="B13" s="7" t="s">
        <v>441</v>
      </c>
      <c r="C13" s="7" t="s">
        <v>539</v>
      </c>
      <c r="D13" s="7" t="s">
        <v>540</v>
      </c>
      <c r="E13" s="7" t="s">
        <v>518</v>
      </c>
      <c r="F13" s="10">
        <v>300000</v>
      </c>
      <c r="G13" s="7" t="s">
        <v>445</v>
      </c>
      <c r="H13" s="7" t="s">
        <v>519</v>
      </c>
      <c r="I13" s="18">
        <v>1</v>
      </c>
    </row>
    <row r="14" spans="1:9" x14ac:dyDescent="0.3">
      <c r="A14" s="6" t="s">
        <v>541</v>
      </c>
      <c r="B14" s="6" t="s">
        <v>447</v>
      </c>
      <c r="C14" s="6" t="s">
        <v>542</v>
      </c>
      <c r="D14" s="6" t="s">
        <v>448</v>
      </c>
      <c r="E14" s="6" t="s">
        <v>518</v>
      </c>
      <c r="F14" s="24">
        <v>525000</v>
      </c>
      <c r="G14" s="6" t="s">
        <v>405</v>
      </c>
      <c r="H14" s="6" t="s">
        <v>519</v>
      </c>
      <c r="I14" s="18">
        <v>1</v>
      </c>
    </row>
    <row r="15" spans="1:9" x14ac:dyDescent="0.3">
      <c r="A15" s="7" t="s">
        <v>543</v>
      </c>
      <c r="B15" s="7" t="s">
        <v>451</v>
      </c>
      <c r="C15" s="7" t="s">
        <v>544</v>
      </c>
      <c r="D15" s="7" t="s">
        <v>545</v>
      </c>
      <c r="E15" s="7" t="s">
        <v>518</v>
      </c>
      <c r="F15" s="10">
        <v>112500</v>
      </c>
      <c r="G15" s="7" t="s">
        <v>455</v>
      </c>
      <c r="H15" s="7" t="s">
        <v>519</v>
      </c>
      <c r="I15" s="18">
        <v>1</v>
      </c>
    </row>
    <row r="16" spans="1:9" x14ac:dyDescent="0.3">
      <c r="A16" s="6" t="s">
        <v>546</v>
      </c>
      <c r="B16" s="6" t="s">
        <v>457</v>
      </c>
      <c r="C16" s="6" t="s">
        <v>547</v>
      </c>
      <c r="D16" s="6" t="s">
        <v>548</v>
      </c>
      <c r="E16" s="6" t="s">
        <v>518</v>
      </c>
      <c r="F16" s="24">
        <v>450000</v>
      </c>
      <c r="G16" s="6" t="s">
        <v>461</v>
      </c>
      <c r="H16" s="6" t="s">
        <v>519</v>
      </c>
      <c r="I16" s="18">
        <v>1</v>
      </c>
    </row>
    <row r="17" spans="1:9" x14ac:dyDescent="0.3">
      <c r="A17" s="7" t="s">
        <v>549</v>
      </c>
      <c r="B17" s="7" t="s">
        <v>463</v>
      </c>
      <c r="C17" s="7" t="s">
        <v>550</v>
      </c>
      <c r="D17" s="7" t="s">
        <v>551</v>
      </c>
      <c r="E17" s="7" t="s">
        <v>518</v>
      </c>
      <c r="F17" s="10">
        <v>95000</v>
      </c>
      <c r="G17" s="7" t="s">
        <v>467</v>
      </c>
      <c r="H17" s="7" t="s">
        <v>519</v>
      </c>
      <c r="I17" s="18">
        <v>1</v>
      </c>
    </row>
    <row r="18" spans="1:9" x14ac:dyDescent="0.3">
      <c r="A18" s="6" t="s">
        <v>552</v>
      </c>
      <c r="B18" s="6" t="s">
        <v>470</v>
      </c>
      <c r="C18" s="6" t="s">
        <v>553</v>
      </c>
      <c r="D18" s="6" t="s">
        <v>554</v>
      </c>
      <c r="E18" s="6" t="s">
        <v>518</v>
      </c>
      <c r="F18" s="24">
        <v>45000</v>
      </c>
      <c r="G18" s="6" t="s">
        <v>461</v>
      </c>
      <c r="H18" s="6" t="s">
        <v>519</v>
      </c>
      <c r="I18" s="18">
        <v>1</v>
      </c>
    </row>
    <row r="19" spans="1:9" x14ac:dyDescent="0.3">
      <c r="A19" s="7" t="s">
        <v>555</v>
      </c>
      <c r="B19" s="7" t="s">
        <v>474</v>
      </c>
      <c r="C19" s="7" t="s">
        <v>556</v>
      </c>
      <c r="D19" s="7" t="s">
        <v>557</v>
      </c>
      <c r="E19" s="7" t="s">
        <v>518</v>
      </c>
      <c r="F19" s="10">
        <v>155000</v>
      </c>
      <c r="G19" s="7" t="s">
        <v>434</v>
      </c>
      <c r="H19" s="7" t="s">
        <v>519</v>
      </c>
      <c r="I19" s="18">
        <v>1</v>
      </c>
    </row>
    <row r="20" spans="1:9" x14ac:dyDescent="0.3">
      <c r="A20" s="6" t="s">
        <v>558</v>
      </c>
      <c r="B20" s="6" t="s">
        <v>478</v>
      </c>
      <c r="C20" s="6" t="s">
        <v>559</v>
      </c>
      <c r="D20" s="6" t="s">
        <v>560</v>
      </c>
      <c r="E20" s="6" t="s">
        <v>518</v>
      </c>
      <c r="F20" s="24">
        <v>70000</v>
      </c>
      <c r="G20" s="6" t="s">
        <v>434</v>
      </c>
      <c r="H20" s="6" t="s">
        <v>519</v>
      </c>
      <c r="I20" s="18">
        <v>1</v>
      </c>
    </row>
    <row r="21" spans="1:9" x14ac:dyDescent="0.3">
      <c r="A21" s="7" t="s">
        <v>561</v>
      </c>
      <c r="B21" s="7" t="s">
        <v>482</v>
      </c>
      <c r="C21" s="7" t="s">
        <v>562</v>
      </c>
      <c r="D21" s="7" t="s">
        <v>563</v>
      </c>
      <c r="E21" s="7" t="s">
        <v>518</v>
      </c>
      <c r="F21" s="10">
        <v>80000</v>
      </c>
      <c r="G21" s="7" t="s">
        <v>486</v>
      </c>
      <c r="H21" s="7" t="s">
        <v>519</v>
      </c>
      <c r="I21" s="18">
        <v>1</v>
      </c>
    </row>
    <row r="22" spans="1:9" x14ac:dyDescent="0.3">
      <c r="A22" s="6" t="s">
        <v>564</v>
      </c>
      <c r="B22" s="6" t="s">
        <v>488</v>
      </c>
      <c r="C22" s="6" t="s">
        <v>565</v>
      </c>
      <c r="D22" s="6" t="s">
        <v>566</v>
      </c>
      <c r="E22" s="6" t="s">
        <v>518</v>
      </c>
      <c r="F22" s="24">
        <v>212500</v>
      </c>
      <c r="G22" s="6" t="s">
        <v>405</v>
      </c>
      <c r="H22" s="6" t="s">
        <v>519</v>
      </c>
      <c r="I22" s="18">
        <v>1</v>
      </c>
    </row>
    <row r="23" spans="1:9" x14ac:dyDescent="0.3">
      <c r="A23" s="7" t="s">
        <v>567</v>
      </c>
      <c r="B23" s="7" t="s">
        <v>491</v>
      </c>
      <c r="C23" s="7" t="s">
        <v>568</v>
      </c>
      <c r="D23" s="7" t="s">
        <v>569</v>
      </c>
      <c r="E23" s="7" t="s">
        <v>518</v>
      </c>
      <c r="F23" s="10">
        <v>105000</v>
      </c>
      <c r="G23" s="7" t="s">
        <v>467</v>
      </c>
      <c r="H23" s="7" t="s">
        <v>570</v>
      </c>
      <c r="I23" s="31">
        <v>0</v>
      </c>
    </row>
    <row r="24" spans="1:9" x14ac:dyDescent="0.3">
      <c r="A24" s="6" t="s">
        <v>571</v>
      </c>
      <c r="B24" s="6" t="s">
        <v>496</v>
      </c>
      <c r="C24" s="6" t="s">
        <v>572</v>
      </c>
      <c r="D24" s="6" t="s">
        <v>573</v>
      </c>
      <c r="E24" s="6" t="s">
        <v>518</v>
      </c>
      <c r="F24" s="24">
        <v>87500</v>
      </c>
      <c r="G24" s="6" t="s">
        <v>499</v>
      </c>
      <c r="H24" s="6" t="s">
        <v>519</v>
      </c>
      <c r="I24" s="18">
        <v>1</v>
      </c>
    </row>
    <row r="25" spans="1:9" x14ac:dyDescent="0.3">
      <c r="A25" s="7" t="s">
        <v>574</v>
      </c>
      <c r="B25" s="7" t="s">
        <v>500</v>
      </c>
      <c r="C25" s="7" t="s">
        <v>575</v>
      </c>
      <c r="D25" s="7" t="s">
        <v>576</v>
      </c>
      <c r="E25" s="7" t="s">
        <v>518</v>
      </c>
      <c r="F25" s="10">
        <v>1050000</v>
      </c>
      <c r="G25" s="7" t="s">
        <v>405</v>
      </c>
      <c r="H25" s="7" t="s">
        <v>519</v>
      </c>
      <c r="I25" s="18">
        <v>1</v>
      </c>
    </row>
  </sheetData>
  <mergeCells count="2">
    <mergeCell ref="A1:I1"/>
    <mergeCell ref="A2:I2"/>
  </mergeCells>
  <hyperlinks>
    <hyperlink ref="A1" location="'H01_PARAMETROS_GENERALES'!A1" tooltip="Volver a H01_PARAMETROS_GENERALES" display="🔙 Volver al Índice" xr:uid="{9FAE8BB4-8521-4026-B6D7-2775D648D40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3A05B-21B5-4A84-B17F-E9369CDC3956}">
  <dimension ref="A1:J25"/>
  <sheetViews>
    <sheetView workbookViewId="0">
      <pane ySplit="5" topLeftCell="A6" activePane="bottomLeft" state="frozen"/>
      <selection pane="bottomLeft" sqref="A1:J1"/>
    </sheetView>
  </sheetViews>
  <sheetFormatPr baseColWidth="10" defaultRowHeight="14.4" x14ac:dyDescent="0.3"/>
  <cols>
    <col min="1" max="1" width="11.109375" customWidth="1"/>
    <col min="2" max="2" width="14.77734375" customWidth="1"/>
    <col min="3" max="3" width="24.109375" customWidth="1"/>
    <col min="4" max="4" width="37" customWidth="1"/>
    <col min="5" max="5" width="42.5546875" customWidth="1"/>
    <col min="6" max="6" width="18.5546875" customWidth="1"/>
    <col min="7" max="7" width="11.109375" customWidth="1"/>
    <col min="8" max="8" width="16.6640625" customWidth="1"/>
    <col min="9" max="9" width="29.6640625" customWidth="1"/>
    <col min="10" max="10" width="11.109375" customWidth="1"/>
  </cols>
  <sheetData>
    <row r="1" spans="1:10" x14ac:dyDescent="0.3">
      <c r="A1" s="458" t="s">
        <v>2717</v>
      </c>
      <c r="B1" s="459"/>
      <c r="C1" s="459"/>
      <c r="D1" s="459"/>
      <c r="E1" s="459"/>
      <c r="F1" s="459"/>
      <c r="G1" s="459"/>
      <c r="H1" s="459"/>
      <c r="I1" s="459"/>
      <c r="J1" s="459"/>
    </row>
    <row r="2" spans="1:10" x14ac:dyDescent="0.3">
      <c r="A2" s="460" t="s">
        <v>577</v>
      </c>
      <c r="B2" s="455"/>
      <c r="C2" s="455"/>
      <c r="D2" s="455"/>
      <c r="E2" s="455"/>
      <c r="F2" s="455"/>
      <c r="G2" s="455"/>
      <c r="H2" s="455"/>
      <c r="I2" s="455"/>
      <c r="J2" s="455"/>
    </row>
    <row r="3" spans="1:10" x14ac:dyDescent="0.3">
      <c r="A3" s="3" t="s">
        <v>144</v>
      </c>
    </row>
    <row r="5" spans="1:10" x14ac:dyDescent="0.3">
      <c r="A5" s="5" t="s">
        <v>578</v>
      </c>
      <c r="B5" s="5" t="s">
        <v>385</v>
      </c>
      <c r="C5" s="5" t="s">
        <v>579</v>
      </c>
      <c r="D5" s="5" t="s">
        <v>580</v>
      </c>
      <c r="E5" s="5" t="s">
        <v>581</v>
      </c>
      <c r="F5" s="5" t="s">
        <v>582</v>
      </c>
      <c r="G5" s="5" t="s">
        <v>583</v>
      </c>
      <c r="H5" s="5" t="s">
        <v>584</v>
      </c>
      <c r="I5" s="5" t="s">
        <v>585</v>
      </c>
      <c r="J5" s="5" t="s">
        <v>586</v>
      </c>
    </row>
    <row r="6" spans="1:10" x14ac:dyDescent="0.3">
      <c r="A6" s="6" t="s">
        <v>587</v>
      </c>
      <c r="B6" s="6" t="s">
        <v>401</v>
      </c>
      <c r="C6" s="6" t="s">
        <v>588</v>
      </c>
      <c r="D6" s="6" t="s">
        <v>589</v>
      </c>
      <c r="E6" s="6" t="s">
        <v>590</v>
      </c>
      <c r="F6" s="24">
        <v>2050000</v>
      </c>
      <c r="G6" s="6" t="s">
        <v>328</v>
      </c>
      <c r="H6" s="6" t="s">
        <v>259</v>
      </c>
      <c r="I6" s="6" t="s">
        <v>591</v>
      </c>
      <c r="J6" s="18">
        <v>1</v>
      </c>
    </row>
    <row r="7" spans="1:10" x14ac:dyDescent="0.3">
      <c r="A7" s="7" t="s">
        <v>592</v>
      </c>
      <c r="B7" s="7" t="s">
        <v>408</v>
      </c>
      <c r="C7" s="7" t="s">
        <v>593</v>
      </c>
      <c r="D7" s="7" t="s">
        <v>594</v>
      </c>
      <c r="E7" s="7" t="s">
        <v>595</v>
      </c>
      <c r="F7" s="10">
        <v>0</v>
      </c>
      <c r="G7" s="7" t="s">
        <v>334</v>
      </c>
      <c r="H7" s="37">
        <v>45295</v>
      </c>
      <c r="I7" s="7" t="s">
        <v>596</v>
      </c>
      <c r="J7" s="31">
        <v>0</v>
      </c>
    </row>
    <row r="8" spans="1:10" x14ac:dyDescent="0.3">
      <c r="A8" s="6" t="s">
        <v>597</v>
      </c>
      <c r="B8" s="6" t="s">
        <v>413</v>
      </c>
      <c r="C8" s="6" t="s">
        <v>598</v>
      </c>
      <c r="D8" s="6" t="s">
        <v>599</v>
      </c>
      <c r="E8" s="6" t="s">
        <v>600</v>
      </c>
      <c r="F8" s="24">
        <v>0</v>
      </c>
      <c r="G8" s="6" t="s">
        <v>336</v>
      </c>
      <c r="H8" s="6" t="s">
        <v>601</v>
      </c>
      <c r="I8" s="6" t="s">
        <v>602</v>
      </c>
      <c r="J8" s="31">
        <v>0</v>
      </c>
    </row>
    <row r="9" spans="1:10" x14ac:dyDescent="0.3">
      <c r="A9" s="7" t="s">
        <v>603</v>
      </c>
      <c r="B9" s="7" t="s">
        <v>418</v>
      </c>
      <c r="C9" s="7" t="s">
        <v>604</v>
      </c>
      <c r="D9" s="7" t="s">
        <v>605</v>
      </c>
      <c r="E9" s="7" t="s">
        <v>419</v>
      </c>
      <c r="F9" s="10">
        <v>785000</v>
      </c>
      <c r="G9" s="7" t="s">
        <v>330</v>
      </c>
      <c r="H9" s="37">
        <v>45567</v>
      </c>
      <c r="I9" s="7" t="s">
        <v>606</v>
      </c>
      <c r="J9" s="18">
        <v>1</v>
      </c>
    </row>
    <row r="10" spans="1:10" x14ac:dyDescent="0.3">
      <c r="A10" s="6" t="s">
        <v>607</v>
      </c>
      <c r="B10" s="6" t="s">
        <v>424</v>
      </c>
      <c r="C10" s="6" t="s">
        <v>608</v>
      </c>
      <c r="D10" s="6" t="s">
        <v>609</v>
      </c>
      <c r="E10" s="6" t="s">
        <v>610</v>
      </c>
      <c r="F10" s="24">
        <v>360000</v>
      </c>
      <c r="G10" s="6" t="s">
        <v>328</v>
      </c>
      <c r="H10" s="6" t="s">
        <v>611</v>
      </c>
      <c r="I10" s="6" t="s">
        <v>612</v>
      </c>
      <c r="J10" s="18">
        <v>1</v>
      </c>
    </row>
    <row r="11" spans="1:10" x14ac:dyDescent="0.3">
      <c r="A11" s="7" t="s">
        <v>613</v>
      </c>
      <c r="B11" s="7" t="s">
        <v>430</v>
      </c>
      <c r="C11" s="7" t="s">
        <v>614</v>
      </c>
      <c r="D11" s="7" t="s">
        <v>615</v>
      </c>
      <c r="E11" s="7" t="s">
        <v>616</v>
      </c>
      <c r="F11" s="10">
        <v>0</v>
      </c>
      <c r="G11" s="7" t="s">
        <v>334</v>
      </c>
      <c r="H11" s="7" t="s">
        <v>259</v>
      </c>
      <c r="I11" s="7" t="s">
        <v>596</v>
      </c>
      <c r="J11" s="31">
        <v>0</v>
      </c>
    </row>
    <row r="12" spans="1:10" x14ac:dyDescent="0.3">
      <c r="A12" s="6" t="s">
        <v>617</v>
      </c>
      <c r="B12" s="6" t="s">
        <v>436</v>
      </c>
      <c r="C12" s="6" t="s">
        <v>618</v>
      </c>
      <c r="D12" s="6" t="s">
        <v>619</v>
      </c>
      <c r="E12" s="6" t="s">
        <v>620</v>
      </c>
      <c r="F12" s="24">
        <v>228000</v>
      </c>
      <c r="G12" s="6" t="s">
        <v>330</v>
      </c>
      <c r="H12" s="6" t="s">
        <v>601</v>
      </c>
      <c r="I12" s="6" t="s">
        <v>621</v>
      </c>
      <c r="J12" s="18">
        <v>1</v>
      </c>
    </row>
    <row r="13" spans="1:10" x14ac:dyDescent="0.3">
      <c r="A13" s="7" t="s">
        <v>622</v>
      </c>
      <c r="B13" s="7" t="s">
        <v>441</v>
      </c>
      <c r="C13" s="7" t="s">
        <v>623</v>
      </c>
      <c r="D13" s="7" t="s">
        <v>624</v>
      </c>
      <c r="E13" s="7" t="s">
        <v>625</v>
      </c>
      <c r="F13" s="10">
        <v>0</v>
      </c>
      <c r="G13" s="7" t="s">
        <v>336</v>
      </c>
      <c r="H13" s="37">
        <v>45569</v>
      </c>
      <c r="I13" s="7" t="s">
        <v>602</v>
      </c>
      <c r="J13" s="31">
        <v>0</v>
      </c>
    </row>
    <row r="14" spans="1:10" x14ac:dyDescent="0.3">
      <c r="A14" s="6" t="s">
        <v>626</v>
      </c>
      <c r="B14" s="6" t="s">
        <v>447</v>
      </c>
      <c r="C14" s="6" t="s">
        <v>627</v>
      </c>
      <c r="D14" s="6" t="s">
        <v>628</v>
      </c>
      <c r="E14" s="6" t="s">
        <v>629</v>
      </c>
      <c r="F14" s="24">
        <v>0</v>
      </c>
      <c r="G14" s="6" t="s">
        <v>334</v>
      </c>
      <c r="H14" s="6" t="s">
        <v>630</v>
      </c>
      <c r="I14" s="6" t="s">
        <v>596</v>
      </c>
      <c r="J14" s="31">
        <v>0</v>
      </c>
    </row>
    <row r="15" spans="1:10" x14ac:dyDescent="0.3">
      <c r="A15" s="7" t="s">
        <v>631</v>
      </c>
      <c r="B15" s="7" t="s">
        <v>451</v>
      </c>
      <c r="C15" s="7" t="s">
        <v>632</v>
      </c>
      <c r="D15" s="7" t="s">
        <v>633</v>
      </c>
      <c r="E15" s="7" t="s">
        <v>634</v>
      </c>
      <c r="F15" s="10">
        <v>108000</v>
      </c>
      <c r="G15" s="7" t="s">
        <v>330</v>
      </c>
      <c r="H15" s="7" t="s">
        <v>518</v>
      </c>
      <c r="I15" s="7" t="s">
        <v>635</v>
      </c>
      <c r="J15" s="18">
        <v>1</v>
      </c>
    </row>
    <row r="16" spans="1:10" x14ac:dyDescent="0.3">
      <c r="A16" s="6" t="s">
        <v>636</v>
      </c>
      <c r="B16" s="6" t="s">
        <v>457</v>
      </c>
      <c r="C16" s="6" t="s">
        <v>637</v>
      </c>
      <c r="D16" s="6" t="s">
        <v>638</v>
      </c>
      <c r="E16" s="6" t="s">
        <v>639</v>
      </c>
      <c r="F16" s="24">
        <v>420000</v>
      </c>
      <c r="G16" s="6" t="s">
        <v>332</v>
      </c>
      <c r="H16" s="38">
        <v>45294</v>
      </c>
      <c r="I16" s="6" t="s">
        <v>640</v>
      </c>
      <c r="J16" s="18">
        <v>1</v>
      </c>
    </row>
    <row r="17" spans="1:10" x14ac:dyDescent="0.3">
      <c r="A17" s="7" t="s">
        <v>641</v>
      </c>
      <c r="B17" s="7" t="s">
        <v>463</v>
      </c>
      <c r="C17" s="7" t="s">
        <v>642</v>
      </c>
      <c r="D17" s="7" t="s">
        <v>643</v>
      </c>
      <c r="E17" s="7" t="s">
        <v>644</v>
      </c>
      <c r="F17" s="10">
        <v>92000</v>
      </c>
      <c r="G17" s="7" t="s">
        <v>328</v>
      </c>
      <c r="H17" s="7" t="s">
        <v>645</v>
      </c>
      <c r="I17" s="7" t="s">
        <v>646</v>
      </c>
      <c r="J17" s="18">
        <v>1</v>
      </c>
    </row>
    <row r="18" spans="1:10" x14ac:dyDescent="0.3">
      <c r="A18" s="6" t="s">
        <v>647</v>
      </c>
      <c r="B18" s="6" t="s">
        <v>470</v>
      </c>
      <c r="C18" s="6" t="s">
        <v>648</v>
      </c>
      <c r="D18" s="6" t="s">
        <v>649</v>
      </c>
      <c r="E18" s="6" t="s">
        <v>650</v>
      </c>
      <c r="F18" s="24">
        <v>43000</v>
      </c>
      <c r="G18" s="6" t="s">
        <v>330</v>
      </c>
      <c r="H18" s="38">
        <v>45566</v>
      </c>
      <c r="I18" s="6" t="s">
        <v>651</v>
      </c>
      <c r="J18" s="18">
        <v>1</v>
      </c>
    </row>
    <row r="19" spans="1:10" x14ac:dyDescent="0.3">
      <c r="A19" s="7" t="s">
        <v>652</v>
      </c>
      <c r="B19" s="7" t="s">
        <v>474</v>
      </c>
      <c r="C19" s="7" t="s">
        <v>653</v>
      </c>
      <c r="D19" s="7" t="s">
        <v>654</v>
      </c>
      <c r="E19" s="7" t="s">
        <v>655</v>
      </c>
      <c r="F19" s="10">
        <v>149000</v>
      </c>
      <c r="G19" s="7" t="s">
        <v>332</v>
      </c>
      <c r="H19" s="7" t="s">
        <v>601</v>
      </c>
      <c r="I19" s="7" t="s">
        <v>656</v>
      </c>
      <c r="J19" s="18">
        <v>1</v>
      </c>
    </row>
    <row r="20" spans="1:10" x14ac:dyDescent="0.3">
      <c r="A20" s="6" t="s">
        <v>657</v>
      </c>
      <c r="B20" s="6" t="s">
        <v>478</v>
      </c>
      <c r="C20" s="6" t="s">
        <v>658</v>
      </c>
      <c r="D20" s="6" t="s">
        <v>659</v>
      </c>
      <c r="E20" s="6" t="s">
        <v>660</v>
      </c>
      <c r="F20" s="24">
        <v>68000</v>
      </c>
      <c r="G20" s="6" t="s">
        <v>330</v>
      </c>
      <c r="H20" s="6" t="s">
        <v>518</v>
      </c>
      <c r="I20" s="6" t="s">
        <v>661</v>
      </c>
      <c r="J20" s="18">
        <v>1</v>
      </c>
    </row>
    <row r="21" spans="1:10" x14ac:dyDescent="0.3">
      <c r="A21" s="7" t="s">
        <v>662</v>
      </c>
      <c r="B21" s="7" t="s">
        <v>482</v>
      </c>
      <c r="C21" s="7" t="s">
        <v>663</v>
      </c>
      <c r="D21" s="7" t="s">
        <v>664</v>
      </c>
      <c r="E21" s="7" t="s">
        <v>483</v>
      </c>
      <c r="F21" s="10">
        <v>76000</v>
      </c>
      <c r="G21" s="7" t="s">
        <v>328</v>
      </c>
      <c r="H21" s="37">
        <v>45295</v>
      </c>
      <c r="I21" s="7" t="s">
        <v>665</v>
      </c>
      <c r="J21" s="18">
        <v>1</v>
      </c>
    </row>
    <row r="22" spans="1:10" x14ac:dyDescent="0.3">
      <c r="A22" s="6" t="s">
        <v>666</v>
      </c>
      <c r="B22" s="6" t="s">
        <v>488</v>
      </c>
      <c r="C22" s="6" t="s">
        <v>667</v>
      </c>
      <c r="D22" s="6" t="s">
        <v>668</v>
      </c>
      <c r="E22" s="6" t="s">
        <v>489</v>
      </c>
      <c r="F22" s="24">
        <v>205000</v>
      </c>
      <c r="G22" s="6" t="s">
        <v>330</v>
      </c>
      <c r="H22" s="6" t="s">
        <v>669</v>
      </c>
      <c r="I22" s="6" t="s">
        <v>670</v>
      </c>
      <c r="J22" s="18">
        <v>1</v>
      </c>
    </row>
    <row r="23" spans="1:10" x14ac:dyDescent="0.3">
      <c r="A23" s="7" t="s">
        <v>671</v>
      </c>
      <c r="B23" s="7" t="s">
        <v>491</v>
      </c>
      <c r="C23" s="7" t="s">
        <v>672</v>
      </c>
      <c r="D23" s="7"/>
      <c r="E23" s="7" t="s">
        <v>673</v>
      </c>
      <c r="F23" s="10">
        <v>0</v>
      </c>
      <c r="G23" s="7"/>
      <c r="H23" s="7"/>
      <c r="I23" s="7" t="s">
        <v>674</v>
      </c>
      <c r="J23" s="31">
        <v>0</v>
      </c>
    </row>
    <row r="24" spans="1:10" x14ac:dyDescent="0.3">
      <c r="A24" s="6" t="s">
        <v>675</v>
      </c>
      <c r="B24" s="6" t="s">
        <v>496</v>
      </c>
      <c r="C24" s="6" t="s">
        <v>676</v>
      </c>
      <c r="D24" s="6" t="s">
        <v>677</v>
      </c>
      <c r="E24" s="6" t="s">
        <v>678</v>
      </c>
      <c r="F24" s="24">
        <v>84000</v>
      </c>
      <c r="G24" s="6" t="s">
        <v>328</v>
      </c>
      <c r="H24" s="6" t="s">
        <v>679</v>
      </c>
      <c r="I24" s="6" t="s">
        <v>680</v>
      </c>
      <c r="J24" s="18">
        <v>1</v>
      </c>
    </row>
    <row r="25" spans="1:10" x14ac:dyDescent="0.3">
      <c r="A25" s="7" t="s">
        <v>681</v>
      </c>
      <c r="B25" s="7" t="s">
        <v>500</v>
      </c>
      <c r="C25" s="7" t="s">
        <v>682</v>
      </c>
      <c r="D25" s="7" t="s">
        <v>683</v>
      </c>
      <c r="E25" s="7" t="s">
        <v>576</v>
      </c>
      <c r="F25" s="10">
        <v>980000</v>
      </c>
      <c r="G25" s="7" t="s">
        <v>328</v>
      </c>
      <c r="H25" s="37">
        <v>45297</v>
      </c>
      <c r="I25" s="7" t="s">
        <v>684</v>
      </c>
      <c r="J25" s="18">
        <v>1</v>
      </c>
    </row>
  </sheetData>
  <mergeCells count="2">
    <mergeCell ref="A1:J1"/>
    <mergeCell ref="A2:J2"/>
  </mergeCells>
  <hyperlinks>
    <hyperlink ref="A1" location="'H01_PARAMETROS_GENERALES'!A1" tooltip="Volver a H01_PARAMETROS_GENERALES" display="🔙 Volver al Índice" xr:uid="{5D90CC87-F202-4147-8C0D-970BC0A3B59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2E7A-DF7E-4D8C-B007-1B45C10F73F5}">
  <dimension ref="A1:I65"/>
  <sheetViews>
    <sheetView workbookViewId="0">
      <pane ySplit="5" topLeftCell="A6" activePane="bottomLeft" state="frozen"/>
      <selection pane="bottomLeft" sqref="A1:I1"/>
    </sheetView>
  </sheetViews>
  <sheetFormatPr baseColWidth="10" defaultRowHeight="14.4" x14ac:dyDescent="0.3"/>
  <cols>
    <col min="1" max="2" width="14.77734375" customWidth="1"/>
    <col min="3" max="3" width="11.109375" customWidth="1"/>
    <col min="4" max="4" width="29.6640625" customWidth="1"/>
    <col min="5" max="5" width="48.109375" customWidth="1"/>
    <col min="6" max="6" width="18.5546875" customWidth="1"/>
    <col min="7" max="7" width="16.6640625" customWidth="1"/>
    <col min="8" max="8" width="11.109375" customWidth="1"/>
    <col min="9" max="9" width="37" customWidth="1"/>
  </cols>
  <sheetData>
    <row r="1" spans="1:9" x14ac:dyDescent="0.3">
      <c r="A1" s="458" t="s">
        <v>2717</v>
      </c>
      <c r="B1" s="459"/>
      <c r="C1" s="459"/>
      <c r="D1" s="459"/>
      <c r="E1" s="459"/>
      <c r="F1" s="459"/>
      <c r="G1" s="459"/>
      <c r="H1" s="459"/>
      <c r="I1" s="459"/>
    </row>
    <row r="2" spans="1:9" x14ac:dyDescent="0.3">
      <c r="A2" s="460" t="s">
        <v>685</v>
      </c>
      <c r="B2" s="455"/>
      <c r="C2" s="455"/>
      <c r="D2" s="455"/>
      <c r="E2" s="455"/>
      <c r="F2" s="455"/>
      <c r="G2" s="455"/>
      <c r="H2" s="455"/>
      <c r="I2" s="455"/>
    </row>
    <row r="3" spans="1:9" x14ac:dyDescent="0.3">
      <c r="A3" s="470" t="s">
        <v>686</v>
      </c>
      <c r="B3" s="471"/>
      <c r="C3" s="471"/>
      <c r="D3" s="471"/>
      <c r="E3" s="471"/>
      <c r="F3" s="471"/>
      <c r="G3" s="471"/>
      <c r="H3" s="471"/>
      <c r="I3" s="471"/>
    </row>
    <row r="5" spans="1:9" x14ac:dyDescent="0.3">
      <c r="A5" s="5" t="s">
        <v>687</v>
      </c>
      <c r="B5" s="5" t="s">
        <v>385</v>
      </c>
      <c r="C5" s="5" t="s">
        <v>688</v>
      </c>
      <c r="D5" s="5" t="s">
        <v>689</v>
      </c>
      <c r="E5" s="5" t="s">
        <v>690</v>
      </c>
      <c r="F5" s="5" t="s">
        <v>691</v>
      </c>
      <c r="G5" s="5" t="s">
        <v>584</v>
      </c>
      <c r="H5" s="5" t="s">
        <v>692</v>
      </c>
      <c r="I5" s="5" t="s">
        <v>693</v>
      </c>
    </row>
    <row r="6" spans="1:9" x14ac:dyDescent="0.3">
      <c r="A6" s="6" t="s">
        <v>694</v>
      </c>
      <c r="B6" s="6" t="s">
        <v>401</v>
      </c>
      <c r="C6" s="6" t="s">
        <v>695</v>
      </c>
      <c r="D6" s="6" t="s">
        <v>696</v>
      </c>
      <c r="E6" s="6" t="s">
        <v>697</v>
      </c>
      <c r="F6" s="17" t="s">
        <v>698</v>
      </c>
      <c r="G6" s="6" t="s">
        <v>699</v>
      </c>
      <c r="H6" s="17">
        <v>1</v>
      </c>
      <c r="I6" s="6" t="s">
        <v>50</v>
      </c>
    </row>
    <row r="7" spans="1:9" x14ac:dyDescent="0.3">
      <c r="A7" s="7" t="s">
        <v>700</v>
      </c>
      <c r="B7" s="7" t="s">
        <v>401</v>
      </c>
      <c r="C7" s="7" t="s">
        <v>695</v>
      </c>
      <c r="D7" s="7" t="s">
        <v>701</v>
      </c>
      <c r="E7" s="7" t="s">
        <v>702</v>
      </c>
      <c r="F7" s="21" t="s">
        <v>703</v>
      </c>
      <c r="G7" s="7"/>
      <c r="H7" s="21">
        <v>0</v>
      </c>
      <c r="I7" s="7" t="s">
        <v>704</v>
      </c>
    </row>
    <row r="8" spans="1:9" x14ac:dyDescent="0.3">
      <c r="A8" s="6" t="s">
        <v>705</v>
      </c>
      <c r="B8" s="6" t="s">
        <v>401</v>
      </c>
      <c r="C8" s="6" t="s">
        <v>695</v>
      </c>
      <c r="D8" s="6" t="s">
        <v>706</v>
      </c>
      <c r="E8" s="6" t="s">
        <v>707</v>
      </c>
      <c r="F8" s="21" t="s">
        <v>703</v>
      </c>
      <c r="G8" s="6"/>
      <c r="H8" s="21">
        <v>0</v>
      </c>
      <c r="I8" s="6" t="s">
        <v>708</v>
      </c>
    </row>
    <row r="9" spans="1:9" x14ac:dyDescent="0.3">
      <c r="A9" s="7" t="s">
        <v>709</v>
      </c>
      <c r="B9" s="7" t="s">
        <v>408</v>
      </c>
      <c r="C9" s="7" t="s">
        <v>695</v>
      </c>
      <c r="D9" s="7" t="s">
        <v>696</v>
      </c>
      <c r="E9" s="7" t="s">
        <v>710</v>
      </c>
      <c r="F9" s="21" t="s">
        <v>703</v>
      </c>
      <c r="G9" s="7"/>
      <c r="H9" s="21">
        <v>0</v>
      </c>
      <c r="I9" s="7" t="s">
        <v>711</v>
      </c>
    </row>
    <row r="10" spans="1:9" x14ac:dyDescent="0.3">
      <c r="A10" s="6" t="s">
        <v>712</v>
      </c>
      <c r="B10" s="6" t="s">
        <v>408</v>
      </c>
      <c r="C10" s="6" t="s">
        <v>695</v>
      </c>
      <c r="D10" s="6" t="s">
        <v>713</v>
      </c>
      <c r="E10" s="6" t="s">
        <v>714</v>
      </c>
      <c r="F10" s="21" t="s">
        <v>703</v>
      </c>
      <c r="G10" s="6"/>
      <c r="H10" s="21">
        <v>0</v>
      </c>
      <c r="I10" s="6" t="s">
        <v>715</v>
      </c>
    </row>
    <row r="11" spans="1:9" x14ac:dyDescent="0.3">
      <c r="A11" s="7" t="s">
        <v>716</v>
      </c>
      <c r="B11" s="7" t="s">
        <v>408</v>
      </c>
      <c r="C11" s="7" t="s">
        <v>695</v>
      </c>
      <c r="D11" s="7" t="s">
        <v>717</v>
      </c>
      <c r="E11" s="7" t="s">
        <v>718</v>
      </c>
      <c r="F11" s="21" t="s">
        <v>703</v>
      </c>
      <c r="G11" s="7"/>
      <c r="H11" s="21">
        <v>0</v>
      </c>
      <c r="I11" s="7" t="s">
        <v>715</v>
      </c>
    </row>
    <row r="12" spans="1:9" x14ac:dyDescent="0.3">
      <c r="A12" s="6" t="s">
        <v>719</v>
      </c>
      <c r="B12" s="6" t="s">
        <v>413</v>
      </c>
      <c r="C12" s="6" t="s">
        <v>695</v>
      </c>
      <c r="D12" s="6" t="s">
        <v>720</v>
      </c>
      <c r="E12" s="6" t="s">
        <v>721</v>
      </c>
      <c r="F12" s="21" t="s">
        <v>703</v>
      </c>
      <c r="G12" s="6"/>
      <c r="H12" s="21">
        <v>0</v>
      </c>
      <c r="I12" s="6" t="s">
        <v>602</v>
      </c>
    </row>
    <row r="13" spans="1:9" x14ac:dyDescent="0.3">
      <c r="A13" s="7" t="s">
        <v>722</v>
      </c>
      <c r="B13" s="7" t="s">
        <v>413</v>
      </c>
      <c r="C13" s="7" t="s">
        <v>695</v>
      </c>
      <c r="D13" s="7" t="s">
        <v>723</v>
      </c>
      <c r="E13" s="7" t="s">
        <v>724</v>
      </c>
      <c r="F13" s="21" t="s">
        <v>703</v>
      </c>
      <c r="G13" s="7"/>
      <c r="H13" s="21">
        <v>0</v>
      </c>
      <c r="I13" s="7" t="s">
        <v>725</v>
      </c>
    </row>
    <row r="14" spans="1:9" x14ac:dyDescent="0.3">
      <c r="A14" s="6" t="s">
        <v>726</v>
      </c>
      <c r="B14" s="6" t="s">
        <v>413</v>
      </c>
      <c r="C14" s="6" t="s">
        <v>695</v>
      </c>
      <c r="D14" s="6" t="s">
        <v>727</v>
      </c>
      <c r="E14" s="6" t="s">
        <v>728</v>
      </c>
      <c r="F14" s="21" t="s">
        <v>703</v>
      </c>
      <c r="G14" s="6"/>
      <c r="H14" s="21">
        <v>0</v>
      </c>
      <c r="I14" s="6" t="s">
        <v>715</v>
      </c>
    </row>
    <row r="15" spans="1:9" x14ac:dyDescent="0.3">
      <c r="A15" s="7" t="s">
        <v>729</v>
      </c>
      <c r="B15" s="7" t="s">
        <v>418</v>
      </c>
      <c r="C15" s="7" t="s">
        <v>695</v>
      </c>
      <c r="D15" s="7" t="s">
        <v>701</v>
      </c>
      <c r="E15" s="7" t="s">
        <v>730</v>
      </c>
      <c r="F15" s="17" t="s">
        <v>698</v>
      </c>
      <c r="G15" s="7" t="s">
        <v>645</v>
      </c>
      <c r="H15" s="17">
        <v>1</v>
      </c>
      <c r="I15" s="7" t="s">
        <v>50</v>
      </c>
    </row>
    <row r="16" spans="1:9" x14ac:dyDescent="0.3">
      <c r="A16" s="6" t="s">
        <v>731</v>
      </c>
      <c r="B16" s="6" t="s">
        <v>418</v>
      </c>
      <c r="C16" s="6" t="s">
        <v>695</v>
      </c>
      <c r="D16" s="6" t="s">
        <v>732</v>
      </c>
      <c r="E16" s="6" t="s">
        <v>733</v>
      </c>
      <c r="F16" s="17" t="s">
        <v>698</v>
      </c>
      <c r="G16" s="6" t="s">
        <v>734</v>
      </c>
      <c r="H16" s="17">
        <v>1</v>
      </c>
      <c r="I16" s="6" t="s">
        <v>50</v>
      </c>
    </row>
    <row r="17" spans="1:9" x14ac:dyDescent="0.3">
      <c r="A17" s="7" t="s">
        <v>735</v>
      </c>
      <c r="B17" s="7" t="s">
        <v>418</v>
      </c>
      <c r="C17" s="7" t="s">
        <v>695</v>
      </c>
      <c r="D17" s="7" t="s">
        <v>696</v>
      </c>
      <c r="E17" s="7" t="s">
        <v>736</v>
      </c>
      <c r="F17" s="17" t="s">
        <v>698</v>
      </c>
      <c r="G17" s="7" t="s">
        <v>699</v>
      </c>
      <c r="H17" s="17">
        <v>1</v>
      </c>
      <c r="I17" s="7" t="s">
        <v>50</v>
      </c>
    </row>
    <row r="18" spans="1:9" x14ac:dyDescent="0.3">
      <c r="A18" s="6" t="s">
        <v>737</v>
      </c>
      <c r="B18" s="6" t="s">
        <v>424</v>
      </c>
      <c r="C18" s="6" t="s">
        <v>695</v>
      </c>
      <c r="D18" s="6" t="s">
        <v>701</v>
      </c>
      <c r="E18" s="6" t="s">
        <v>738</v>
      </c>
      <c r="F18" s="28" t="s">
        <v>739</v>
      </c>
      <c r="G18" s="6"/>
      <c r="H18" s="21">
        <v>0</v>
      </c>
      <c r="I18" s="6" t="s">
        <v>740</v>
      </c>
    </row>
    <row r="19" spans="1:9" x14ac:dyDescent="0.3">
      <c r="A19" s="7" t="s">
        <v>741</v>
      </c>
      <c r="B19" s="7" t="s">
        <v>424</v>
      </c>
      <c r="C19" s="7" t="s">
        <v>695</v>
      </c>
      <c r="D19" s="7" t="s">
        <v>742</v>
      </c>
      <c r="E19" s="7" t="s">
        <v>743</v>
      </c>
      <c r="F19" s="21" t="s">
        <v>703</v>
      </c>
      <c r="G19" s="7"/>
      <c r="H19" s="21">
        <v>0</v>
      </c>
      <c r="I19" s="7" t="s">
        <v>744</v>
      </c>
    </row>
    <row r="20" spans="1:9" x14ac:dyDescent="0.3">
      <c r="A20" s="6" t="s">
        <v>745</v>
      </c>
      <c r="B20" s="6" t="s">
        <v>424</v>
      </c>
      <c r="C20" s="6" t="s">
        <v>695</v>
      </c>
      <c r="D20" s="6" t="s">
        <v>696</v>
      </c>
      <c r="E20" s="6" t="s">
        <v>746</v>
      </c>
      <c r="F20" s="17" t="s">
        <v>698</v>
      </c>
      <c r="G20" s="6" t="s">
        <v>699</v>
      </c>
      <c r="H20" s="17">
        <v>1</v>
      </c>
      <c r="I20" s="6" t="s">
        <v>50</v>
      </c>
    </row>
    <row r="21" spans="1:9" x14ac:dyDescent="0.3">
      <c r="A21" s="7" t="s">
        <v>747</v>
      </c>
      <c r="B21" s="7" t="s">
        <v>430</v>
      </c>
      <c r="C21" s="7" t="s">
        <v>695</v>
      </c>
      <c r="D21" s="7" t="s">
        <v>748</v>
      </c>
      <c r="E21" s="7" t="s">
        <v>749</v>
      </c>
      <c r="F21" s="21" t="s">
        <v>703</v>
      </c>
      <c r="G21" s="7"/>
      <c r="H21" s="21">
        <v>0</v>
      </c>
      <c r="I21" s="7" t="s">
        <v>750</v>
      </c>
    </row>
    <row r="22" spans="1:9" x14ac:dyDescent="0.3">
      <c r="A22" s="6" t="s">
        <v>751</v>
      </c>
      <c r="B22" s="6" t="s">
        <v>430</v>
      </c>
      <c r="C22" s="6" t="s">
        <v>695</v>
      </c>
      <c r="D22" s="6" t="s">
        <v>752</v>
      </c>
      <c r="E22" s="6" t="s">
        <v>753</v>
      </c>
      <c r="F22" s="21" t="s">
        <v>703</v>
      </c>
      <c r="G22" s="6"/>
      <c r="H22" s="21">
        <v>0</v>
      </c>
      <c r="I22" s="6" t="s">
        <v>715</v>
      </c>
    </row>
    <row r="23" spans="1:9" x14ac:dyDescent="0.3">
      <c r="A23" s="7" t="s">
        <v>754</v>
      </c>
      <c r="B23" s="7" t="s">
        <v>430</v>
      </c>
      <c r="C23" s="7" t="s">
        <v>695</v>
      </c>
      <c r="D23" s="7" t="s">
        <v>696</v>
      </c>
      <c r="E23" s="7" t="s">
        <v>755</v>
      </c>
      <c r="F23" s="21" t="s">
        <v>703</v>
      </c>
      <c r="G23" s="7"/>
      <c r="H23" s="21">
        <v>0</v>
      </c>
      <c r="I23" s="7" t="s">
        <v>725</v>
      </c>
    </row>
    <row r="24" spans="1:9" x14ac:dyDescent="0.3">
      <c r="A24" s="6" t="s">
        <v>756</v>
      </c>
      <c r="B24" s="6" t="s">
        <v>436</v>
      </c>
      <c r="C24" s="6" t="s">
        <v>695</v>
      </c>
      <c r="D24" s="6" t="s">
        <v>701</v>
      </c>
      <c r="E24" s="6" t="s">
        <v>757</v>
      </c>
      <c r="F24" s="17" t="s">
        <v>698</v>
      </c>
      <c r="G24" s="6" t="s">
        <v>259</v>
      </c>
      <c r="H24" s="17">
        <v>1</v>
      </c>
      <c r="I24" s="6" t="s">
        <v>50</v>
      </c>
    </row>
    <row r="25" spans="1:9" x14ac:dyDescent="0.3">
      <c r="A25" s="7" t="s">
        <v>758</v>
      </c>
      <c r="B25" s="7" t="s">
        <v>436</v>
      </c>
      <c r="C25" s="7" t="s">
        <v>695</v>
      </c>
      <c r="D25" s="7" t="s">
        <v>742</v>
      </c>
      <c r="E25" s="7" t="s">
        <v>759</v>
      </c>
      <c r="F25" s="21" t="s">
        <v>703</v>
      </c>
      <c r="G25" s="7"/>
      <c r="H25" s="21">
        <v>0</v>
      </c>
      <c r="I25" s="7" t="s">
        <v>760</v>
      </c>
    </row>
    <row r="26" spans="1:9" x14ac:dyDescent="0.3">
      <c r="A26" s="6" t="s">
        <v>761</v>
      </c>
      <c r="B26" s="6" t="s">
        <v>436</v>
      </c>
      <c r="C26" s="6" t="s">
        <v>695</v>
      </c>
      <c r="D26" s="6" t="s">
        <v>696</v>
      </c>
      <c r="E26" s="6" t="s">
        <v>762</v>
      </c>
      <c r="F26" s="17" t="s">
        <v>698</v>
      </c>
      <c r="G26" s="6" t="s">
        <v>699</v>
      </c>
      <c r="H26" s="17">
        <v>1</v>
      </c>
      <c r="I26" s="6" t="s">
        <v>50</v>
      </c>
    </row>
    <row r="27" spans="1:9" x14ac:dyDescent="0.3">
      <c r="A27" s="7" t="s">
        <v>763</v>
      </c>
      <c r="B27" s="7" t="s">
        <v>441</v>
      </c>
      <c r="C27" s="7" t="s">
        <v>695</v>
      </c>
      <c r="D27" s="7" t="s">
        <v>764</v>
      </c>
      <c r="E27" s="7" t="s">
        <v>765</v>
      </c>
      <c r="F27" s="21" t="s">
        <v>703</v>
      </c>
      <c r="G27" s="7"/>
      <c r="H27" s="21">
        <v>0</v>
      </c>
      <c r="I27" s="7" t="s">
        <v>602</v>
      </c>
    </row>
    <row r="28" spans="1:9" x14ac:dyDescent="0.3">
      <c r="A28" s="6" t="s">
        <v>766</v>
      </c>
      <c r="B28" s="6" t="s">
        <v>441</v>
      </c>
      <c r="C28" s="6" t="s">
        <v>695</v>
      </c>
      <c r="D28" s="6" t="s">
        <v>723</v>
      </c>
      <c r="E28" s="6" t="s">
        <v>767</v>
      </c>
      <c r="F28" s="21" t="s">
        <v>703</v>
      </c>
      <c r="G28" s="6"/>
      <c r="H28" s="21">
        <v>0</v>
      </c>
      <c r="I28" s="6" t="s">
        <v>725</v>
      </c>
    </row>
    <row r="29" spans="1:9" x14ac:dyDescent="0.3">
      <c r="A29" s="7" t="s">
        <v>768</v>
      </c>
      <c r="B29" s="7" t="s">
        <v>441</v>
      </c>
      <c r="C29" s="7" t="s">
        <v>695</v>
      </c>
      <c r="D29" s="7" t="s">
        <v>696</v>
      </c>
      <c r="E29" s="7" t="s">
        <v>769</v>
      </c>
      <c r="F29" s="21" t="s">
        <v>703</v>
      </c>
      <c r="G29" s="7"/>
      <c r="H29" s="21">
        <v>0</v>
      </c>
      <c r="I29" s="7" t="s">
        <v>725</v>
      </c>
    </row>
    <row r="30" spans="1:9" x14ac:dyDescent="0.3">
      <c r="A30" s="6" t="s">
        <v>770</v>
      </c>
      <c r="B30" s="6" t="s">
        <v>447</v>
      </c>
      <c r="C30" s="6" t="s">
        <v>695</v>
      </c>
      <c r="D30" s="6" t="s">
        <v>764</v>
      </c>
      <c r="E30" s="6" t="s">
        <v>771</v>
      </c>
      <c r="F30" s="21" t="s">
        <v>703</v>
      </c>
      <c r="G30" s="6"/>
      <c r="H30" s="21">
        <v>0</v>
      </c>
      <c r="I30" s="6" t="s">
        <v>750</v>
      </c>
    </row>
    <row r="31" spans="1:9" x14ac:dyDescent="0.3">
      <c r="A31" s="7" t="s">
        <v>772</v>
      </c>
      <c r="B31" s="7" t="s">
        <v>447</v>
      </c>
      <c r="C31" s="7" t="s">
        <v>695</v>
      </c>
      <c r="D31" s="7" t="s">
        <v>752</v>
      </c>
      <c r="E31" s="7" t="s">
        <v>773</v>
      </c>
      <c r="F31" s="21" t="s">
        <v>703</v>
      </c>
      <c r="G31" s="7"/>
      <c r="H31" s="21">
        <v>0</v>
      </c>
      <c r="I31" s="7" t="s">
        <v>715</v>
      </c>
    </row>
    <row r="32" spans="1:9" x14ac:dyDescent="0.3">
      <c r="A32" s="6" t="s">
        <v>774</v>
      </c>
      <c r="B32" s="6" t="s">
        <v>447</v>
      </c>
      <c r="C32" s="6" t="s">
        <v>695</v>
      </c>
      <c r="D32" s="6" t="s">
        <v>696</v>
      </c>
      <c r="E32" s="6" t="s">
        <v>775</v>
      </c>
      <c r="F32" s="21" t="s">
        <v>703</v>
      </c>
      <c r="G32" s="6"/>
      <c r="H32" s="21">
        <v>0</v>
      </c>
      <c r="I32" s="6" t="s">
        <v>725</v>
      </c>
    </row>
    <row r="33" spans="1:9" x14ac:dyDescent="0.3">
      <c r="A33" s="7" t="s">
        <v>776</v>
      </c>
      <c r="B33" s="7" t="s">
        <v>451</v>
      </c>
      <c r="C33" s="7" t="s">
        <v>695</v>
      </c>
      <c r="D33" s="7" t="s">
        <v>701</v>
      </c>
      <c r="E33" s="7" t="s">
        <v>777</v>
      </c>
      <c r="F33" s="17" t="s">
        <v>698</v>
      </c>
      <c r="G33" s="7" t="s">
        <v>778</v>
      </c>
      <c r="H33" s="17">
        <v>1</v>
      </c>
      <c r="I33" s="7" t="s">
        <v>50</v>
      </c>
    </row>
    <row r="34" spans="1:9" x14ac:dyDescent="0.3">
      <c r="A34" s="6" t="s">
        <v>779</v>
      </c>
      <c r="B34" s="6" t="s">
        <v>451</v>
      </c>
      <c r="C34" s="6" t="s">
        <v>695</v>
      </c>
      <c r="D34" s="6" t="s">
        <v>732</v>
      </c>
      <c r="E34" s="6" t="s">
        <v>780</v>
      </c>
      <c r="F34" s="17" t="s">
        <v>698</v>
      </c>
      <c r="G34" s="6" t="s">
        <v>781</v>
      </c>
      <c r="H34" s="17">
        <v>1</v>
      </c>
      <c r="I34" s="6" t="s">
        <v>50</v>
      </c>
    </row>
    <row r="35" spans="1:9" x14ac:dyDescent="0.3">
      <c r="A35" s="7" t="s">
        <v>782</v>
      </c>
      <c r="B35" s="7" t="s">
        <v>451</v>
      </c>
      <c r="C35" s="7" t="s">
        <v>695</v>
      </c>
      <c r="D35" s="7" t="s">
        <v>696</v>
      </c>
      <c r="E35" s="7" t="s">
        <v>783</v>
      </c>
      <c r="F35" s="17" t="s">
        <v>698</v>
      </c>
      <c r="G35" s="7" t="s">
        <v>699</v>
      </c>
      <c r="H35" s="17">
        <v>1</v>
      </c>
      <c r="I35" s="7" t="s">
        <v>50</v>
      </c>
    </row>
    <row r="36" spans="1:9" x14ac:dyDescent="0.3">
      <c r="A36" s="6" t="s">
        <v>784</v>
      </c>
      <c r="B36" s="6" t="s">
        <v>457</v>
      </c>
      <c r="C36" s="6" t="s">
        <v>695</v>
      </c>
      <c r="D36" s="6" t="s">
        <v>785</v>
      </c>
      <c r="E36" s="6" t="s">
        <v>786</v>
      </c>
      <c r="F36" s="17" t="s">
        <v>698</v>
      </c>
      <c r="G36" s="6" t="s">
        <v>787</v>
      </c>
      <c r="H36" s="17">
        <v>1</v>
      </c>
      <c r="I36" s="6" t="s">
        <v>50</v>
      </c>
    </row>
    <row r="37" spans="1:9" x14ac:dyDescent="0.3">
      <c r="A37" s="7" t="s">
        <v>788</v>
      </c>
      <c r="B37" s="7" t="s">
        <v>457</v>
      </c>
      <c r="C37" s="7" t="s">
        <v>695</v>
      </c>
      <c r="D37" s="7" t="s">
        <v>789</v>
      </c>
      <c r="E37" s="7" t="s">
        <v>790</v>
      </c>
      <c r="F37" s="17" t="s">
        <v>698</v>
      </c>
      <c r="G37" s="37">
        <v>45295</v>
      </c>
      <c r="H37" s="17">
        <v>1</v>
      </c>
      <c r="I37" s="7" t="s">
        <v>50</v>
      </c>
    </row>
    <row r="38" spans="1:9" x14ac:dyDescent="0.3">
      <c r="A38" s="6" t="s">
        <v>791</v>
      </c>
      <c r="B38" s="6" t="s">
        <v>457</v>
      </c>
      <c r="C38" s="6" t="s">
        <v>695</v>
      </c>
      <c r="D38" s="6" t="s">
        <v>696</v>
      </c>
      <c r="E38" s="6" t="s">
        <v>792</v>
      </c>
      <c r="F38" s="17" t="s">
        <v>698</v>
      </c>
      <c r="G38" s="6" t="s">
        <v>699</v>
      </c>
      <c r="H38" s="17">
        <v>1</v>
      </c>
      <c r="I38" s="6" t="s">
        <v>50</v>
      </c>
    </row>
    <row r="39" spans="1:9" x14ac:dyDescent="0.3">
      <c r="A39" s="7" t="s">
        <v>793</v>
      </c>
      <c r="B39" s="7" t="s">
        <v>463</v>
      </c>
      <c r="C39" s="7" t="s">
        <v>695</v>
      </c>
      <c r="D39" s="7" t="s">
        <v>701</v>
      </c>
      <c r="E39" s="7" t="s">
        <v>794</v>
      </c>
      <c r="F39" s="17" t="s">
        <v>698</v>
      </c>
      <c r="G39" s="7" t="s">
        <v>259</v>
      </c>
      <c r="H39" s="17">
        <v>1</v>
      </c>
      <c r="I39" s="7" t="s">
        <v>795</v>
      </c>
    </row>
    <row r="40" spans="1:9" x14ac:dyDescent="0.3">
      <c r="A40" s="6" t="s">
        <v>796</v>
      </c>
      <c r="B40" s="6" t="s">
        <v>463</v>
      </c>
      <c r="C40" s="6" t="s">
        <v>695</v>
      </c>
      <c r="D40" s="6" t="s">
        <v>797</v>
      </c>
      <c r="E40" s="6" t="s">
        <v>798</v>
      </c>
      <c r="F40" s="17" t="s">
        <v>698</v>
      </c>
      <c r="G40" s="6" t="s">
        <v>799</v>
      </c>
      <c r="H40" s="17">
        <v>1</v>
      </c>
      <c r="I40" s="6" t="s">
        <v>800</v>
      </c>
    </row>
    <row r="41" spans="1:9" x14ac:dyDescent="0.3">
      <c r="A41" s="7" t="s">
        <v>801</v>
      </c>
      <c r="B41" s="7" t="s">
        <v>463</v>
      </c>
      <c r="C41" s="7" t="s">
        <v>695</v>
      </c>
      <c r="D41" s="7" t="s">
        <v>696</v>
      </c>
      <c r="E41" s="7" t="s">
        <v>802</v>
      </c>
      <c r="F41" s="17" t="s">
        <v>698</v>
      </c>
      <c r="G41" s="7" t="s">
        <v>699</v>
      </c>
      <c r="H41" s="17">
        <v>1</v>
      </c>
      <c r="I41" s="7" t="s">
        <v>50</v>
      </c>
    </row>
    <row r="42" spans="1:9" x14ac:dyDescent="0.3">
      <c r="A42" s="6" t="s">
        <v>803</v>
      </c>
      <c r="B42" s="6" t="s">
        <v>470</v>
      </c>
      <c r="C42" s="6" t="s">
        <v>695</v>
      </c>
      <c r="D42" s="6" t="s">
        <v>804</v>
      </c>
      <c r="E42" s="6" t="s">
        <v>805</v>
      </c>
      <c r="F42" s="17" t="s">
        <v>698</v>
      </c>
      <c r="G42" s="6" t="s">
        <v>669</v>
      </c>
      <c r="H42" s="17">
        <v>1</v>
      </c>
      <c r="I42" s="6" t="s">
        <v>50</v>
      </c>
    </row>
    <row r="43" spans="1:9" x14ac:dyDescent="0.3">
      <c r="A43" s="7" t="s">
        <v>806</v>
      </c>
      <c r="B43" s="7" t="s">
        <v>470</v>
      </c>
      <c r="C43" s="7" t="s">
        <v>695</v>
      </c>
      <c r="D43" s="7" t="s">
        <v>807</v>
      </c>
      <c r="E43" s="7" t="s">
        <v>808</v>
      </c>
      <c r="F43" s="17" t="s">
        <v>698</v>
      </c>
      <c r="G43" s="7" t="s">
        <v>809</v>
      </c>
      <c r="H43" s="17">
        <v>1</v>
      </c>
      <c r="I43" s="7" t="s">
        <v>50</v>
      </c>
    </row>
    <row r="44" spans="1:9" x14ac:dyDescent="0.3">
      <c r="A44" s="6" t="s">
        <v>810</v>
      </c>
      <c r="B44" s="6" t="s">
        <v>470</v>
      </c>
      <c r="C44" s="6" t="s">
        <v>695</v>
      </c>
      <c r="D44" s="6" t="s">
        <v>696</v>
      </c>
      <c r="E44" s="6" t="s">
        <v>811</v>
      </c>
      <c r="F44" s="17" t="s">
        <v>698</v>
      </c>
      <c r="G44" s="6" t="s">
        <v>699</v>
      </c>
      <c r="H44" s="17">
        <v>1</v>
      </c>
      <c r="I44" s="6" t="s">
        <v>50</v>
      </c>
    </row>
    <row r="45" spans="1:9" x14ac:dyDescent="0.3">
      <c r="A45" s="7" t="s">
        <v>812</v>
      </c>
      <c r="B45" s="7" t="s">
        <v>474</v>
      </c>
      <c r="C45" s="7" t="s">
        <v>695</v>
      </c>
      <c r="D45" s="7" t="s">
        <v>813</v>
      </c>
      <c r="E45" s="7" t="s">
        <v>814</v>
      </c>
      <c r="F45" s="17" t="s">
        <v>698</v>
      </c>
      <c r="G45" s="37">
        <v>45294</v>
      </c>
      <c r="H45" s="17">
        <v>1</v>
      </c>
      <c r="I45" s="7" t="s">
        <v>50</v>
      </c>
    </row>
    <row r="46" spans="1:9" x14ac:dyDescent="0.3">
      <c r="A46" s="6" t="s">
        <v>815</v>
      </c>
      <c r="B46" s="6" t="s">
        <v>474</v>
      </c>
      <c r="C46" s="6" t="s">
        <v>695</v>
      </c>
      <c r="D46" s="6" t="s">
        <v>816</v>
      </c>
      <c r="E46" s="6" t="s">
        <v>817</v>
      </c>
      <c r="F46" s="28" t="s">
        <v>739</v>
      </c>
      <c r="G46" s="6"/>
      <c r="H46" s="21">
        <v>0</v>
      </c>
      <c r="I46" s="6" t="s">
        <v>818</v>
      </c>
    </row>
    <row r="47" spans="1:9" x14ac:dyDescent="0.3">
      <c r="A47" s="7" t="s">
        <v>819</v>
      </c>
      <c r="B47" s="7" t="s">
        <v>474</v>
      </c>
      <c r="C47" s="7" t="s">
        <v>695</v>
      </c>
      <c r="D47" s="7" t="s">
        <v>696</v>
      </c>
      <c r="E47" s="7" t="s">
        <v>820</v>
      </c>
      <c r="F47" s="17" t="s">
        <v>698</v>
      </c>
      <c r="G47" s="7" t="s">
        <v>699</v>
      </c>
      <c r="H47" s="17">
        <v>1</v>
      </c>
      <c r="I47" s="7" t="s">
        <v>50</v>
      </c>
    </row>
    <row r="48" spans="1:9" x14ac:dyDescent="0.3">
      <c r="A48" s="6" t="s">
        <v>821</v>
      </c>
      <c r="B48" s="6" t="s">
        <v>478</v>
      </c>
      <c r="C48" s="6" t="s">
        <v>695</v>
      </c>
      <c r="D48" s="6" t="s">
        <v>822</v>
      </c>
      <c r="E48" s="6" t="s">
        <v>823</v>
      </c>
      <c r="F48" s="17" t="s">
        <v>698</v>
      </c>
      <c r="G48" s="6" t="s">
        <v>699</v>
      </c>
      <c r="H48" s="17">
        <v>1</v>
      </c>
      <c r="I48" s="6" t="s">
        <v>50</v>
      </c>
    </row>
    <row r="49" spans="1:9" x14ac:dyDescent="0.3">
      <c r="A49" s="7" t="s">
        <v>824</v>
      </c>
      <c r="B49" s="7" t="s">
        <v>478</v>
      </c>
      <c r="C49" s="7" t="s">
        <v>695</v>
      </c>
      <c r="D49" s="7" t="s">
        <v>825</v>
      </c>
      <c r="E49" s="7" t="s">
        <v>826</v>
      </c>
      <c r="F49" s="17" t="s">
        <v>698</v>
      </c>
      <c r="G49" s="7" t="s">
        <v>827</v>
      </c>
      <c r="H49" s="17">
        <v>1</v>
      </c>
      <c r="I49" s="7" t="s">
        <v>50</v>
      </c>
    </row>
    <row r="50" spans="1:9" x14ac:dyDescent="0.3">
      <c r="A50" s="6" t="s">
        <v>828</v>
      </c>
      <c r="B50" s="6" t="s">
        <v>478</v>
      </c>
      <c r="C50" s="6" t="s">
        <v>695</v>
      </c>
      <c r="D50" s="6" t="s">
        <v>829</v>
      </c>
      <c r="E50" s="6" t="s">
        <v>830</v>
      </c>
      <c r="F50" s="17" t="s">
        <v>698</v>
      </c>
      <c r="G50" s="6" t="s">
        <v>831</v>
      </c>
      <c r="H50" s="17">
        <v>1</v>
      </c>
      <c r="I50" s="6" t="s">
        <v>50</v>
      </c>
    </row>
    <row r="51" spans="1:9" x14ac:dyDescent="0.3">
      <c r="A51" s="7" t="s">
        <v>832</v>
      </c>
      <c r="B51" s="7" t="s">
        <v>482</v>
      </c>
      <c r="C51" s="7" t="s">
        <v>695</v>
      </c>
      <c r="D51" s="7" t="s">
        <v>833</v>
      </c>
      <c r="E51" s="7" t="s">
        <v>834</v>
      </c>
      <c r="F51" s="17" t="s">
        <v>698</v>
      </c>
      <c r="G51" s="7" t="s">
        <v>835</v>
      </c>
      <c r="H51" s="17">
        <v>1</v>
      </c>
      <c r="I51" s="7" t="s">
        <v>50</v>
      </c>
    </row>
    <row r="52" spans="1:9" x14ac:dyDescent="0.3">
      <c r="A52" s="6" t="s">
        <v>836</v>
      </c>
      <c r="B52" s="6" t="s">
        <v>482</v>
      </c>
      <c r="C52" s="6" t="s">
        <v>695</v>
      </c>
      <c r="D52" s="6" t="s">
        <v>837</v>
      </c>
      <c r="E52" s="6" t="s">
        <v>838</v>
      </c>
      <c r="F52" s="39" t="s">
        <v>839</v>
      </c>
      <c r="G52" s="6"/>
      <c r="H52" s="21">
        <v>0</v>
      </c>
      <c r="I52" s="6" t="s">
        <v>840</v>
      </c>
    </row>
    <row r="53" spans="1:9" x14ac:dyDescent="0.3">
      <c r="A53" s="7" t="s">
        <v>841</v>
      </c>
      <c r="B53" s="7" t="s">
        <v>482</v>
      </c>
      <c r="C53" s="7" t="s">
        <v>695</v>
      </c>
      <c r="D53" s="7" t="s">
        <v>696</v>
      </c>
      <c r="E53" s="7" t="s">
        <v>842</v>
      </c>
      <c r="F53" s="17" t="s">
        <v>698</v>
      </c>
      <c r="G53" s="7" t="s">
        <v>699</v>
      </c>
      <c r="H53" s="17">
        <v>1</v>
      </c>
      <c r="I53" s="7" t="s">
        <v>50</v>
      </c>
    </row>
    <row r="54" spans="1:9" x14ac:dyDescent="0.3">
      <c r="A54" s="6" t="s">
        <v>843</v>
      </c>
      <c r="B54" s="6" t="s">
        <v>488</v>
      </c>
      <c r="C54" s="6" t="s">
        <v>695</v>
      </c>
      <c r="D54" s="6" t="s">
        <v>844</v>
      </c>
      <c r="E54" s="6" t="s">
        <v>845</v>
      </c>
      <c r="F54" s="17" t="s">
        <v>698</v>
      </c>
      <c r="G54" s="38">
        <v>45293</v>
      </c>
      <c r="H54" s="17">
        <v>1</v>
      </c>
      <c r="I54" s="6" t="s">
        <v>50</v>
      </c>
    </row>
    <row r="55" spans="1:9" x14ac:dyDescent="0.3">
      <c r="A55" s="7" t="s">
        <v>846</v>
      </c>
      <c r="B55" s="7" t="s">
        <v>488</v>
      </c>
      <c r="C55" s="7" t="s">
        <v>695</v>
      </c>
      <c r="D55" s="7" t="s">
        <v>732</v>
      </c>
      <c r="E55" s="7" t="s">
        <v>847</v>
      </c>
      <c r="F55" s="17" t="s">
        <v>698</v>
      </c>
      <c r="G55" s="7" t="s">
        <v>848</v>
      </c>
      <c r="H55" s="17">
        <v>1</v>
      </c>
      <c r="I55" s="7" t="s">
        <v>50</v>
      </c>
    </row>
    <row r="56" spans="1:9" x14ac:dyDescent="0.3">
      <c r="A56" s="6" t="s">
        <v>849</v>
      </c>
      <c r="B56" s="6" t="s">
        <v>488</v>
      </c>
      <c r="C56" s="6" t="s">
        <v>695</v>
      </c>
      <c r="D56" s="6" t="s">
        <v>696</v>
      </c>
      <c r="E56" s="6" t="s">
        <v>850</v>
      </c>
      <c r="F56" s="17" t="s">
        <v>698</v>
      </c>
      <c r="G56" s="6" t="s">
        <v>699</v>
      </c>
      <c r="H56" s="17">
        <v>1</v>
      </c>
      <c r="I56" s="6" t="s">
        <v>50</v>
      </c>
    </row>
    <row r="57" spans="1:9" x14ac:dyDescent="0.3">
      <c r="A57" s="7" t="s">
        <v>851</v>
      </c>
      <c r="B57" s="7" t="s">
        <v>491</v>
      </c>
      <c r="C57" s="7" t="s">
        <v>695</v>
      </c>
      <c r="D57" s="7" t="s">
        <v>748</v>
      </c>
      <c r="E57" s="7" t="s">
        <v>852</v>
      </c>
      <c r="F57" s="21" t="s">
        <v>703</v>
      </c>
      <c r="G57" s="7"/>
      <c r="H57" s="21">
        <v>0</v>
      </c>
      <c r="I57" s="7" t="s">
        <v>853</v>
      </c>
    </row>
    <row r="58" spans="1:9" x14ac:dyDescent="0.3">
      <c r="A58" s="6" t="s">
        <v>854</v>
      </c>
      <c r="B58" s="6" t="s">
        <v>491</v>
      </c>
      <c r="C58" s="6" t="s">
        <v>695</v>
      </c>
      <c r="D58" s="6" t="s">
        <v>855</v>
      </c>
      <c r="E58" s="6" t="s">
        <v>856</v>
      </c>
      <c r="F58" s="21" t="s">
        <v>703</v>
      </c>
      <c r="G58" s="6"/>
      <c r="H58" s="21">
        <v>0</v>
      </c>
      <c r="I58" s="6" t="s">
        <v>857</v>
      </c>
    </row>
    <row r="59" spans="1:9" x14ac:dyDescent="0.3">
      <c r="A59" s="7" t="s">
        <v>858</v>
      </c>
      <c r="B59" s="7" t="s">
        <v>491</v>
      </c>
      <c r="C59" s="7" t="s">
        <v>695</v>
      </c>
      <c r="D59" s="7" t="s">
        <v>696</v>
      </c>
      <c r="E59" s="7" t="s">
        <v>859</v>
      </c>
      <c r="F59" s="21" t="s">
        <v>703</v>
      </c>
      <c r="G59" s="7"/>
      <c r="H59" s="21">
        <v>0</v>
      </c>
      <c r="I59" s="7" t="s">
        <v>860</v>
      </c>
    </row>
    <row r="60" spans="1:9" x14ac:dyDescent="0.3">
      <c r="A60" s="6" t="s">
        <v>861</v>
      </c>
      <c r="B60" s="6" t="s">
        <v>496</v>
      </c>
      <c r="C60" s="6" t="s">
        <v>695</v>
      </c>
      <c r="D60" s="6" t="s">
        <v>862</v>
      </c>
      <c r="E60" s="6" t="s">
        <v>863</v>
      </c>
      <c r="F60" s="17" t="s">
        <v>698</v>
      </c>
      <c r="G60" s="38">
        <v>45294</v>
      </c>
      <c r="H60" s="17">
        <v>1</v>
      </c>
      <c r="I60" s="6" t="s">
        <v>50</v>
      </c>
    </row>
    <row r="61" spans="1:9" x14ac:dyDescent="0.3">
      <c r="A61" s="7" t="s">
        <v>864</v>
      </c>
      <c r="B61" s="7" t="s">
        <v>496</v>
      </c>
      <c r="C61" s="7" t="s">
        <v>695</v>
      </c>
      <c r="D61" s="7" t="s">
        <v>865</v>
      </c>
      <c r="E61" s="7" t="s">
        <v>866</v>
      </c>
      <c r="F61" s="17" t="s">
        <v>698</v>
      </c>
      <c r="G61" s="7" t="s">
        <v>867</v>
      </c>
      <c r="H61" s="17">
        <v>1</v>
      </c>
      <c r="I61" s="7" t="s">
        <v>50</v>
      </c>
    </row>
    <row r="62" spans="1:9" x14ac:dyDescent="0.3">
      <c r="A62" s="6" t="s">
        <v>868</v>
      </c>
      <c r="B62" s="6" t="s">
        <v>496</v>
      </c>
      <c r="C62" s="6" t="s">
        <v>695</v>
      </c>
      <c r="D62" s="6" t="s">
        <v>696</v>
      </c>
      <c r="E62" s="6" t="s">
        <v>869</v>
      </c>
      <c r="F62" s="17" t="s">
        <v>698</v>
      </c>
      <c r="G62" s="6" t="s">
        <v>699</v>
      </c>
      <c r="H62" s="17">
        <v>1</v>
      </c>
      <c r="I62" s="6" t="s">
        <v>50</v>
      </c>
    </row>
    <row r="63" spans="1:9" x14ac:dyDescent="0.3">
      <c r="A63" s="7" t="s">
        <v>870</v>
      </c>
      <c r="B63" s="7" t="s">
        <v>500</v>
      </c>
      <c r="C63" s="7" t="s">
        <v>695</v>
      </c>
      <c r="D63" s="7" t="s">
        <v>871</v>
      </c>
      <c r="E63" s="7" t="s">
        <v>872</v>
      </c>
      <c r="F63" s="17" t="s">
        <v>698</v>
      </c>
      <c r="G63" s="7" t="s">
        <v>873</v>
      </c>
      <c r="H63" s="17">
        <v>1</v>
      </c>
      <c r="I63" s="7" t="s">
        <v>874</v>
      </c>
    </row>
    <row r="64" spans="1:9" x14ac:dyDescent="0.3">
      <c r="A64" s="6" t="s">
        <v>875</v>
      </c>
      <c r="B64" s="6" t="s">
        <v>500</v>
      </c>
      <c r="C64" s="6" t="s">
        <v>695</v>
      </c>
      <c r="D64" s="6" t="s">
        <v>876</v>
      </c>
      <c r="E64" s="6" t="s">
        <v>877</v>
      </c>
      <c r="F64" s="17" t="s">
        <v>698</v>
      </c>
      <c r="G64" s="38">
        <v>45298</v>
      </c>
      <c r="H64" s="17">
        <v>1</v>
      </c>
      <c r="I64" s="6" t="s">
        <v>50</v>
      </c>
    </row>
    <row r="65" spans="1:9" x14ac:dyDescent="0.3">
      <c r="A65" s="7" t="s">
        <v>878</v>
      </c>
      <c r="B65" s="7" t="s">
        <v>500</v>
      </c>
      <c r="C65" s="7" t="s">
        <v>695</v>
      </c>
      <c r="D65" s="7" t="s">
        <v>696</v>
      </c>
      <c r="E65" s="7" t="s">
        <v>879</v>
      </c>
      <c r="F65" s="17" t="s">
        <v>698</v>
      </c>
      <c r="G65" s="7" t="s">
        <v>799</v>
      </c>
      <c r="H65" s="17">
        <v>1</v>
      </c>
      <c r="I65" s="7" t="s">
        <v>50</v>
      </c>
    </row>
  </sheetData>
  <mergeCells count="3">
    <mergeCell ref="A1:I1"/>
    <mergeCell ref="A2:I2"/>
    <mergeCell ref="A3:I3"/>
  </mergeCells>
  <hyperlinks>
    <hyperlink ref="A1" location="'H01_PARAMETROS_GENERALES'!A1" tooltip="Volver a H01_PARAMETROS_GENERALES" display="🔙 Volver al Índice" xr:uid="{D2729F93-C85F-45B4-A87D-F4F7C2173A3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146C-55C3-4E58-BFB1-E1C58BB8C536}">
  <dimension ref="A1:L27"/>
  <sheetViews>
    <sheetView workbookViewId="0">
      <pane ySplit="5" topLeftCell="A9" activePane="bottomLeft" state="frozen"/>
      <selection pane="bottomLeft" sqref="A1:L1"/>
    </sheetView>
  </sheetViews>
  <sheetFormatPr baseColWidth="10" defaultRowHeight="14.4" x14ac:dyDescent="0.3"/>
  <cols>
    <col min="1" max="2" width="11.109375" customWidth="1"/>
    <col min="3" max="3" width="22.21875" customWidth="1"/>
    <col min="4" max="10" width="16.6640625" customWidth="1"/>
    <col min="11" max="11" width="11.109375" customWidth="1"/>
    <col min="12" max="12" width="13" customWidth="1"/>
  </cols>
  <sheetData>
    <row r="1" spans="1:12" x14ac:dyDescent="0.3">
      <c r="A1" s="458" t="s">
        <v>2717</v>
      </c>
      <c r="B1" s="459"/>
      <c r="C1" s="459"/>
      <c r="D1" s="459"/>
      <c r="E1" s="459"/>
      <c r="F1" s="459"/>
      <c r="G1" s="459"/>
      <c r="H1" s="459"/>
      <c r="I1" s="459"/>
      <c r="J1" s="459"/>
      <c r="K1" s="459"/>
      <c r="L1" s="459"/>
    </row>
    <row r="2" spans="1:12" x14ac:dyDescent="0.3">
      <c r="A2" s="460" t="s">
        <v>880</v>
      </c>
      <c r="B2" s="455"/>
      <c r="C2" s="455"/>
      <c r="D2" s="455"/>
      <c r="E2" s="455"/>
      <c r="F2" s="455"/>
      <c r="G2" s="455"/>
      <c r="H2" s="455"/>
      <c r="I2" s="455"/>
      <c r="J2" s="455"/>
      <c r="K2" s="455"/>
      <c r="L2" s="455"/>
    </row>
    <row r="3" spans="1:12" x14ac:dyDescent="0.3">
      <c r="A3" s="470" t="s">
        <v>881</v>
      </c>
      <c r="B3" s="471"/>
      <c r="C3" s="471"/>
      <c r="D3" s="471"/>
      <c r="E3" s="471"/>
      <c r="F3" s="471"/>
      <c r="G3" s="471"/>
      <c r="H3" s="471"/>
      <c r="I3" s="471"/>
      <c r="J3" s="471"/>
      <c r="K3" s="471"/>
      <c r="L3" s="471"/>
    </row>
    <row r="5" spans="1:12" x14ac:dyDescent="0.3">
      <c r="A5" s="5" t="s">
        <v>882</v>
      </c>
      <c r="B5" s="5" t="s">
        <v>385</v>
      </c>
      <c r="C5" s="5" t="s">
        <v>883</v>
      </c>
      <c r="D5" s="5" t="s">
        <v>884</v>
      </c>
      <c r="E5" s="5" t="s">
        <v>885</v>
      </c>
      <c r="F5" s="5" t="s">
        <v>886</v>
      </c>
      <c r="G5" s="5" t="s">
        <v>887</v>
      </c>
      <c r="H5" s="5" t="s">
        <v>888</v>
      </c>
      <c r="I5" s="5" t="s">
        <v>889</v>
      </c>
      <c r="J5" s="5" t="s">
        <v>890</v>
      </c>
      <c r="K5" s="5" t="s">
        <v>178</v>
      </c>
      <c r="L5" s="5" t="s">
        <v>891</v>
      </c>
    </row>
    <row r="6" spans="1:12" x14ac:dyDescent="0.3">
      <c r="A6" s="6" t="s">
        <v>892</v>
      </c>
      <c r="B6" s="6" t="s">
        <v>401</v>
      </c>
      <c r="C6" s="6" t="s">
        <v>893</v>
      </c>
      <c r="D6" s="24">
        <v>2125000</v>
      </c>
      <c r="E6" s="24">
        <v>0</v>
      </c>
      <c r="F6" s="24">
        <v>2125000</v>
      </c>
      <c r="G6" s="24">
        <v>270938</v>
      </c>
      <c r="H6" s="24">
        <v>812813</v>
      </c>
      <c r="I6" s="24">
        <v>1806250</v>
      </c>
      <c r="J6" s="24">
        <v>1806250</v>
      </c>
      <c r="K6" s="40">
        <f t="shared" ref="K6:K25" si="0">J6/F6</f>
        <v>0.85</v>
      </c>
      <c r="L6" s="18">
        <f t="shared" ref="L6:L25" si="1">IF(J6&gt;0,1,0)</f>
        <v>1</v>
      </c>
    </row>
    <row r="7" spans="1:12" x14ac:dyDescent="0.3">
      <c r="A7" s="7" t="s">
        <v>894</v>
      </c>
      <c r="B7" s="7" t="s">
        <v>408</v>
      </c>
      <c r="C7" s="7" t="s">
        <v>895</v>
      </c>
      <c r="D7" s="10">
        <v>1550000</v>
      </c>
      <c r="E7" s="10">
        <v>0</v>
      </c>
      <c r="F7" s="10">
        <v>1550000</v>
      </c>
      <c r="G7" s="10">
        <v>13950</v>
      </c>
      <c r="H7" s="10">
        <v>41850</v>
      </c>
      <c r="I7" s="10">
        <v>93000</v>
      </c>
      <c r="J7" s="10">
        <v>93000</v>
      </c>
      <c r="K7" s="40">
        <f t="shared" si="0"/>
        <v>0.06</v>
      </c>
      <c r="L7" s="18">
        <f t="shared" si="1"/>
        <v>1</v>
      </c>
    </row>
    <row r="8" spans="1:12" x14ac:dyDescent="0.3">
      <c r="A8" s="6" t="s">
        <v>896</v>
      </c>
      <c r="B8" s="6" t="s">
        <v>413</v>
      </c>
      <c r="C8" s="6" t="s">
        <v>897</v>
      </c>
      <c r="D8" s="24">
        <v>450000</v>
      </c>
      <c r="E8" s="24">
        <v>0</v>
      </c>
      <c r="F8" s="24">
        <v>450000</v>
      </c>
      <c r="G8" s="24">
        <v>0</v>
      </c>
      <c r="H8" s="24">
        <v>0</v>
      </c>
      <c r="I8" s="24">
        <v>0</v>
      </c>
      <c r="J8" s="24">
        <v>0</v>
      </c>
      <c r="K8" s="40">
        <f t="shared" si="0"/>
        <v>0</v>
      </c>
      <c r="L8" s="31">
        <f t="shared" si="1"/>
        <v>0</v>
      </c>
    </row>
    <row r="9" spans="1:12" x14ac:dyDescent="0.3">
      <c r="A9" s="7" t="s">
        <v>898</v>
      </c>
      <c r="B9" s="7" t="s">
        <v>418</v>
      </c>
      <c r="C9" s="7" t="s">
        <v>899</v>
      </c>
      <c r="D9" s="10">
        <v>800000</v>
      </c>
      <c r="E9" s="10">
        <v>0</v>
      </c>
      <c r="F9" s="10">
        <v>800000</v>
      </c>
      <c r="G9" s="10">
        <v>108000</v>
      </c>
      <c r="H9" s="10">
        <v>324000</v>
      </c>
      <c r="I9" s="10">
        <v>720000</v>
      </c>
      <c r="J9" s="10">
        <v>720000</v>
      </c>
      <c r="K9" s="42">
        <f t="shared" si="0"/>
        <v>0.9</v>
      </c>
      <c r="L9" s="18">
        <f t="shared" si="1"/>
        <v>1</v>
      </c>
    </row>
    <row r="10" spans="1:12" x14ac:dyDescent="0.3">
      <c r="A10" s="6" t="s">
        <v>900</v>
      </c>
      <c r="B10" s="6" t="s">
        <v>424</v>
      </c>
      <c r="C10" s="6" t="s">
        <v>901</v>
      </c>
      <c r="D10" s="24">
        <v>375000</v>
      </c>
      <c r="E10" s="24">
        <v>0</v>
      </c>
      <c r="F10" s="24">
        <v>375000</v>
      </c>
      <c r="G10" s="24">
        <v>42188</v>
      </c>
      <c r="H10" s="24">
        <v>126563</v>
      </c>
      <c r="I10" s="24">
        <v>281250</v>
      </c>
      <c r="J10" s="24">
        <v>281250</v>
      </c>
      <c r="K10" s="43">
        <f t="shared" si="0"/>
        <v>0.75</v>
      </c>
      <c r="L10" s="18">
        <f t="shared" si="1"/>
        <v>1</v>
      </c>
    </row>
    <row r="11" spans="1:12" x14ac:dyDescent="0.3">
      <c r="A11" s="7" t="s">
        <v>902</v>
      </c>
      <c r="B11" s="7" t="s">
        <v>430</v>
      </c>
      <c r="C11" s="7" t="s">
        <v>903</v>
      </c>
      <c r="D11" s="10">
        <v>700000</v>
      </c>
      <c r="E11" s="10">
        <v>0</v>
      </c>
      <c r="F11" s="10">
        <v>700000</v>
      </c>
      <c r="G11" s="10">
        <v>8400</v>
      </c>
      <c r="H11" s="10">
        <v>25200</v>
      </c>
      <c r="I11" s="10">
        <v>56000</v>
      </c>
      <c r="J11" s="10">
        <v>56000</v>
      </c>
      <c r="K11" s="40">
        <f t="shared" si="0"/>
        <v>0.08</v>
      </c>
      <c r="L11" s="18">
        <f t="shared" si="1"/>
        <v>1</v>
      </c>
    </row>
    <row r="12" spans="1:12" x14ac:dyDescent="0.3">
      <c r="A12" s="6" t="s">
        <v>904</v>
      </c>
      <c r="B12" s="6" t="s">
        <v>436</v>
      </c>
      <c r="C12" s="6" t="s">
        <v>905</v>
      </c>
      <c r="D12" s="24">
        <v>237500</v>
      </c>
      <c r="E12" s="24">
        <v>0</v>
      </c>
      <c r="F12" s="24">
        <v>237500</v>
      </c>
      <c r="G12" s="24">
        <v>27788</v>
      </c>
      <c r="H12" s="24">
        <v>83363</v>
      </c>
      <c r="I12" s="24">
        <v>185250</v>
      </c>
      <c r="J12" s="24">
        <v>185250</v>
      </c>
      <c r="K12" s="43">
        <f t="shared" si="0"/>
        <v>0.78</v>
      </c>
      <c r="L12" s="18">
        <f t="shared" si="1"/>
        <v>1</v>
      </c>
    </row>
    <row r="13" spans="1:12" x14ac:dyDescent="0.3">
      <c r="A13" s="7" t="s">
        <v>906</v>
      </c>
      <c r="B13" s="7" t="s">
        <v>441</v>
      </c>
      <c r="C13" s="7" t="s">
        <v>907</v>
      </c>
      <c r="D13" s="10">
        <v>300000</v>
      </c>
      <c r="E13" s="10">
        <v>0</v>
      </c>
      <c r="F13" s="10">
        <v>300000</v>
      </c>
      <c r="G13" s="10">
        <v>0</v>
      </c>
      <c r="H13" s="10">
        <v>0</v>
      </c>
      <c r="I13" s="10">
        <v>0</v>
      </c>
      <c r="J13" s="10">
        <v>0</v>
      </c>
      <c r="K13" s="40">
        <f t="shared" si="0"/>
        <v>0</v>
      </c>
      <c r="L13" s="31">
        <f t="shared" si="1"/>
        <v>0</v>
      </c>
    </row>
    <row r="14" spans="1:12" x14ac:dyDescent="0.3">
      <c r="A14" s="6" t="s">
        <v>908</v>
      </c>
      <c r="B14" s="6" t="s">
        <v>447</v>
      </c>
      <c r="C14" s="6" t="s">
        <v>909</v>
      </c>
      <c r="D14" s="24">
        <v>525000</v>
      </c>
      <c r="E14" s="24">
        <v>0</v>
      </c>
      <c r="F14" s="24">
        <v>525000</v>
      </c>
      <c r="G14" s="24">
        <v>7875</v>
      </c>
      <c r="H14" s="24">
        <v>23625</v>
      </c>
      <c r="I14" s="24">
        <v>52500</v>
      </c>
      <c r="J14" s="24">
        <v>52500</v>
      </c>
      <c r="K14" s="40">
        <f t="shared" si="0"/>
        <v>0.1</v>
      </c>
      <c r="L14" s="18">
        <f t="shared" si="1"/>
        <v>1</v>
      </c>
    </row>
    <row r="15" spans="1:12" x14ac:dyDescent="0.3">
      <c r="A15" s="7" t="s">
        <v>910</v>
      </c>
      <c r="B15" s="7" t="s">
        <v>451</v>
      </c>
      <c r="C15" s="7" t="s">
        <v>911</v>
      </c>
      <c r="D15" s="10">
        <v>112500</v>
      </c>
      <c r="E15" s="10">
        <v>0</v>
      </c>
      <c r="F15" s="10">
        <v>112500</v>
      </c>
      <c r="G15" s="10">
        <v>16875</v>
      </c>
      <c r="H15" s="10">
        <v>50625</v>
      </c>
      <c r="I15" s="10">
        <v>112500</v>
      </c>
      <c r="J15" s="10">
        <v>112500</v>
      </c>
      <c r="K15" s="42">
        <f t="shared" si="0"/>
        <v>1</v>
      </c>
      <c r="L15" s="18">
        <f t="shared" si="1"/>
        <v>1</v>
      </c>
    </row>
    <row r="16" spans="1:12" x14ac:dyDescent="0.3">
      <c r="A16" s="6" t="s">
        <v>912</v>
      </c>
      <c r="B16" s="6" t="s">
        <v>457</v>
      </c>
      <c r="C16" s="6" t="s">
        <v>913</v>
      </c>
      <c r="D16" s="24">
        <v>450000</v>
      </c>
      <c r="E16" s="24">
        <v>0</v>
      </c>
      <c r="F16" s="24">
        <v>450000</v>
      </c>
      <c r="G16" s="24">
        <v>47250</v>
      </c>
      <c r="H16" s="24">
        <v>141750</v>
      </c>
      <c r="I16" s="24">
        <v>315000</v>
      </c>
      <c r="J16" s="24">
        <v>315000</v>
      </c>
      <c r="K16" s="43">
        <f t="shared" si="0"/>
        <v>0.7</v>
      </c>
      <c r="L16" s="18">
        <f t="shared" si="1"/>
        <v>1</v>
      </c>
    </row>
    <row r="17" spans="1:12" x14ac:dyDescent="0.3">
      <c r="A17" s="7" t="s">
        <v>914</v>
      </c>
      <c r="B17" s="7" t="s">
        <v>463</v>
      </c>
      <c r="C17" s="7" t="s">
        <v>915</v>
      </c>
      <c r="D17" s="10">
        <v>95000</v>
      </c>
      <c r="E17" s="10">
        <v>0</v>
      </c>
      <c r="F17" s="10">
        <v>95000</v>
      </c>
      <c r="G17" s="10">
        <v>1140</v>
      </c>
      <c r="H17" s="10">
        <v>3420</v>
      </c>
      <c r="I17" s="10">
        <v>7600</v>
      </c>
      <c r="J17" s="10">
        <v>7600</v>
      </c>
      <c r="K17" s="40">
        <f t="shared" si="0"/>
        <v>0.08</v>
      </c>
      <c r="L17" s="18">
        <f t="shared" si="1"/>
        <v>1</v>
      </c>
    </row>
    <row r="18" spans="1:12" x14ac:dyDescent="0.3">
      <c r="A18" s="6" t="s">
        <v>916</v>
      </c>
      <c r="B18" s="6" t="s">
        <v>470</v>
      </c>
      <c r="C18" s="6" t="s">
        <v>917</v>
      </c>
      <c r="D18" s="24">
        <v>45000</v>
      </c>
      <c r="E18" s="24">
        <v>0</v>
      </c>
      <c r="F18" s="24">
        <v>45000</v>
      </c>
      <c r="G18" s="24">
        <v>6750</v>
      </c>
      <c r="H18" s="24">
        <v>20250</v>
      </c>
      <c r="I18" s="24">
        <v>45000</v>
      </c>
      <c r="J18" s="24">
        <v>45000</v>
      </c>
      <c r="K18" s="42">
        <f t="shared" si="0"/>
        <v>1</v>
      </c>
      <c r="L18" s="18">
        <f t="shared" si="1"/>
        <v>1</v>
      </c>
    </row>
    <row r="19" spans="1:12" x14ac:dyDescent="0.3">
      <c r="A19" s="7" t="s">
        <v>918</v>
      </c>
      <c r="B19" s="7" t="s">
        <v>474</v>
      </c>
      <c r="C19" s="7" t="s">
        <v>919</v>
      </c>
      <c r="D19" s="10">
        <v>155000</v>
      </c>
      <c r="E19" s="10">
        <v>0</v>
      </c>
      <c r="F19" s="10">
        <v>155000</v>
      </c>
      <c r="G19" s="10">
        <v>16275</v>
      </c>
      <c r="H19" s="10">
        <v>48825</v>
      </c>
      <c r="I19" s="10">
        <v>108500</v>
      </c>
      <c r="J19" s="10">
        <v>108500</v>
      </c>
      <c r="K19" s="43">
        <f t="shared" si="0"/>
        <v>0.7</v>
      </c>
      <c r="L19" s="18">
        <f t="shared" si="1"/>
        <v>1</v>
      </c>
    </row>
    <row r="20" spans="1:12" x14ac:dyDescent="0.3">
      <c r="A20" s="6" t="s">
        <v>920</v>
      </c>
      <c r="B20" s="6" t="s">
        <v>478</v>
      </c>
      <c r="C20" s="6" t="s">
        <v>921</v>
      </c>
      <c r="D20" s="24">
        <v>70000</v>
      </c>
      <c r="E20" s="24">
        <v>0</v>
      </c>
      <c r="F20" s="24">
        <v>70000</v>
      </c>
      <c r="G20" s="24">
        <v>10500</v>
      </c>
      <c r="H20" s="24">
        <v>31500</v>
      </c>
      <c r="I20" s="24">
        <v>70000</v>
      </c>
      <c r="J20" s="24">
        <v>70000</v>
      </c>
      <c r="K20" s="42">
        <f t="shared" si="0"/>
        <v>1</v>
      </c>
      <c r="L20" s="18">
        <f t="shared" si="1"/>
        <v>1</v>
      </c>
    </row>
    <row r="21" spans="1:12" x14ac:dyDescent="0.3">
      <c r="A21" s="7" t="s">
        <v>922</v>
      </c>
      <c r="B21" s="7" t="s">
        <v>482</v>
      </c>
      <c r="C21" s="7" t="s">
        <v>923</v>
      </c>
      <c r="D21" s="10">
        <v>80000</v>
      </c>
      <c r="E21" s="10">
        <v>0</v>
      </c>
      <c r="F21" s="10">
        <v>80000</v>
      </c>
      <c r="G21" s="10">
        <v>9600</v>
      </c>
      <c r="H21" s="10">
        <v>28800</v>
      </c>
      <c r="I21" s="10">
        <v>64000</v>
      </c>
      <c r="J21" s="10">
        <v>64000</v>
      </c>
      <c r="K21" s="43">
        <f t="shared" si="0"/>
        <v>0.8</v>
      </c>
      <c r="L21" s="18">
        <f t="shared" si="1"/>
        <v>1</v>
      </c>
    </row>
    <row r="22" spans="1:12" x14ac:dyDescent="0.3">
      <c r="A22" s="6" t="s">
        <v>924</v>
      </c>
      <c r="B22" s="6" t="s">
        <v>488</v>
      </c>
      <c r="C22" s="6" t="s">
        <v>925</v>
      </c>
      <c r="D22" s="24">
        <v>212500</v>
      </c>
      <c r="E22" s="24">
        <v>0</v>
      </c>
      <c r="F22" s="24">
        <v>212500</v>
      </c>
      <c r="G22" s="24">
        <v>28688</v>
      </c>
      <c r="H22" s="24">
        <v>86063</v>
      </c>
      <c r="I22" s="24">
        <v>191250</v>
      </c>
      <c r="J22" s="24">
        <v>191250</v>
      </c>
      <c r="K22" s="42">
        <f t="shared" si="0"/>
        <v>0.9</v>
      </c>
      <c r="L22" s="18">
        <f t="shared" si="1"/>
        <v>1</v>
      </c>
    </row>
    <row r="23" spans="1:12" x14ac:dyDescent="0.3">
      <c r="A23" s="7" t="s">
        <v>926</v>
      </c>
      <c r="B23" s="7" t="s">
        <v>491</v>
      </c>
      <c r="C23" s="7" t="s">
        <v>927</v>
      </c>
      <c r="D23" s="10">
        <v>105000</v>
      </c>
      <c r="E23" s="10">
        <v>0</v>
      </c>
      <c r="F23" s="10">
        <v>105000</v>
      </c>
      <c r="G23" s="10">
        <v>0</v>
      </c>
      <c r="H23" s="10">
        <v>0</v>
      </c>
      <c r="I23" s="10">
        <v>0</v>
      </c>
      <c r="J23" s="10">
        <v>0</v>
      </c>
      <c r="K23" s="40">
        <f t="shared" si="0"/>
        <v>0</v>
      </c>
      <c r="L23" s="31">
        <f t="shared" si="1"/>
        <v>0</v>
      </c>
    </row>
    <row r="24" spans="1:12" x14ac:dyDescent="0.3">
      <c r="A24" s="6" t="s">
        <v>928</v>
      </c>
      <c r="B24" s="6" t="s">
        <v>496</v>
      </c>
      <c r="C24" s="6" t="s">
        <v>929</v>
      </c>
      <c r="D24" s="24">
        <v>87500</v>
      </c>
      <c r="E24" s="24">
        <v>0</v>
      </c>
      <c r="F24" s="24">
        <v>87500</v>
      </c>
      <c r="G24" s="24">
        <v>10500</v>
      </c>
      <c r="H24" s="24">
        <v>31500</v>
      </c>
      <c r="I24" s="24">
        <v>70000</v>
      </c>
      <c r="J24" s="24">
        <v>70000</v>
      </c>
      <c r="K24" s="43">
        <f t="shared" si="0"/>
        <v>0.8</v>
      </c>
      <c r="L24" s="18">
        <f t="shared" si="1"/>
        <v>1</v>
      </c>
    </row>
    <row r="25" spans="1:12" x14ac:dyDescent="0.3">
      <c r="A25" s="7" t="s">
        <v>930</v>
      </c>
      <c r="B25" s="7" t="s">
        <v>500</v>
      </c>
      <c r="C25" s="7" t="s">
        <v>931</v>
      </c>
      <c r="D25" s="10">
        <v>1050000</v>
      </c>
      <c r="E25" s="10">
        <v>0</v>
      </c>
      <c r="F25" s="10">
        <v>1050000</v>
      </c>
      <c r="G25" s="10">
        <v>31500</v>
      </c>
      <c r="H25" s="10">
        <v>94500</v>
      </c>
      <c r="I25" s="10">
        <v>210000</v>
      </c>
      <c r="J25" s="10">
        <v>210000</v>
      </c>
      <c r="K25" s="40">
        <f t="shared" si="0"/>
        <v>0.2</v>
      </c>
      <c r="L25" s="31">
        <f t="shared" si="1"/>
        <v>1</v>
      </c>
    </row>
    <row r="27" spans="1:12" x14ac:dyDescent="0.3">
      <c r="A27" s="5" t="s">
        <v>932</v>
      </c>
      <c r="B27" s="5"/>
      <c r="C27" s="5"/>
      <c r="D27" s="45">
        <f>SUM(D6:D25)</f>
        <v>9525000</v>
      </c>
      <c r="E27" s="5"/>
      <c r="F27" s="45">
        <f>SUM(F6:F25)</f>
        <v>9525000</v>
      </c>
      <c r="G27" s="45">
        <f>SUM(G6:G25)</f>
        <v>658217</v>
      </c>
      <c r="H27" s="45">
        <f>SUM(H6:H25)</f>
        <v>1974647</v>
      </c>
      <c r="I27" s="45"/>
      <c r="J27" s="45">
        <f>SUM(J6:J25)</f>
        <v>4388100</v>
      </c>
      <c r="K27" s="46">
        <f>J27/F27</f>
        <v>0.4606929133858268</v>
      </c>
      <c r="L27" s="5"/>
    </row>
  </sheetData>
  <mergeCells count="3">
    <mergeCell ref="A1:L1"/>
    <mergeCell ref="A2:L2"/>
    <mergeCell ref="A3:L3"/>
  </mergeCells>
  <hyperlinks>
    <hyperlink ref="A1" location="'H01_PARAMETROS_GENERALES'!A1" tooltip="Volver a H01_PARAMETROS_GENERALES" display="🔙 Volver al Índice" xr:uid="{AFFF38BA-8FBC-4D4B-9073-D8EBBB4BAB3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3EC9-4ED2-418B-BD5D-EDB0A96DC231}">
  <dimension ref="A1:I25"/>
  <sheetViews>
    <sheetView workbookViewId="0">
      <pane ySplit="5" topLeftCell="A6" activePane="bottomLeft" state="frozen"/>
      <selection pane="bottomLeft" sqref="A1:I1"/>
    </sheetView>
  </sheetViews>
  <sheetFormatPr baseColWidth="10" defaultRowHeight="14.4" x14ac:dyDescent="0.3"/>
  <cols>
    <col min="1" max="2" width="14.77734375" customWidth="1"/>
    <col min="3" max="3" width="13" customWidth="1"/>
    <col min="4" max="4" width="18.5546875" customWidth="1"/>
    <col min="5" max="5" width="14.77734375" customWidth="1"/>
    <col min="6" max="6" width="11.109375" customWidth="1"/>
    <col min="7" max="7" width="51.88671875" customWidth="1"/>
    <col min="8" max="8" width="18.5546875" customWidth="1"/>
    <col min="9" max="9" width="13" customWidth="1"/>
  </cols>
  <sheetData>
    <row r="1" spans="1:9" x14ac:dyDescent="0.3">
      <c r="A1" s="458" t="s">
        <v>2717</v>
      </c>
      <c r="B1" s="459"/>
      <c r="C1" s="459"/>
      <c r="D1" s="459"/>
      <c r="E1" s="459"/>
      <c r="F1" s="459"/>
      <c r="G1" s="459"/>
      <c r="H1" s="459"/>
      <c r="I1" s="459"/>
    </row>
    <row r="2" spans="1:9" x14ac:dyDescent="0.3">
      <c r="A2" s="460" t="s">
        <v>933</v>
      </c>
      <c r="B2" s="455"/>
      <c r="C2" s="455"/>
      <c r="D2" s="455"/>
      <c r="E2" s="455"/>
      <c r="F2" s="455"/>
      <c r="G2" s="455"/>
      <c r="H2" s="455"/>
      <c r="I2" s="455"/>
    </row>
    <row r="3" spans="1:9" x14ac:dyDescent="0.3">
      <c r="A3" s="470" t="s">
        <v>934</v>
      </c>
      <c r="B3" s="471"/>
      <c r="C3" s="471"/>
      <c r="D3" s="471"/>
      <c r="E3" s="471"/>
      <c r="F3" s="471"/>
      <c r="G3" s="471"/>
      <c r="H3" s="471"/>
      <c r="I3" s="471"/>
    </row>
    <row r="5" spans="1:9" x14ac:dyDescent="0.3">
      <c r="A5" s="5" t="s">
        <v>935</v>
      </c>
      <c r="B5" s="5" t="s">
        <v>385</v>
      </c>
      <c r="C5" s="5" t="s">
        <v>936</v>
      </c>
      <c r="D5" s="5" t="s">
        <v>937</v>
      </c>
      <c r="E5" s="5" t="s">
        <v>359</v>
      </c>
      <c r="F5" s="5" t="s">
        <v>938</v>
      </c>
      <c r="G5" s="5" t="s">
        <v>939</v>
      </c>
      <c r="H5" s="5" t="s">
        <v>940</v>
      </c>
      <c r="I5" s="5" t="s">
        <v>941</v>
      </c>
    </row>
    <row r="6" spans="1:9" x14ac:dyDescent="0.3">
      <c r="A6" s="6" t="s">
        <v>942</v>
      </c>
      <c r="B6" s="6" t="s">
        <v>401</v>
      </c>
      <c r="C6" s="6" t="s">
        <v>943</v>
      </c>
      <c r="D6" s="6"/>
      <c r="E6" s="6"/>
      <c r="F6" s="6"/>
      <c r="G6" s="6"/>
      <c r="H6" s="6"/>
      <c r="I6" s="31">
        <v>0</v>
      </c>
    </row>
    <row r="7" spans="1:9" x14ac:dyDescent="0.3">
      <c r="A7" s="7" t="s">
        <v>944</v>
      </c>
      <c r="B7" s="7" t="s">
        <v>408</v>
      </c>
      <c r="C7" s="7" t="s">
        <v>943</v>
      </c>
      <c r="D7" s="7"/>
      <c r="E7" s="7"/>
      <c r="F7" s="7"/>
      <c r="G7" s="7"/>
      <c r="H7" s="7"/>
      <c r="I7" s="31">
        <v>0</v>
      </c>
    </row>
    <row r="8" spans="1:9" x14ac:dyDescent="0.3">
      <c r="A8" s="6" t="s">
        <v>945</v>
      </c>
      <c r="B8" s="6" t="s">
        <v>413</v>
      </c>
      <c r="C8" s="6" t="s">
        <v>943</v>
      </c>
      <c r="D8" s="6"/>
      <c r="E8" s="6"/>
      <c r="F8" s="6"/>
      <c r="G8" s="6"/>
      <c r="H8" s="6"/>
      <c r="I8" s="31">
        <v>0</v>
      </c>
    </row>
    <row r="9" spans="1:9" x14ac:dyDescent="0.3">
      <c r="A9" s="7" t="s">
        <v>946</v>
      </c>
      <c r="B9" s="7" t="s">
        <v>418</v>
      </c>
      <c r="C9" s="7" t="s">
        <v>947</v>
      </c>
      <c r="D9" s="47">
        <v>0.9</v>
      </c>
      <c r="E9" s="7" t="s">
        <v>948</v>
      </c>
      <c r="F9" s="7">
        <v>18</v>
      </c>
      <c r="G9" s="48" t="s">
        <v>949</v>
      </c>
      <c r="H9" s="7" t="s">
        <v>950</v>
      </c>
      <c r="I9" s="18">
        <v>1</v>
      </c>
    </row>
    <row r="10" spans="1:9" x14ac:dyDescent="0.3">
      <c r="A10" s="6" t="s">
        <v>951</v>
      </c>
      <c r="B10" s="6" t="s">
        <v>424</v>
      </c>
      <c r="C10" s="6" t="s">
        <v>943</v>
      </c>
      <c r="D10" s="6"/>
      <c r="E10" s="6"/>
      <c r="F10" s="6"/>
      <c r="G10" s="6"/>
      <c r="H10" s="6"/>
      <c r="I10" s="31">
        <v>0</v>
      </c>
    </row>
    <row r="11" spans="1:9" x14ac:dyDescent="0.3">
      <c r="A11" s="7" t="s">
        <v>952</v>
      </c>
      <c r="B11" s="7" t="s">
        <v>430</v>
      </c>
      <c r="C11" s="7" t="s">
        <v>943</v>
      </c>
      <c r="D11" s="7"/>
      <c r="E11" s="7"/>
      <c r="F11" s="7"/>
      <c r="G11" s="7"/>
      <c r="H11" s="7"/>
      <c r="I11" s="31">
        <v>0</v>
      </c>
    </row>
    <row r="12" spans="1:9" x14ac:dyDescent="0.3">
      <c r="A12" s="6" t="s">
        <v>953</v>
      </c>
      <c r="B12" s="6" t="s">
        <v>436</v>
      </c>
      <c r="C12" s="6" t="s">
        <v>943</v>
      </c>
      <c r="D12" s="6"/>
      <c r="E12" s="6"/>
      <c r="F12" s="6"/>
      <c r="G12" s="6"/>
      <c r="H12" s="6"/>
      <c r="I12" s="31">
        <v>0</v>
      </c>
    </row>
    <row r="13" spans="1:9" x14ac:dyDescent="0.3">
      <c r="A13" s="7" t="s">
        <v>954</v>
      </c>
      <c r="B13" s="7" t="s">
        <v>441</v>
      </c>
      <c r="C13" s="7" t="s">
        <v>943</v>
      </c>
      <c r="D13" s="7"/>
      <c r="E13" s="7"/>
      <c r="F13" s="7"/>
      <c r="G13" s="7"/>
      <c r="H13" s="7"/>
      <c r="I13" s="31">
        <v>0</v>
      </c>
    </row>
    <row r="14" spans="1:9" x14ac:dyDescent="0.3">
      <c r="A14" s="6" t="s">
        <v>955</v>
      </c>
      <c r="B14" s="6" t="s">
        <v>447</v>
      </c>
      <c r="C14" s="6" t="s">
        <v>943</v>
      </c>
      <c r="D14" s="6"/>
      <c r="E14" s="6"/>
      <c r="F14" s="6"/>
      <c r="G14" s="6"/>
      <c r="H14" s="6"/>
      <c r="I14" s="31">
        <v>0</v>
      </c>
    </row>
    <row r="15" spans="1:9" x14ac:dyDescent="0.3">
      <c r="A15" s="7" t="s">
        <v>956</v>
      </c>
      <c r="B15" s="7" t="s">
        <v>451</v>
      </c>
      <c r="C15" s="7" t="s">
        <v>947</v>
      </c>
      <c r="D15" s="47">
        <v>1</v>
      </c>
      <c r="E15" s="7" t="s">
        <v>948</v>
      </c>
      <c r="F15" s="7">
        <v>22</v>
      </c>
      <c r="G15" s="48" t="s">
        <v>957</v>
      </c>
      <c r="H15" s="7" t="s">
        <v>950</v>
      </c>
      <c r="I15" s="18">
        <v>1</v>
      </c>
    </row>
    <row r="16" spans="1:9" x14ac:dyDescent="0.3">
      <c r="A16" s="6" t="s">
        <v>958</v>
      </c>
      <c r="B16" s="6" t="s">
        <v>457</v>
      </c>
      <c r="C16" s="6" t="s">
        <v>943</v>
      </c>
      <c r="D16" s="6"/>
      <c r="E16" s="6"/>
      <c r="F16" s="6"/>
      <c r="G16" s="6"/>
      <c r="H16" s="6"/>
      <c r="I16" s="31">
        <v>0</v>
      </c>
    </row>
    <row r="17" spans="1:9" x14ac:dyDescent="0.3">
      <c r="A17" s="20" t="s">
        <v>959</v>
      </c>
      <c r="B17" s="20" t="s">
        <v>463</v>
      </c>
      <c r="C17" s="20" t="s">
        <v>947</v>
      </c>
      <c r="D17" s="49">
        <v>82.95</v>
      </c>
      <c r="E17" s="20" t="s">
        <v>960</v>
      </c>
      <c r="F17" s="20">
        <v>31</v>
      </c>
      <c r="G17" s="50" t="s">
        <v>961</v>
      </c>
      <c r="H17" s="20" t="s">
        <v>962</v>
      </c>
      <c r="I17" s="51">
        <v>0.5</v>
      </c>
    </row>
    <row r="18" spans="1:9" x14ac:dyDescent="0.3">
      <c r="A18" s="6" t="s">
        <v>963</v>
      </c>
      <c r="B18" s="6" t="s">
        <v>470</v>
      </c>
      <c r="C18" s="6" t="s">
        <v>947</v>
      </c>
      <c r="D18" s="52">
        <v>1</v>
      </c>
      <c r="E18" s="6" t="s">
        <v>948</v>
      </c>
      <c r="F18" s="6">
        <v>25</v>
      </c>
      <c r="G18" s="53" t="s">
        <v>964</v>
      </c>
      <c r="H18" s="6" t="s">
        <v>950</v>
      </c>
      <c r="I18" s="18">
        <v>1</v>
      </c>
    </row>
    <row r="19" spans="1:9" x14ac:dyDescent="0.3">
      <c r="A19" s="7" t="s">
        <v>965</v>
      </c>
      <c r="B19" s="7" t="s">
        <v>474</v>
      </c>
      <c r="C19" s="7" t="s">
        <v>943</v>
      </c>
      <c r="D19" s="7"/>
      <c r="E19" s="7"/>
      <c r="F19" s="7"/>
      <c r="G19" s="7"/>
      <c r="H19" s="7"/>
      <c r="I19" s="31">
        <v>0</v>
      </c>
    </row>
    <row r="20" spans="1:9" x14ac:dyDescent="0.3">
      <c r="A20" s="6" t="s">
        <v>966</v>
      </c>
      <c r="B20" s="6" t="s">
        <v>478</v>
      </c>
      <c r="C20" s="6" t="s">
        <v>947</v>
      </c>
      <c r="D20" s="52">
        <v>1</v>
      </c>
      <c r="E20" s="6" t="s">
        <v>948</v>
      </c>
      <c r="F20" s="6">
        <v>28</v>
      </c>
      <c r="G20" s="53" t="s">
        <v>967</v>
      </c>
      <c r="H20" s="6" t="s">
        <v>950</v>
      </c>
      <c r="I20" s="18">
        <v>1</v>
      </c>
    </row>
    <row r="21" spans="1:9" x14ac:dyDescent="0.3">
      <c r="A21" s="7" t="s">
        <v>968</v>
      </c>
      <c r="B21" s="7" t="s">
        <v>482</v>
      </c>
      <c r="C21" s="7" t="s">
        <v>943</v>
      </c>
      <c r="D21" s="7"/>
      <c r="E21" s="7"/>
      <c r="F21" s="7"/>
      <c r="G21" s="7"/>
      <c r="H21" s="7"/>
      <c r="I21" s="31">
        <v>0</v>
      </c>
    </row>
    <row r="22" spans="1:9" x14ac:dyDescent="0.3">
      <c r="A22" s="6" t="s">
        <v>969</v>
      </c>
      <c r="B22" s="6" t="s">
        <v>488</v>
      </c>
      <c r="C22" s="6" t="s">
        <v>947</v>
      </c>
      <c r="D22" s="52">
        <v>0.9</v>
      </c>
      <c r="E22" s="6" t="s">
        <v>948</v>
      </c>
      <c r="F22" s="6">
        <v>35</v>
      </c>
      <c r="G22" s="53" t="s">
        <v>970</v>
      </c>
      <c r="H22" s="6" t="s">
        <v>950</v>
      </c>
      <c r="I22" s="18">
        <v>1</v>
      </c>
    </row>
    <row r="23" spans="1:9" x14ac:dyDescent="0.3">
      <c r="A23" s="7" t="s">
        <v>971</v>
      </c>
      <c r="B23" s="7" t="s">
        <v>491</v>
      </c>
      <c r="C23" s="7" t="s">
        <v>943</v>
      </c>
      <c r="D23" s="7"/>
      <c r="E23" s="7"/>
      <c r="F23" s="7"/>
      <c r="G23" s="7"/>
      <c r="H23" s="7"/>
      <c r="I23" s="31">
        <v>0</v>
      </c>
    </row>
    <row r="24" spans="1:9" x14ac:dyDescent="0.3">
      <c r="A24" s="6" t="s">
        <v>972</v>
      </c>
      <c r="B24" s="6" t="s">
        <v>496</v>
      </c>
      <c r="C24" s="6" t="s">
        <v>947</v>
      </c>
      <c r="D24" s="52">
        <v>0.8</v>
      </c>
      <c r="E24" s="6" t="s">
        <v>948</v>
      </c>
      <c r="F24" s="6">
        <v>40</v>
      </c>
      <c r="G24" s="53" t="s">
        <v>973</v>
      </c>
      <c r="H24" s="6" t="s">
        <v>950</v>
      </c>
      <c r="I24" s="18">
        <v>1</v>
      </c>
    </row>
    <row r="25" spans="1:9" x14ac:dyDescent="0.3">
      <c r="A25" s="7" t="s">
        <v>974</v>
      </c>
      <c r="B25" s="7" t="s">
        <v>500</v>
      </c>
      <c r="C25" s="7" t="s">
        <v>943</v>
      </c>
      <c r="D25" s="7"/>
      <c r="E25" s="7"/>
      <c r="F25" s="7"/>
      <c r="G25" s="7"/>
      <c r="H25" s="7"/>
      <c r="I25" s="31">
        <v>0</v>
      </c>
    </row>
  </sheetData>
  <mergeCells count="3">
    <mergeCell ref="A1:I1"/>
    <mergeCell ref="A2:I2"/>
    <mergeCell ref="A3:I3"/>
  </mergeCells>
  <hyperlinks>
    <hyperlink ref="A1" location="'H01_PARAMETROS_GENERALES'!A1" tooltip="Volver a H01_PARAMETROS_GENERALES" display="🔙 Volver al Índice" xr:uid="{9091B610-5570-452C-B866-C7B341A361E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A5FE-AF9D-4BCA-98EB-D789168706A2}">
  <dimension ref="A1:N63"/>
  <sheetViews>
    <sheetView topLeftCell="B1" zoomScale="70" zoomScaleNormal="70" workbookViewId="0">
      <selection sqref="A1:N1"/>
    </sheetView>
  </sheetViews>
  <sheetFormatPr baseColWidth="10" defaultRowHeight="14.4" x14ac:dyDescent="0.3"/>
  <cols>
    <col min="1" max="1" width="35.44140625" customWidth="1"/>
    <col min="2" max="2" width="43.5546875" customWidth="1"/>
    <col min="3" max="3" width="48.21875" customWidth="1"/>
    <col min="4" max="4" width="58.44140625" customWidth="1"/>
    <col min="5" max="5" width="22.77734375" customWidth="1"/>
    <col min="9" max="9" width="14.33203125" customWidth="1"/>
    <col min="10" max="10" width="15" customWidth="1"/>
    <col min="11" max="11" width="23.33203125" bestFit="1" customWidth="1"/>
    <col min="12" max="12" width="12.33203125" bestFit="1" customWidth="1"/>
    <col min="14" max="14" width="15.77734375" bestFit="1" customWidth="1"/>
  </cols>
  <sheetData>
    <row r="1" spans="1:14" x14ac:dyDescent="0.3">
      <c r="A1" s="466" t="s">
        <v>2717</v>
      </c>
      <c r="B1" s="466"/>
      <c r="C1" s="466"/>
      <c r="D1" s="466"/>
      <c r="E1" s="466"/>
      <c r="F1" s="466"/>
      <c r="G1" s="466"/>
      <c r="H1" s="466"/>
      <c r="I1" s="466"/>
      <c r="J1" s="466"/>
      <c r="K1" s="466"/>
      <c r="L1" s="466"/>
      <c r="M1" s="466"/>
      <c r="N1" s="466"/>
    </row>
    <row r="2" spans="1:14" x14ac:dyDescent="0.3">
      <c r="A2" s="474" t="s">
        <v>2477</v>
      </c>
      <c r="B2" s="474"/>
      <c r="C2" s="474"/>
      <c r="D2" s="474"/>
      <c r="E2" s="474"/>
      <c r="F2" s="474"/>
      <c r="G2" s="474"/>
      <c r="H2" s="474"/>
      <c r="I2" s="474"/>
      <c r="J2" s="474"/>
      <c r="K2" s="474"/>
      <c r="L2" s="474"/>
      <c r="M2" s="474"/>
      <c r="N2" s="474"/>
    </row>
    <row r="3" spans="1:14" x14ac:dyDescent="0.3">
      <c r="A3" s="322" t="s">
        <v>2478</v>
      </c>
      <c r="B3" s="319"/>
      <c r="C3" s="319"/>
      <c r="D3" s="319"/>
      <c r="E3" s="319"/>
      <c r="F3" s="319"/>
      <c r="G3" s="319"/>
      <c r="H3" s="319"/>
      <c r="I3" s="319"/>
      <c r="J3" s="319"/>
      <c r="K3" s="319"/>
      <c r="L3" s="319"/>
      <c r="M3" s="319"/>
      <c r="N3" s="319"/>
    </row>
    <row r="5" spans="1:14" ht="15.6" x14ac:dyDescent="0.3">
      <c r="A5" s="467" t="s">
        <v>2479</v>
      </c>
      <c r="B5" s="467"/>
      <c r="C5" s="467"/>
      <c r="D5" s="467"/>
      <c r="E5" s="467"/>
      <c r="F5" s="467"/>
      <c r="G5" s="467"/>
      <c r="H5" s="467"/>
      <c r="I5" s="467"/>
      <c r="J5" s="467"/>
      <c r="K5" s="467"/>
      <c r="L5" s="467"/>
      <c r="M5" s="467"/>
      <c r="N5" s="467"/>
    </row>
    <row r="6" spans="1:14" x14ac:dyDescent="0.3">
      <c r="A6" s="229" t="s">
        <v>4</v>
      </c>
      <c r="B6" s="229" t="s">
        <v>5</v>
      </c>
    </row>
    <row r="7" spans="1:14" x14ac:dyDescent="0.3">
      <c r="A7" s="235" t="s">
        <v>8</v>
      </c>
      <c r="B7" s="234" t="s">
        <v>9</v>
      </c>
    </row>
    <row r="8" spans="1:14" x14ac:dyDescent="0.3">
      <c r="A8" s="236" t="s">
        <v>2480</v>
      </c>
      <c r="B8" s="326">
        <v>1360001010001</v>
      </c>
    </row>
    <row r="9" spans="1:14" x14ac:dyDescent="0.3">
      <c r="A9" s="235" t="s">
        <v>2481</v>
      </c>
      <c r="B9" s="234" t="s">
        <v>2482</v>
      </c>
    </row>
    <row r="10" spans="1:14" x14ac:dyDescent="0.3">
      <c r="A10" s="236" t="s">
        <v>2483</v>
      </c>
      <c r="B10" s="237" t="s">
        <v>19</v>
      </c>
    </row>
    <row r="11" spans="1:14" x14ac:dyDescent="0.3">
      <c r="A11" s="235" t="s">
        <v>2484</v>
      </c>
      <c r="B11" s="234" t="s">
        <v>2485</v>
      </c>
    </row>
    <row r="12" spans="1:14" x14ac:dyDescent="0.3">
      <c r="A12" s="236" t="s">
        <v>2486</v>
      </c>
      <c r="B12" s="237" t="s">
        <v>2487</v>
      </c>
    </row>
    <row r="13" spans="1:14" x14ac:dyDescent="0.3">
      <c r="A13" s="235" t="s">
        <v>2488</v>
      </c>
      <c r="B13" s="327">
        <v>52310052</v>
      </c>
    </row>
    <row r="14" spans="1:14" x14ac:dyDescent="0.3">
      <c r="A14" s="236" t="s">
        <v>2489</v>
      </c>
      <c r="B14" s="237" t="s">
        <v>2490</v>
      </c>
    </row>
    <row r="16" spans="1:14" ht="15.6" x14ac:dyDescent="0.3">
      <c r="A16" s="475" t="s">
        <v>2491</v>
      </c>
      <c r="B16" s="475"/>
      <c r="C16" s="475"/>
      <c r="D16" s="475"/>
      <c r="E16" s="475"/>
      <c r="F16" s="475"/>
      <c r="G16" s="475"/>
      <c r="H16" s="475"/>
      <c r="I16" s="475"/>
      <c r="J16" s="475"/>
      <c r="K16" s="475"/>
      <c r="L16" s="475"/>
      <c r="M16" s="475"/>
      <c r="N16" s="475"/>
    </row>
    <row r="17" spans="1:14" x14ac:dyDescent="0.3">
      <c r="A17" s="229" t="s">
        <v>21</v>
      </c>
      <c r="B17" s="229" t="s">
        <v>2492</v>
      </c>
      <c r="C17" s="229" t="s">
        <v>2493</v>
      </c>
      <c r="D17" s="229" t="s">
        <v>2494</v>
      </c>
      <c r="E17" s="229" t="s">
        <v>2495</v>
      </c>
      <c r="F17" s="229" t="s">
        <v>2496</v>
      </c>
      <c r="G17" s="229" t="s">
        <v>2497</v>
      </c>
      <c r="H17" s="229" t="s">
        <v>2498</v>
      </c>
      <c r="I17" s="229" t="s">
        <v>2499</v>
      </c>
      <c r="J17" s="229" t="s">
        <v>2500</v>
      </c>
      <c r="K17" s="229" t="s">
        <v>2501</v>
      </c>
    </row>
    <row r="18" spans="1:14" x14ac:dyDescent="0.3">
      <c r="A18" s="280">
        <v>2023</v>
      </c>
      <c r="B18" s="234">
        <v>5</v>
      </c>
      <c r="C18" s="234">
        <v>13</v>
      </c>
      <c r="D18" s="281">
        <v>1824689.36</v>
      </c>
      <c r="E18" s="281">
        <v>1824689.36</v>
      </c>
      <c r="F18" s="282">
        <v>1</v>
      </c>
      <c r="G18" s="234">
        <v>20</v>
      </c>
      <c r="H18" s="283">
        <v>9525000</v>
      </c>
      <c r="I18" s="284">
        <f>D18/H18</f>
        <v>0.19156843674540683</v>
      </c>
      <c r="J18" s="284">
        <f>B18/G18</f>
        <v>0.25</v>
      </c>
      <c r="K18" s="234" t="str">
        <f>IF(AND(F18&gt;=0.8,I18&lt;0.1),"⚠️ MOM-I ACTIVO Alta",IF(AND(F18&gt;=0.8,I18&lt;0.5),"⚠️ MOM-I ACTIVO Media","Sin señal"))</f>
        <v>⚠️ MOM-I ACTIVO Media</v>
      </c>
    </row>
    <row r="19" spans="1:14" x14ac:dyDescent="0.3">
      <c r="A19" s="286">
        <v>2024</v>
      </c>
      <c r="B19" s="285">
        <v>9</v>
      </c>
      <c r="C19" s="285">
        <v>18</v>
      </c>
      <c r="D19" s="287">
        <v>3939101.48</v>
      </c>
      <c r="E19" s="287">
        <v>3939101.48</v>
      </c>
      <c r="F19" s="288">
        <f>H01_PARAMETROS_GENERALES!B12</f>
        <v>1</v>
      </c>
      <c r="G19" s="285">
        <v>20</v>
      </c>
      <c r="H19" s="289">
        <v>9525000</v>
      </c>
      <c r="I19" s="290">
        <f>D19/H19</f>
        <v>0.41355396115485565</v>
      </c>
      <c r="J19" s="290">
        <f>B19/G19</f>
        <v>0.45</v>
      </c>
      <c r="K19" s="285" t="str">
        <f>IF(AND(F19&gt;=0.8,I19&lt;0.1),"⚠️ MOM-I ACTIVO Alta",IF(AND(F19&gt;=0.8,I19&lt;0.5),"⚠️ MOM-I ACTIVO 🟠 Alta","Sin señal"))</f>
        <v>⚠️ MOM-I ACTIVO 🟠 Alta</v>
      </c>
    </row>
    <row r="21" spans="1:14" ht="15.6" x14ac:dyDescent="0.3">
      <c r="A21" s="467" t="s">
        <v>2502</v>
      </c>
      <c r="B21" s="467"/>
      <c r="C21" s="467"/>
      <c r="D21" s="467"/>
      <c r="E21" s="467"/>
      <c r="F21" s="467"/>
      <c r="G21" s="467"/>
      <c r="H21" s="467"/>
      <c r="I21" s="467"/>
      <c r="J21" s="467"/>
      <c r="K21" s="467"/>
      <c r="L21" s="467"/>
      <c r="M21" s="467"/>
      <c r="N21" s="467"/>
    </row>
    <row r="22" spans="1:14" x14ac:dyDescent="0.3">
      <c r="A22" s="476" t="s">
        <v>2503</v>
      </c>
      <c r="B22" s="476"/>
      <c r="C22" s="476"/>
      <c r="D22" s="476"/>
      <c r="E22" s="476"/>
      <c r="F22" s="476"/>
      <c r="G22" s="476"/>
      <c r="H22" s="476"/>
      <c r="I22" s="476"/>
      <c r="J22" s="476"/>
      <c r="K22" s="476"/>
      <c r="L22" s="476"/>
      <c r="M22" s="476"/>
      <c r="N22" s="476"/>
    </row>
    <row r="23" spans="1:14" x14ac:dyDescent="0.3">
      <c r="A23" s="229" t="s">
        <v>2504</v>
      </c>
      <c r="B23" s="229" t="s">
        <v>2505</v>
      </c>
      <c r="C23" s="229" t="s">
        <v>2506</v>
      </c>
      <c r="D23" s="229" t="s">
        <v>2507</v>
      </c>
      <c r="E23" s="229" t="s">
        <v>2508</v>
      </c>
      <c r="F23" s="229" t="s">
        <v>2509</v>
      </c>
      <c r="G23" s="229" t="s">
        <v>2510</v>
      </c>
      <c r="H23" s="229" t="s">
        <v>2511</v>
      </c>
      <c r="I23" s="229" t="s">
        <v>2512</v>
      </c>
      <c r="J23" s="229" t="s">
        <v>2513</v>
      </c>
      <c r="K23" s="229" t="s">
        <v>2514</v>
      </c>
      <c r="L23" s="229" t="s">
        <v>2515</v>
      </c>
      <c r="M23" s="229" t="s">
        <v>2516</v>
      </c>
      <c r="N23" s="229" t="s">
        <v>2517</v>
      </c>
    </row>
    <row r="24" spans="1:14" x14ac:dyDescent="0.3">
      <c r="A24" t="s">
        <v>2518</v>
      </c>
      <c r="B24" t="s">
        <v>2519</v>
      </c>
      <c r="C24" t="s">
        <v>2520</v>
      </c>
      <c r="D24" t="s">
        <v>2521</v>
      </c>
      <c r="E24">
        <v>2</v>
      </c>
      <c r="F24">
        <v>28</v>
      </c>
      <c r="G24">
        <v>28</v>
      </c>
      <c r="H24" s="291">
        <v>1</v>
      </c>
      <c r="I24" s="292">
        <v>1832219.96</v>
      </c>
      <c r="J24" s="292">
        <v>1832219.96</v>
      </c>
      <c r="K24" s="291">
        <v>1</v>
      </c>
      <c r="L24" t="s">
        <v>470</v>
      </c>
      <c r="M24" s="70" t="s">
        <v>2522</v>
      </c>
      <c r="N24" t="s">
        <v>2522</v>
      </c>
    </row>
    <row r="25" spans="1:14" x14ac:dyDescent="0.3">
      <c r="A25" t="s">
        <v>2523</v>
      </c>
      <c r="B25" t="s">
        <v>2524</v>
      </c>
      <c r="C25" t="s">
        <v>2525</v>
      </c>
      <c r="D25" t="s">
        <v>2526</v>
      </c>
      <c r="E25">
        <v>3</v>
      </c>
      <c r="F25">
        <v>4</v>
      </c>
      <c r="G25">
        <v>4</v>
      </c>
      <c r="H25" s="291">
        <v>1</v>
      </c>
      <c r="I25" s="292">
        <v>1434654.52</v>
      </c>
      <c r="J25" s="292">
        <v>1434654.52</v>
      </c>
      <c r="K25" s="291">
        <v>1</v>
      </c>
      <c r="L25" t="s">
        <v>401</v>
      </c>
      <c r="M25" s="70" t="s">
        <v>2522</v>
      </c>
      <c r="N25" t="s">
        <v>2522</v>
      </c>
    </row>
    <row r="26" spans="1:14" x14ac:dyDescent="0.3">
      <c r="A26" t="s">
        <v>2527</v>
      </c>
      <c r="B26" t="s">
        <v>2528</v>
      </c>
      <c r="C26" t="s">
        <v>2529</v>
      </c>
      <c r="D26" t="s">
        <v>2530</v>
      </c>
      <c r="E26">
        <v>2</v>
      </c>
      <c r="F26">
        <v>2</v>
      </c>
      <c r="G26">
        <v>2</v>
      </c>
      <c r="H26" s="291">
        <v>1</v>
      </c>
      <c r="I26" s="292">
        <v>57205.91</v>
      </c>
      <c r="J26" s="292">
        <v>57205.91</v>
      </c>
      <c r="K26" s="291">
        <v>1</v>
      </c>
      <c r="L26" t="s">
        <v>418</v>
      </c>
      <c r="M26" s="70" t="s">
        <v>2522</v>
      </c>
      <c r="N26" t="s">
        <v>2522</v>
      </c>
    </row>
    <row r="27" spans="1:14" x14ac:dyDescent="0.3">
      <c r="A27" t="s">
        <v>2531</v>
      </c>
      <c r="B27" t="s">
        <v>2532</v>
      </c>
      <c r="C27" t="s">
        <v>2533</v>
      </c>
      <c r="D27" t="s">
        <v>2534</v>
      </c>
      <c r="E27">
        <v>2</v>
      </c>
      <c r="F27">
        <v>3</v>
      </c>
      <c r="G27">
        <v>3</v>
      </c>
      <c r="H27" s="291">
        <v>1</v>
      </c>
      <c r="I27" s="292">
        <v>185000</v>
      </c>
      <c r="J27" s="292">
        <v>185000</v>
      </c>
      <c r="K27" s="291">
        <v>1</v>
      </c>
      <c r="L27" t="s">
        <v>482</v>
      </c>
      <c r="M27" s="70" t="s">
        <v>2522</v>
      </c>
      <c r="N27" t="s">
        <v>2522</v>
      </c>
    </row>
    <row r="28" spans="1:14" x14ac:dyDescent="0.3">
      <c r="A28" t="s">
        <v>2535</v>
      </c>
      <c r="B28" t="s">
        <v>2536</v>
      </c>
      <c r="C28" t="s">
        <v>2537</v>
      </c>
      <c r="D28" t="s">
        <v>2538</v>
      </c>
      <c r="E28">
        <v>2</v>
      </c>
      <c r="F28">
        <v>2438</v>
      </c>
      <c r="G28">
        <v>2438</v>
      </c>
      <c r="H28" s="291">
        <v>1</v>
      </c>
      <c r="I28" s="292">
        <v>198000</v>
      </c>
      <c r="J28" s="292">
        <v>198000</v>
      </c>
      <c r="K28" s="291">
        <v>1</v>
      </c>
      <c r="L28" t="s">
        <v>408</v>
      </c>
      <c r="M28" s="70" t="s">
        <v>2522</v>
      </c>
      <c r="N28" t="s">
        <v>2522</v>
      </c>
    </row>
    <row r="29" spans="1:14" x14ac:dyDescent="0.3">
      <c r="A29" t="s">
        <v>2539</v>
      </c>
      <c r="B29" t="s">
        <v>2540</v>
      </c>
      <c r="C29" t="s">
        <v>2541</v>
      </c>
      <c r="D29" t="s">
        <v>2542</v>
      </c>
      <c r="E29">
        <v>1</v>
      </c>
      <c r="F29">
        <v>1</v>
      </c>
      <c r="G29">
        <v>1</v>
      </c>
      <c r="H29" s="291">
        <v>1</v>
      </c>
      <c r="I29" s="292">
        <v>95000</v>
      </c>
      <c r="J29" s="292">
        <v>95000</v>
      </c>
      <c r="K29" s="291">
        <v>1</v>
      </c>
      <c r="L29" t="s">
        <v>474</v>
      </c>
      <c r="M29" s="70" t="s">
        <v>2522</v>
      </c>
      <c r="N29" t="s">
        <v>2522</v>
      </c>
    </row>
    <row r="30" spans="1:14" x14ac:dyDescent="0.3">
      <c r="A30" t="s">
        <v>2543</v>
      </c>
      <c r="B30" t="s">
        <v>2544</v>
      </c>
      <c r="C30" t="s">
        <v>2545</v>
      </c>
      <c r="D30" t="s">
        <v>2546</v>
      </c>
      <c r="E30">
        <v>2</v>
      </c>
      <c r="F30">
        <v>120</v>
      </c>
      <c r="G30">
        <v>120</v>
      </c>
      <c r="H30" s="291">
        <v>1</v>
      </c>
      <c r="I30" s="292">
        <v>42000</v>
      </c>
      <c r="J30" s="292">
        <v>42000</v>
      </c>
      <c r="K30" s="291">
        <v>1</v>
      </c>
      <c r="L30" t="s">
        <v>496</v>
      </c>
      <c r="M30" s="70" t="s">
        <v>2522</v>
      </c>
      <c r="N30" t="s">
        <v>2522</v>
      </c>
    </row>
    <row r="31" spans="1:14" x14ac:dyDescent="0.3">
      <c r="A31" t="s">
        <v>2547</v>
      </c>
      <c r="B31" t="s">
        <v>2548</v>
      </c>
      <c r="C31" t="s">
        <v>2549</v>
      </c>
      <c r="D31" t="s">
        <v>2550</v>
      </c>
      <c r="E31">
        <v>2</v>
      </c>
      <c r="F31">
        <v>49</v>
      </c>
      <c r="G31">
        <v>49</v>
      </c>
      <c r="H31" s="291">
        <v>1</v>
      </c>
      <c r="I31" s="292">
        <v>55021</v>
      </c>
      <c r="J31" s="292">
        <v>55021</v>
      </c>
      <c r="K31" s="291">
        <v>1</v>
      </c>
      <c r="L31" t="s">
        <v>457</v>
      </c>
      <c r="M31" s="70" t="s">
        <v>2522</v>
      </c>
      <c r="N31" t="s">
        <v>2522</v>
      </c>
    </row>
    <row r="32" spans="1:14" x14ac:dyDescent="0.3">
      <c r="A32" t="s">
        <v>2551</v>
      </c>
      <c r="B32" t="s">
        <v>2552</v>
      </c>
      <c r="C32" t="s">
        <v>2553</v>
      </c>
      <c r="D32" t="s">
        <v>2554</v>
      </c>
      <c r="E32">
        <v>2</v>
      </c>
      <c r="F32">
        <v>1</v>
      </c>
      <c r="G32">
        <v>1</v>
      </c>
      <c r="H32" s="291">
        <v>1</v>
      </c>
      <c r="I32" s="292">
        <v>40000</v>
      </c>
      <c r="J32" s="292">
        <v>40000</v>
      </c>
      <c r="K32" s="291">
        <v>1</v>
      </c>
      <c r="L32" t="s">
        <v>500</v>
      </c>
      <c r="M32" s="70" t="s">
        <v>2522</v>
      </c>
      <c r="N32" t="s">
        <v>2522</v>
      </c>
    </row>
    <row r="33" spans="1:14" x14ac:dyDescent="0.3">
      <c r="A33" s="270" t="s">
        <v>2555</v>
      </c>
      <c r="B33" s="270" t="s">
        <v>2556</v>
      </c>
      <c r="M33" s="31" t="s">
        <v>2557</v>
      </c>
    </row>
    <row r="34" spans="1:14" x14ac:dyDescent="0.3">
      <c r="A34" t="s">
        <v>2558</v>
      </c>
      <c r="B34" t="s">
        <v>2559</v>
      </c>
      <c r="C34" t="s">
        <v>2560</v>
      </c>
      <c r="D34" t="s">
        <v>2561</v>
      </c>
      <c r="L34" t="s">
        <v>488</v>
      </c>
      <c r="M34" s="293" t="s">
        <v>2557</v>
      </c>
      <c r="N34" t="s">
        <v>2522</v>
      </c>
    </row>
    <row r="35" spans="1:14" x14ac:dyDescent="0.3">
      <c r="A35" t="s">
        <v>2558</v>
      </c>
      <c r="B35" t="s">
        <v>2562</v>
      </c>
      <c r="C35" t="s">
        <v>2563</v>
      </c>
      <c r="D35" t="s">
        <v>2564</v>
      </c>
      <c r="L35" t="s">
        <v>413</v>
      </c>
      <c r="M35" s="293" t="s">
        <v>2557</v>
      </c>
      <c r="N35" t="s">
        <v>2522</v>
      </c>
    </row>
    <row r="36" spans="1:14" x14ac:dyDescent="0.3">
      <c r="A36" t="s">
        <v>2558</v>
      </c>
      <c r="B36" t="s">
        <v>2565</v>
      </c>
      <c r="C36" t="s">
        <v>2566</v>
      </c>
      <c r="D36" t="s">
        <v>2567</v>
      </c>
      <c r="L36" t="s">
        <v>436</v>
      </c>
      <c r="M36" s="293" t="s">
        <v>2557</v>
      </c>
      <c r="N36" t="s">
        <v>2522</v>
      </c>
    </row>
    <row r="37" spans="1:14" x14ac:dyDescent="0.3">
      <c r="A37" t="s">
        <v>2558</v>
      </c>
      <c r="B37" t="s">
        <v>2568</v>
      </c>
      <c r="C37" t="s">
        <v>2569</v>
      </c>
      <c r="D37" t="s">
        <v>2570</v>
      </c>
      <c r="L37" t="s">
        <v>430</v>
      </c>
      <c r="M37" s="293" t="s">
        <v>2557</v>
      </c>
      <c r="N37" t="s">
        <v>2522</v>
      </c>
    </row>
    <row r="38" spans="1:14" x14ac:dyDescent="0.3">
      <c r="A38" t="s">
        <v>2558</v>
      </c>
      <c r="B38" t="s">
        <v>2571</v>
      </c>
      <c r="C38" t="s">
        <v>2572</v>
      </c>
      <c r="D38" t="s">
        <v>2573</v>
      </c>
      <c r="L38" t="s">
        <v>424</v>
      </c>
      <c r="M38" s="293" t="s">
        <v>2557</v>
      </c>
      <c r="N38" t="s">
        <v>2522</v>
      </c>
    </row>
    <row r="39" spans="1:14" x14ac:dyDescent="0.3">
      <c r="A39" t="s">
        <v>2558</v>
      </c>
      <c r="B39" t="s">
        <v>2574</v>
      </c>
      <c r="C39" t="s">
        <v>2575</v>
      </c>
      <c r="D39" t="s">
        <v>2576</v>
      </c>
      <c r="L39" t="s">
        <v>451</v>
      </c>
      <c r="M39" s="293" t="s">
        <v>2557</v>
      </c>
      <c r="N39" t="s">
        <v>2522</v>
      </c>
    </row>
    <row r="40" spans="1:14" x14ac:dyDescent="0.3">
      <c r="A40" t="s">
        <v>2558</v>
      </c>
      <c r="B40" t="s">
        <v>2565</v>
      </c>
      <c r="C40" t="s">
        <v>2577</v>
      </c>
      <c r="D40" t="s">
        <v>2578</v>
      </c>
      <c r="L40" t="s">
        <v>441</v>
      </c>
      <c r="M40" s="293" t="s">
        <v>2557</v>
      </c>
      <c r="N40" t="s">
        <v>2522</v>
      </c>
    </row>
    <row r="41" spans="1:14" x14ac:dyDescent="0.3">
      <c r="A41" t="s">
        <v>2558</v>
      </c>
      <c r="B41" t="s">
        <v>2579</v>
      </c>
      <c r="C41" t="s">
        <v>2580</v>
      </c>
      <c r="D41" t="s">
        <v>2581</v>
      </c>
      <c r="L41" t="s">
        <v>491</v>
      </c>
      <c r="M41" s="293" t="s">
        <v>2557</v>
      </c>
      <c r="N41" t="s">
        <v>2522</v>
      </c>
    </row>
    <row r="43" spans="1:14" ht="15.6" x14ac:dyDescent="0.3">
      <c r="A43" s="477" t="s">
        <v>2582</v>
      </c>
      <c r="B43" s="477"/>
      <c r="C43" s="477"/>
      <c r="D43" s="477"/>
      <c r="E43" s="477"/>
      <c r="F43" s="477"/>
      <c r="G43" s="477"/>
      <c r="H43" s="477"/>
      <c r="I43" s="477"/>
      <c r="J43" s="477"/>
      <c r="K43" s="477"/>
      <c r="L43" s="477"/>
      <c r="M43" s="477"/>
    </row>
    <row r="44" spans="1:14" x14ac:dyDescent="0.3">
      <c r="A44" s="472" t="s">
        <v>2583</v>
      </c>
      <c r="B44" s="472"/>
      <c r="C44" s="472"/>
      <c r="D44" s="472"/>
      <c r="E44" s="472"/>
      <c r="F44" s="472"/>
      <c r="G44" s="472"/>
      <c r="H44" s="472"/>
      <c r="I44" s="472"/>
      <c r="J44" s="472"/>
      <c r="K44" s="472"/>
      <c r="L44" s="472"/>
      <c r="M44" s="472"/>
    </row>
    <row r="45" spans="1:14" x14ac:dyDescent="0.3">
      <c r="A45" s="229" t="s">
        <v>4</v>
      </c>
      <c r="B45" s="229" t="s">
        <v>5</v>
      </c>
      <c r="C45" s="229" t="s">
        <v>1130</v>
      </c>
    </row>
    <row r="46" spans="1:14" x14ac:dyDescent="0.3">
      <c r="A46" s="235" t="s">
        <v>2584</v>
      </c>
      <c r="B46" s="234">
        <f>B19</f>
        <v>9</v>
      </c>
      <c r="C46" s="323" t="s">
        <v>2585</v>
      </c>
    </row>
    <row r="47" spans="1:14" x14ac:dyDescent="0.3">
      <c r="A47" s="236" t="s">
        <v>2586</v>
      </c>
      <c r="B47" s="237">
        <f>G19</f>
        <v>20</v>
      </c>
      <c r="C47" s="324" t="s">
        <v>2587</v>
      </c>
    </row>
    <row r="48" spans="1:14" x14ac:dyDescent="0.3">
      <c r="A48" s="235" t="s">
        <v>2588</v>
      </c>
      <c r="B48" s="284">
        <f>J19</f>
        <v>0.45</v>
      </c>
      <c r="C48" s="323">
        <f>B46/B47</f>
        <v>0.45</v>
      </c>
    </row>
    <row r="49" spans="1:13" x14ac:dyDescent="0.3">
      <c r="A49" s="236" t="s">
        <v>2589</v>
      </c>
      <c r="B49" s="294">
        <f>D19</f>
        <v>3939101.48</v>
      </c>
      <c r="C49" s="324" t="s">
        <v>2590</v>
      </c>
    </row>
    <row r="50" spans="1:13" x14ac:dyDescent="0.3">
      <c r="A50" s="235" t="s">
        <v>2591</v>
      </c>
      <c r="B50" s="283">
        <f>H19</f>
        <v>9525000</v>
      </c>
      <c r="C50" s="323" t="s">
        <v>2592</v>
      </c>
    </row>
    <row r="51" spans="1:13" ht="15.6" x14ac:dyDescent="0.3">
      <c r="A51" s="236" t="s">
        <v>2593</v>
      </c>
      <c r="B51" s="295">
        <f>I19</f>
        <v>0.41355396115485565</v>
      </c>
      <c r="C51" s="325">
        <f>B49/B50</f>
        <v>0.41355396115485565</v>
      </c>
    </row>
    <row r="52" spans="1:13" ht="15.6" x14ac:dyDescent="0.3">
      <c r="A52" s="235" t="s">
        <v>2594</v>
      </c>
      <c r="B52" s="297">
        <f>H01_PARAMETROS_GENERALES!B12</f>
        <v>1</v>
      </c>
      <c r="C52" s="323" t="s">
        <v>2595</v>
      </c>
    </row>
    <row r="53" spans="1:13" ht="15.6" x14ac:dyDescent="0.3">
      <c r="A53" s="236" t="s">
        <v>2596</v>
      </c>
      <c r="B53" s="298">
        <f>H14_CALCULO_ICPI!B32/100</f>
        <v>0.41236255973405345</v>
      </c>
      <c r="C53" s="324" t="s">
        <v>2597</v>
      </c>
    </row>
    <row r="54" spans="1:13" ht="18" x14ac:dyDescent="0.35">
      <c r="A54" s="299" t="s">
        <v>2598</v>
      </c>
      <c r="B54" s="300">
        <f>B52*100-B53*100</f>
        <v>58.763744026594658</v>
      </c>
      <c r="C54" s="299" t="s">
        <v>2611</v>
      </c>
    </row>
    <row r="55" spans="1:13" ht="15.6" x14ac:dyDescent="0.3">
      <c r="A55" s="301" t="s">
        <v>2599</v>
      </c>
      <c r="B55" s="302" t="str">
        <f>IF(AND(B52&gt;=0.8,B51&lt;0.5),"⚠️ FRAGMENTACIÓN SELECTIVA CONFIRMADA: ICM="&amp;TEXT(B52,"0%")&amp;" sobre solo "&amp;TEXT(B51,"0.0%")&amp;" del presupuesto estratégico SIAP. Brecha: "&amp;TEXT(B54,"0.0")&amp;"pp. §3.6.1","Sin señal MOM-I")</f>
        <v>⚠️ FRAGMENTACIÓN SELECTIVA CONFIRMADA: ICM=100% sobre solo 41% del presupuesto estratégico SIAP. Brecha: 59pp. §3.6.1</v>
      </c>
    </row>
    <row r="56" spans="1:13" ht="15.6" x14ac:dyDescent="0.3">
      <c r="A56" s="235" t="s">
        <v>1136</v>
      </c>
      <c r="B56" s="296" t="str">
        <f>IF(B51&lt;0.2,"🔴 CRÍTICA",IF(B51&lt;0.4,"🟠 ALTA",IF(B51&lt;0.5,"💛 ALTA-MEDIA","🟡 MEDIA")))</f>
        <v>💛 ALTA-MEDIA</v>
      </c>
      <c r="C56" s="276" t="s">
        <v>2600</v>
      </c>
    </row>
    <row r="57" spans="1:13" x14ac:dyDescent="0.3">
      <c r="A57" s="227" t="s">
        <v>2601</v>
      </c>
      <c r="B57" s="279" t="s">
        <v>2602</v>
      </c>
    </row>
    <row r="59" spans="1:13" x14ac:dyDescent="0.3">
      <c r="A59" s="473" t="s">
        <v>2603</v>
      </c>
      <c r="B59" s="473"/>
      <c r="C59" s="473"/>
      <c r="D59" s="473"/>
      <c r="E59" s="473"/>
      <c r="F59" s="473"/>
      <c r="G59" s="473"/>
      <c r="H59" s="473"/>
      <c r="I59" s="473"/>
      <c r="J59" s="473"/>
      <c r="K59" s="473"/>
      <c r="L59" s="473"/>
      <c r="M59" s="473"/>
    </row>
    <row r="60" spans="1:13" x14ac:dyDescent="0.3">
      <c r="A60" t="s">
        <v>2604</v>
      </c>
      <c r="B60" s="303">
        <v>8712580.5199999996</v>
      </c>
      <c r="C60" t="s">
        <v>2605</v>
      </c>
    </row>
    <row r="61" spans="1:13" x14ac:dyDescent="0.3">
      <c r="A61" t="s">
        <v>2606</v>
      </c>
      <c r="B61" s="303">
        <f>D19</f>
        <v>3939101.48</v>
      </c>
      <c r="C61" t="s">
        <v>2607</v>
      </c>
    </row>
    <row r="62" spans="1:13" x14ac:dyDescent="0.3">
      <c r="A62" t="s">
        <v>2608</v>
      </c>
      <c r="B62" s="303">
        <f>H19</f>
        <v>9525000</v>
      </c>
      <c r="C62" t="s">
        <v>2609</v>
      </c>
    </row>
    <row r="63" spans="1:13" x14ac:dyDescent="0.3">
      <c r="A63" s="242" t="s">
        <v>2475</v>
      </c>
      <c r="B63" s="242" t="s">
        <v>2610</v>
      </c>
    </row>
  </sheetData>
  <mergeCells count="9">
    <mergeCell ref="A44:M44"/>
    <mergeCell ref="A59:M59"/>
    <mergeCell ref="A5:N5"/>
    <mergeCell ref="A2:N2"/>
    <mergeCell ref="A1:N1"/>
    <mergeCell ref="A16:N16"/>
    <mergeCell ref="A21:N21"/>
    <mergeCell ref="A22:N22"/>
    <mergeCell ref="A43:M43"/>
  </mergeCells>
  <hyperlinks>
    <hyperlink ref="A1" location="'H01_PARAMETROS_GENERALES'!A1" tooltip="Volver a H01_PARAMETROS_GENERALES" display="🔙 Volver al Índice" xr:uid="{B777B24B-CFDE-41A9-AA65-3AF85DACC74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9B3E-4246-4CF3-BB61-B86752902771}">
  <dimension ref="A1:I43"/>
  <sheetViews>
    <sheetView zoomScale="115" zoomScaleNormal="115" workbookViewId="0">
      <pane ySplit="6" topLeftCell="A33" activePane="bottomLeft" state="frozen"/>
      <selection pane="bottomLeft" activeCell="B43" sqref="B43"/>
    </sheetView>
  </sheetViews>
  <sheetFormatPr baseColWidth="10" defaultRowHeight="14.4" x14ac:dyDescent="0.3"/>
  <cols>
    <col min="1" max="1" width="51.88671875" customWidth="1"/>
    <col min="2" max="2" width="195.77734375" bestFit="1" customWidth="1"/>
    <col min="3" max="3" width="169.44140625" bestFit="1" customWidth="1"/>
    <col min="4" max="4" width="89.6640625" bestFit="1" customWidth="1"/>
    <col min="5" max="5" width="46.33203125" bestFit="1" customWidth="1"/>
    <col min="6" max="6" width="37" customWidth="1"/>
    <col min="9" max="9" width="211" bestFit="1" customWidth="1"/>
  </cols>
  <sheetData>
    <row r="1" spans="1:4" ht="17.399999999999999" x14ac:dyDescent="0.35">
      <c r="A1" s="466" t="s">
        <v>2717</v>
      </c>
      <c r="B1" s="482"/>
      <c r="C1" s="482"/>
      <c r="D1" s="482"/>
    </row>
    <row r="2" spans="1:4" x14ac:dyDescent="0.3">
      <c r="A2" s="483" t="s">
        <v>1127</v>
      </c>
      <c r="B2" s="483"/>
      <c r="C2" s="483"/>
      <c r="D2" s="483"/>
    </row>
    <row r="3" spans="1:4" x14ac:dyDescent="0.3">
      <c r="A3" s="484" t="s">
        <v>1128</v>
      </c>
      <c r="B3" s="484"/>
      <c r="C3" s="484"/>
      <c r="D3" s="484"/>
    </row>
    <row r="4" spans="1:4" x14ac:dyDescent="0.3">
      <c r="A4" s="485" t="s">
        <v>1129</v>
      </c>
      <c r="B4" s="485"/>
      <c r="C4" s="485"/>
      <c r="D4" s="485"/>
    </row>
    <row r="5" spans="1:4" x14ac:dyDescent="0.3">
      <c r="A5" s="227" t="s">
        <v>2261</v>
      </c>
    </row>
    <row r="7" spans="1:4" ht="15.6" x14ac:dyDescent="0.3">
      <c r="A7" s="478" t="s">
        <v>2258</v>
      </c>
      <c r="B7" s="478"/>
      <c r="C7" s="478"/>
      <c r="D7" s="478"/>
    </row>
    <row r="8" spans="1:4" x14ac:dyDescent="0.3">
      <c r="A8" s="228" t="s">
        <v>2262</v>
      </c>
    </row>
    <row r="9" spans="1:4" x14ac:dyDescent="0.3">
      <c r="A9" s="5" t="s">
        <v>4</v>
      </c>
      <c r="B9" s="5" t="s">
        <v>5</v>
      </c>
      <c r="C9" s="5" t="s">
        <v>1130</v>
      </c>
      <c r="D9" s="5" t="s">
        <v>1131</v>
      </c>
    </row>
    <row r="10" spans="1:4" x14ac:dyDescent="0.3">
      <c r="A10" s="6" t="s">
        <v>1132</v>
      </c>
      <c r="B10" s="283">
        <f>H10B_DATOS_SIGAD!D19</f>
        <v>3939101.48</v>
      </c>
      <c r="C10" s="276" t="s">
        <v>2612</v>
      </c>
      <c r="D10" s="276" t="s">
        <v>2613</v>
      </c>
    </row>
    <row r="11" spans="1:4" x14ac:dyDescent="0.3">
      <c r="A11" s="7" t="s">
        <v>1133</v>
      </c>
      <c r="B11" s="304">
        <v>9525000</v>
      </c>
      <c r="C11" s="278" t="s">
        <v>2614</v>
      </c>
      <c r="D11" s="278" t="s">
        <v>2615</v>
      </c>
    </row>
    <row r="12" spans="1:4" x14ac:dyDescent="0.3">
      <c r="A12" s="6" t="s">
        <v>1134</v>
      </c>
      <c r="B12" s="284">
        <f>B10/B11</f>
        <v>0.41355396115485565</v>
      </c>
      <c r="C12" s="284">
        <f>B10/B11</f>
        <v>0.41355396115485565</v>
      </c>
      <c r="D12" s="276" t="str">
        <f>"SIGAD $"&amp;TEXT(B10,"#,##0")&amp;" / SIAP $"&amp;TEXT(B11,"#,##0")&amp;" = "&amp;TEXT(B10/B11,"0.0%")</f>
        <v>SIGAD $3939101,480 / SIAP $9525000,0 = 41%</v>
      </c>
    </row>
    <row r="13" spans="1:4" x14ac:dyDescent="0.3">
      <c r="A13" s="7" t="s">
        <v>1135</v>
      </c>
      <c r="B13" s="305">
        <f>H01_PARAMETROS_GENERALES!B12</f>
        <v>1</v>
      </c>
      <c r="C13" s="305">
        <f>H01_PARAMETROS_GENERALES!B12</f>
        <v>1</v>
      </c>
      <c r="D13" s="306" t="str">
        <f>"ICM SIGAD="&amp;TEXT(H01_PARAMETROS_GENERALES!B12,"0%")&amp;" sobre "&amp;TEXT(B12,"0.0%")&amp;" del presupuesto SIAP — MOM-I "&amp;IF(AND(B13&gt;=0.8,B12&lt;0.5),"ACTIVO","INACTIVO")</f>
        <v>ICM SIGAD=100% sobre 41% del presupuesto SIAP — MOM-I ACTIVO</v>
      </c>
    </row>
    <row r="14" spans="1:4" x14ac:dyDescent="0.3">
      <c r="A14" s="6" t="s">
        <v>1136</v>
      </c>
      <c r="B14" s="235" t="str">
        <f>IF(B12&lt;0.2,"🔴 Alta",IF(B12&lt;0.4,"🟠 Alta-Media",IF(B12&lt;0.5,"💛 Media-Alta","🟡 Media")))</f>
        <v>💛 Media-Alta</v>
      </c>
      <c r="C14" s="235" t="str">
        <f>IF(B12&lt;0.2,"🔴 Alta",IF(B12&lt;0.4,"🟠 Alta-Media",IF(B12&lt;0.5,"💛 Media-Alta","🟡 Media")))</f>
        <v>💛 Media-Alta</v>
      </c>
      <c r="D14" s="276" t="s">
        <v>2616</v>
      </c>
    </row>
    <row r="15" spans="1:4" x14ac:dyDescent="0.3">
      <c r="A15" s="7" t="s">
        <v>1137</v>
      </c>
      <c r="B15" s="302" t="str">
        <f>IF(AND(B13&gt;=0.8,B12&lt;0.5),"⚠️ FRAGMENTACIÓN SELECTIVA CONFIRMADA §3.6.1: ICM="&amp;TEXT(B13,"0%")&amp;" sobre solo "&amp;TEXT(B12,"0.0%")&amp;" del presupuesto SIAP. Brecha ICM-ICPI="&amp;TEXT(B13*100-H14_CALCULO_ICPI!B32,"0.0")&amp;"pp. Referencia: H10B_DATOS_SIGAD.","Sin señal MOM-I")</f>
        <v>⚠️ FRAGMENTACIÓN SELECTIVA CONFIRMADA §3.6.1: ICM=100% sobre solo 41% del presupuesto SIAP. Brecha ICM-ICPI=59pp. Referencia: H10B_DATOS_SIGAD.</v>
      </c>
      <c r="C15" s="302" t="str">
        <f>IF(AND(B13&gt;=0.8,B12&lt;0.5),"⚠️ FRAGMENTACIÓN SELECTIVA CONFIRMADA §3.6.1: ICM="&amp;TEXT(B13,"0%")&amp;" sobre solo "&amp;TEXT(B12,"0.0%")&amp;" del presupuesto SIAP. Brecha ICM-ICPI="&amp;TEXT(B13*100-H14_CALCULO_ICPI!B32,"0.0")&amp;"pp. Referencia: H10B_DATOS_SIGAD.","Sin señal MOM-I")</f>
        <v>⚠️ FRAGMENTACIÓN SELECTIVA CONFIRMADA §3.6.1: ICM=100% sobre solo 41% del presupuesto SIAP. Brecha ICM-ICPI=59pp. Referencia: H10B_DATOS_SIGAD.</v>
      </c>
      <c r="D15" s="307" t="s">
        <v>2617</v>
      </c>
    </row>
    <row r="17" spans="1:9" ht="15.6" x14ac:dyDescent="0.3">
      <c r="A17" s="478" t="s">
        <v>2259</v>
      </c>
      <c r="B17" s="478"/>
      <c r="C17" s="478"/>
      <c r="D17" s="478"/>
    </row>
    <row r="18" spans="1:9" x14ac:dyDescent="0.3">
      <c r="A18" s="228" t="s">
        <v>2263</v>
      </c>
    </row>
    <row r="19" spans="1:9" x14ac:dyDescent="0.3">
      <c r="A19" s="5" t="s">
        <v>4</v>
      </c>
      <c r="B19" s="5" t="s">
        <v>5</v>
      </c>
      <c r="C19" s="5" t="s">
        <v>6</v>
      </c>
      <c r="D19" s="5" t="s">
        <v>1131</v>
      </c>
    </row>
    <row r="20" spans="1:9" x14ac:dyDescent="0.3">
      <c r="A20" s="7" t="s">
        <v>1138</v>
      </c>
      <c r="B20" s="7" t="s">
        <v>1139</v>
      </c>
      <c r="C20" s="7" t="s">
        <v>1140</v>
      </c>
      <c r="D20" s="7" t="s">
        <v>1141</v>
      </c>
    </row>
    <row r="21" spans="1:9" x14ac:dyDescent="0.3">
      <c r="A21" s="6" t="s">
        <v>1142</v>
      </c>
      <c r="B21" s="6" t="s">
        <v>1139</v>
      </c>
      <c r="C21" s="6" t="s">
        <v>1143</v>
      </c>
      <c r="D21" s="6" t="s">
        <v>1144</v>
      </c>
    </row>
    <row r="22" spans="1:9" x14ac:dyDescent="0.3">
      <c r="A22" s="7" t="s">
        <v>1145</v>
      </c>
      <c r="B22" s="7" t="str">
        <f>IF(B20=B21,"✅ Hashes idénticos — POA mantiene integridad documental","⚠️ ATENCIÓN: POA modificado entre enero y diciembre")</f>
        <v>✅ Hashes idénticos — POA mantiene integridad documental</v>
      </c>
      <c r="C22" s="7" t="str">
        <f>IF(B20=B21,"✅ Hashes idénticos — POA mantiene integridad documental","⚠️ ATENCIÓN: POA modificado entre enero y diciembre. Revisar metas sustituidas.")</f>
        <v>✅ Hashes idénticos — POA mantiene integridad documental</v>
      </c>
      <c r="D22" s="7" t="s">
        <v>1146</v>
      </c>
    </row>
    <row r="23" spans="1:9" x14ac:dyDescent="0.3">
      <c r="A23" s="6" t="s">
        <v>1147</v>
      </c>
      <c r="B23" s="6" t="s">
        <v>1148</v>
      </c>
      <c r="C23" s="6" t="s">
        <v>1149</v>
      </c>
      <c r="D23" s="6" t="s">
        <v>1150</v>
      </c>
    </row>
    <row r="24" spans="1:9" x14ac:dyDescent="0.3">
      <c r="A24" s="7" t="s">
        <v>1151</v>
      </c>
      <c r="B24" s="7" t="s">
        <v>1152</v>
      </c>
      <c r="C24" s="7" t="s">
        <v>1153</v>
      </c>
      <c r="D24" s="7" t="s">
        <v>1154</v>
      </c>
    </row>
    <row r="26" spans="1:9" ht="15.6" x14ac:dyDescent="0.3">
      <c r="A26" s="478" t="s">
        <v>2260</v>
      </c>
      <c r="B26" s="478"/>
      <c r="C26" s="478"/>
      <c r="D26" s="478"/>
    </row>
    <row r="27" spans="1:9" x14ac:dyDescent="0.3">
      <c r="A27" s="228" t="s">
        <v>2264</v>
      </c>
    </row>
    <row r="28" spans="1:9" x14ac:dyDescent="0.3">
      <c r="A28" s="5" t="s">
        <v>385</v>
      </c>
      <c r="B28" s="5" t="s">
        <v>1155</v>
      </c>
      <c r="C28" s="5" t="s">
        <v>1156</v>
      </c>
      <c r="D28" s="5" t="s">
        <v>1157</v>
      </c>
      <c r="E28" s="5" t="s">
        <v>1158</v>
      </c>
      <c r="F28" s="5" t="s">
        <v>1159</v>
      </c>
      <c r="G28" s="5" t="s">
        <v>1160</v>
      </c>
      <c r="H28" s="5" t="s">
        <v>1161</v>
      </c>
      <c r="I28" s="5" t="s">
        <v>1162</v>
      </c>
    </row>
    <row r="29" spans="1:9" x14ac:dyDescent="0.3">
      <c r="A29" s="67" t="s">
        <v>463</v>
      </c>
      <c r="B29" s="67" t="s">
        <v>464</v>
      </c>
      <c r="C29" s="67" t="s">
        <v>466</v>
      </c>
      <c r="D29" s="67" t="s">
        <v>1163</v>
      </c>
      <c r="E29" s="67">
        <v>1</v>
      </c>
      <c r="F29" s="67">
        <v>414743</v>
      </c>
      <c r="G29" s="68">
        <v>82.95</v>
      </c>
      <c r="H29" s="67">
        <v>0.08</v>
      </c>
      <c r="I29" s="67" t="s">
        <v>1164</v>
      </c>
    </row>
    <row r="30" spans="1:9" x14ac:dyDescent="0.3">
      <c r="A30" s="64" t="s">
        <v>1165</v>
      </c>
      <c r="C30" t="str">
        <f>IF(AND(G30&gt;500,H30&lt;0.1),"⚠️ SEÑAL MOM-III ACTIVA","Sin señal")</f>
        <v>Sin señal</v>
      </c>
    </row>
    <row r="32" spans="1:9" ht="15.6" x14ac:dyDescent="0.3">
      <c r="A32" s="479" t="s">
        <v>1166</v>
      </c>
      <c r="B32" s="479"/>
      <c r="C32" s="479"/>
      <c r="D32" s="479"/>
      <c r="E32" s="479"/>
    </row>
    <row r="33" spans="1:5" x14ac:dyDescent="0.3">
      <c r="A33" s="5" t="s">
        <v>1167</v>
      </c>
      <c r="B33" s="5" t="s">
        <v>43</v>
      </c>
      <c r="C33" s="5" t="s">
        <v>1168</v>
      </c>
      <c r="D33" s="5" t="s">
        <v>1169</v>
      </c>
      <c r="E33" s="5" t="s">
        <v>1170</v>
      </c>
    </row>
    <row r="34" spans="1:5" x14ac:dyDescent="0.3">
      <c r="A34" s="69" t="s">
        <v>1171</v>
      </c>
      <c r="B34" s="69" t="s">
        <v>1172</v>
      </c>
      <c r="C34" s="69" t="s">
        <v>519</v>
      </c>
      <c r="D34" s="69" t="s">
        <v>1173</v>
      </c>
      <c r="E34" s="69" t="s">
        <v>1174</v>
      </c>
    </row>
    <row r="35" spans="1:5" x14ac:dyDescent="0.3">
      <c r="A35" s="70" t="s">
        <v>1175</v>
      </c>
      <c r="B35" s="70" t="s">
        <v>1176</v>
      </c>
      <c r="C35" s="70" t="s">
        <v>1177</v>
      </c>
      <c r="D35" s="70" t="s">
        <v>1177</v>
      </c>
      <c r="E35" s="70" t="s">
        <v>1178</v>
      </c>
    </row>
    <row r="36" spans="1:5" x14ac:dyDescent="0.3">
      <c r="A36" s="69" t="s">
        <v>1179</v>
      </c>
      <c r="B36" s="69" t="s">
        <v>1172</v>
      </c>
      <c r="C36" s="69" t="s">
        <v>519</v>
      </c>
      <c r="D36" s="69" t="s">
        <v>463</v>
      </c>
      <c r="E36" s="69" t="s">
        <v>1180</v>
      </c>
    </row>
    <row r="37" spans="1:5" ht="17.399999999999999" x14ac:dyDescent="0.35">
      <c r="A37" s="480" t="s">
        <v>2720</v>
      </c>
      <c r="B37" s="480"/>
      <c r="C37" s="480"/>
      <c r="D37" s="480"/>
      <c r="E37" s="480"/>
    </row>
    <row r="38" spans="1:5" x14ac:dyDescent="0.3">
      <c r="A38" s="481" t="s">
        <v>2721</v>
      </c>
      <c r="B38" s="481"/>
      <c r="C38" s="481"/>
      <c r="D38" s="481"/>
      <c r="E38" s="481"/>
    </row>
    <row r="39" spans="1:5" x14ac:dyDescent="0.3">
      <c r="A39" s="229" t="s">
        <v>2265</v>
      </c>
      <c r="B39" s="229" t="s">
        <v>2266</v>
      </c>
      <c r="C39" s="229" t="s">
        <v>146</v>
      </c>
      <c r="D39" s="229" t="s">
        <v>2267</v>
      </c>
      <c r="E39" s="229" t="s">
        <v>2268</v>
      </c>
    </row>
    <row r="40" spans="1:5" x14ac:dyDescent="0.3">
      <c r="A40" s="230" t="s">
        <v>2722</v>
      </c>
      <c r="B40" s="230" t="s">
        <v>2269</v>
      </c>
      <c r="C40" s="231" t="s">
        <v>2270</v>
      </c>
      <c r="D40" s="231" t="s">
        <v>2271</v>
      </c>
      <c r="E40" s="231" t="s">
        <v>2272</v>
      </c>
    </row>
    <row r="41" spans="1:5" x14ac:dyDescent="0.3">
      <c r="A41" s="232" t="s">
        <v>2723</v>
      </c>
      <c r="B41" s="232" t="s">
        <v>2273</v>
      </c>
      <c r="C41" s="233" t="s">
        <v>2274</v>
      </c>
      <c r="D41" s="233" t="s">
        <v>2275</v>
      </c>
      <c r="E41" s="233" t="s">
        <v>2276</v>
      </c>
    </row>
    <row r="42" spans="1:5" x14ac:dyDescent="0.3">
      <c r="A42" s="230" t="s">
        <v>2724</v>
      </c>
      <c r="B42" s="230" t="s">
        <v>2277</v>
      </c>
      <c r="C42" s="231" t="s">
        <v>2278</v>
      </c>
      <c r="D42" s="231" t="s">
        <v>2279</v>
      </c>
      <c r="E42" s="231" t="s">
        <v>2280</v>
      </c>
    </row>
    <row r="43" spans="1:5" ht="27.6" x14ac:dyDescent="0.3">
      <c r="A43" s="227" t="s">
        <v>2281</v>
      </c>
      <c r="B43" s="354" t="s">
        <v>2729</v>
      </c>
    </row>
  </sheetData>
  <mergeCells count="10">
    <mergeCell ref="A26:D26"/>
    <mergeCell ref="A32:E32"/>
    <mergeCell ref="A37:E37"/>
    <mergeCell ref="A38:E38"/>
    <mergeCell ref="A1:D1"/>
    <mergeCell ref="A2:D2"/>
    <mergeCell ref="A3:D3"/>
    <mergeCell ref="A4:D4"/>
    <mergeCell ref="A7:D7"/>
    <mergeCell ref="A17:D17"/>
  </mergeCells>
  <hyperlinks>
    <hyperlink ref="A1" location="'H01_PARAMETROS_GENERALES'!A1" tooltip="Volver a H01_PARAMETROS_GENERALES" display="🔙 Volver al Índice" xr:uid="{88493A54-CBF5-4F97-BEAB-B99CD4DAC11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421D-6FA6-42F5-B21C-770717C31606}">
  <dimension ref="A1:H20"/>
  <sheetViews>
    <sheetView workbookViewId="0">
      <pane ySplit="5" topLeftCell="A6" activePane="bottomLeft" state="frozen"/>
      <selection pane="bottomLeft" activeCell="H8" sqref="H8"/>
    </sheetView>
  </sheetViews>
  <sheetFormatPr baseColWidth="10" defaultRowHeight="14.4" x14ac:dyDescent="0.3"/>
  <cols>
    <col min="1" max="1" width="13" customWidth="1"/>
    <col min="2" max="2" width="31.44140625" customWidth="1"/>
    <col min="3" max="3" width="29.6640625" customWidth="1"/>
    <col min="4" max="5" width="11.109375" customWidth="1"/>
    <col min="6" max="6" width="13" customWidth="1"/>
    <col min="7" max="7" width="11.109375" customWidth="1"/>
    <col min="8" max="8" width="48.109375" customWidth="1"/>
  </cols>
  <sheetData>
    <row r="1" spans="1:8" x14ac:dyDescent="0.3">
      <c r="A1" s="458" t="s">
        <v>2717</v>
      </c>
      <c r="B1" s="459"/>
      <c r="C1" s="459"/>
      <c r="D1" s="459"/>
      <c r="E1" s="459"/>
      <c r="F1" s="459"/>
      <c r="G1" s="459"/>
      <c r="H1" s="459"/>
    </row>
    <row r="2" spans="1:8" x14ac:dyDescent="0.3">
      <c r="A2" s="460" t="s">
        <v>975</v>
      </c>
      <c r="B2" s="455"/>
      <c r="C2" s="455"/>
      <c r="D2" s="455"/>
      <c r="E2" s="455"/>
      <c r="F2" s="455"/>
      <c r="G2" s="455"/>
      <c r="H2" s="455"/>
    </row>
    <row r="3" spans="1:8" x14ac:dyDescent="0.3">
      <c r="A3" s="486" t="s">
        <v>976</v>
      </c>
      <c r="B3" s="471"/>
      <c r="C3" s="471"/>
      <c r="D3" s="471"/>
      <c r="E3" s="471"/>
      <c r="F3" s="471"/>
      <c r="G3" s="471"/>
      <c r="H3" s="471"/>
    </row>
    <row r="5" spans="1:8" x14ac:dyDescent="0.3">
      <c r="A5" s="5" t="s">
        <v>578</v>
      </c>
      <c r="B5" s="5" t="s">
        <v>977</v>
      </c>
      <c r="C5" s="5" t="s">
        <v>978</v>
      </c>
      <c r="D5" s="5" t="s">
        <v>979</v>
      </c>
      <c r="E5" s="5" t="s">
        <v>980</v>
      </c>
      <c r="F5" s="5" t="s">
        <v>981</v>
      </c>
      <c r="G5" s="5" t="s">
        <v>982</v>
      </c>
      <c r="H5" s="5" t="s">
        <v>983</v>
      </c>
    </row>
    <row r="6" spans="1:8" x14ac:dyDescent="0.3">
      <c r="A6" s="6" t="s">
        <v>984</v>
      </c>
      <c r="B6" s="6" t="s">
        <v>985</v>
      </c>
      <c r="C6" s="6" t="s">
        <v>405</v>
      </c>
      <c r="D6" s="6" t="s">
        <v>353</v>
      </c>
      <c r="E6" s="54">
        <v>1</v>
      </c>
      <c r="F6" s="6" t="s">
        <v>342</v>
      </c>
      <c r="G6" s="55">
        <v>1</v>
      </c>
      <c r="H6" s="6" t="s">
        <v>986</v>
      </c>
    </row>
    <row r="7" spans="1:8" x14ac:dyDescent="0.3">
      <c r="A7" s="7" t="s">
        <v>987</v>
      </c>
      <c r="B7" s="7" t="s">
        <v>988</v>
      </c>
      <c r="C7" s="7" t="s">
        <v>405</v>
      </c>
      <c r="D7" s="7" t="s">
        <v>353</v>
      </c>
      <c r="E7" s="56">
        <v>1</v>
      </c>
      <c r="F7" s="7" t="s">
        <v>342</v>
      </c>
      <c r="G7" s="55">
        <v>1</v>
      </c>
      <c r="H7" s="7" t="s">
        <v>986</v>
      </c>
    </row>
    <row r="8" spans="1:8" x14ac:dyDescent="0.3">
      <c r="A8" s="6" t="s">
        <v>989</v>
      </c>
      <c r="B8" s="6" t="s">
        <v>990</v>
      </c>
      <c r="C8" s="6" t="s">
        <v>991</v>
      </c>
      <c r="D8" s="6" t="s">
        <v>353</v>
      </c>
      <c r="E8" s="54">
        <v>1</v>
      </c>
      <c r="F8" s="6" t="s">
        <v>342</v>
      </c>
      <c r="G8" s="55">
        <v>1</v>
      </c>
      <c r="H8" s="6" t="s">
        <v>992</v>
      </c>
    </row>
    <row r="9" spans="1:8" x14ac:dyDescent="0.3">
      <c r="A9" s="7" t="s">
        <v>993</v>
      </c>
      <c r="B9" s="7" t="s">
        <v>994</v>
      </c>
      <c r="C9" s="7" t="s">
        <v>995</v>
      </c>
      <c r="D9" s="7" t="s">
        <v>355</v>
      </c>
      <c r="E9" s="56">
        <v>0.9</v>
      </c>
      <c r="F9" s="7" t="s">
        <v>345</v>
      </c>
      <c r="G9" s="57">
        <v>0.9</v>
      </c>
      <c r="H9" s="7" t="s">
        <v>996</v>
      </c>
    </row>
    <row r="10" spans="1:8" x14ac:dyDescent="0.3">
      <c r="A10" s="6" t="s">
        <v>997</v>
      </c>
      <c r="B10" s="6" t="s">
        <v>998</v>
      </c>
      <c r="C10" s="6" t="s">
        <v>999</v>
      </c>
      <c r="D10" s="6" t="s">
        <v>353</v>
      </c>
      <c r="E10" s="54">
        <v>1</v>
      </c>
      <c r="F10" s="6" t="s">
        <v>348</v>
      </c>
      <c r="G10" s="58">
        <v>0.75</v>
      </c>
      <c r="H10" s="6" t="s">
        <v>1000</v>
      </c>
    </row>
    <row r="11" spans="1:8" x14ac:dyDescent="0.3">
      <c r="A11" s="7" t="s">
        <v>1001</v>
      </c>
      <c r="B11" s="7" t="s">
        <v>1002</v>
      </c>
      <c r="C11" s="7" t="s">
        <v>1003</v>
      </c>
      <c r="D11" s="7" t="s">
        <v>353</v>
      </c>
      <c r="E11" s="56">
        <v>1</v>
      </c>
      <c r="F11" s="7" t="s">
        <v>342</v>
      </c>
      <c r="G11" s="55">
        <v>1</v>
      </c>
      <c r="H11" s="7" t="s">
        <v>1004</v>
      </c>
    </row>
    <row r="12" spans="1:8" x14ac:dyDescent="0.3">
      <c r="A12" s="6" t="s">
        <v>1005</v>
      </c>
      <c r="B12" s="6" t="s">
        <v>1006</v>
      </c>
      <c r="C12" s="6" t="s">
        <v>486</v>
      </c>
      <c r="D12" s="6" t="s">
        <v>353</v>
      </c>
      <c r="E12" s="54">
        <v>1</v>
      </c>
      <c r="F12" s="6" t="s">
        <v>345</v>
      </c>
      <c r="G12" s="57">
        <v>0.9</v>
      </c>
      <c r="H12" s="6" t="s">
        <v>1007</v>
      </c>
    </row>
    <row r="13" spans="1:8" x14ac:dyDescent="0.3">
      <c r="A13" s="7" t="s">
        <v>1008</v>
      </c>
      <c r="B13" s="7" t="s">
        <v>1009</v>
      </c>
      <c r="C13" s="7" t="s">
        <v>405</v>
      </c>
      <c r="D13" s="7" t="s">
        <v>353</v>
      </c>
      <c r="E13" s="56">
        <v>1</v>
      </c>
      <c r="F13" s="7" t="s">
        <v>342</v>
      </c>
      <c r="G13" s="55">
        <v>1</v>
      </c>
      <c r="H13" s="7" t="s">
        <v>986</v>
      </c>
    </row>
    <row r="14" spans="1:8" x14ac:dyDescent="0.3">
      <c r="A14" s="6" t="s">
        <v>1010</v>
      </c>
      <c r="B14" s="6" t="s">
        <v>1011</v>
      </c>
      <c r="C14" s="6" t="s">
        <v>434</v>
      </c>
      <c r="D14" s="6" t="s">
        <v>353</v>
      </c>
      <c r="E14" s="54">
        <v>1</v>
      </c>
      <c r="F14" s="6" t="s">
        <v>342</v>
      </c>
      <c r="G14" s="55">
        <v>1</v>
      </c>
      <c r="H14" s="6" t="s">
        <v>1012</v>
      </c>
    </row>
    <row r="15" spans="1:8" x14ac:dyDescent="0.3">
      <c r="A15" s="7" t="s">
        <v>1013</v>
      </c>
      <c r="B15" s="7" t="s">
        <v>1014</v>
      </c>
      <c r="C15" s="7" t="s">
        <v>434</v>
      </c>
      <c r="D15" s="7" t="s">
        <v>353</v>
      </c>
      <c r="E15" s="56">
        <v>1</v>
      </c>
      <c r="F15" s="7" t="s">
        <v>342</v>
      </c>
      <c r="G15" s="55">
        <v>1</v>
      </c>
      <c r="H15" s="7" t="s">
        <v>1015</v>
      </c>
    </row>
    <row r="16" spans="1:8" x14ac:dyDescent="0.3">
      <c r="A16" s="6" t="s">
        <v>1016</v>
      </c>
      <c r="B16" s="6" t="s">
        <v>1017</v>
      </c>
      <c r="C16" s="6" t="s">
        <v>499</v>
      </c>
      <c r="D16" s="6" t="s">
        <v>353</v>
      </c>
      <c r="E16" s="54">
        <v>1</v>
      </c>
      <c r="F16" s="6" t="s">
        <v>342</v>
      </c>
      <c r="G16" s="55">
        <v>1</v>
      </c>
      <c r="H16" s="6" t="s">
        <v>1018</v>
      </c>
    </row>
    <row r="17" spans="1:8" x14ac:dyDescent="0.3">
      <c r="A17" s="7" t="s">
        <v>1019</v>
      </c>
      <c r="B17" s="7" t="s">
        <v>1020</v>
      </c>
      <c r="C17" s="7" t="s">
        <v>1021</v>
      </c>
      <c r="D17" s="7" t="s">
        <v>353</v>
      </c>
      <c r="E17" s="56">
        <v>1</v>
      </c>
      <c r="F17" s="7" t="s">
        <v>348</v>
      </c>
      <c r="G17" s="58">
        <v>0.75</v>
      </c>
      <c r="H17" s="7" t="s">
        <v>1022</v>
      </c>
    </row>
    <row r="18" spans="1:8" x14ac:dyDescent="0.3">
      <c r="A18" s="6" t="s">
        <v>1023</v>
      </c>
      <c r="B18" s="6" t="s">
        <v>1024</v>
      </c>
      <c r="C18" s="6" t="s">
        <v>1025</v>
      </c>
      <c r="D18" s="6" t="s">
        <v>353</v>
      </c>
      <c r="E18" s="54">
        <v>1</v>
      </c>
      <c r="F18" s="6" t="s">
        <v>342</v>
      </c>
      <c r="G18" s="55">
        <v>1</v>
      </c>
      <c r="H18" s="6" t="s">
        <v>1026</v>
      </c>
    </row>
    <row r="19" spans="1:8" x14ac:dyDescent="0.3">
      <c r="A19" s="7" t="s">
        <v>1027</v>
      </c>
      <c r="B19" s="7" t="s">
        <v>1028</v>
      </c>
      <c r="C19" s="7" t="s">
        <v>461</v>
      </c>
      <c r="D19" s="7" t="s">
        <v>353</v>
      </c>
      <c r="E19" s="56">
        <v>1</v>
      </c>
      <c r="F19" s="7" t="s">
        <v>345</v>
      </c>
      <c r="G19" s="57">
        <v>0.9</v>
      </c>
      <c r="H19" s="7" t="s">
        <v>1029</v>
      </c>
    </row>
    <row r="20" spans="1:8" x14ac:dyDescent="0.3">
      <c r="A20" s="6" t="s">
        <v>1030</v>
      </c>
      <c r="B20" s="6" t="s">
        <v>1031</v>
      </c>
      <c r="C20" s="6" t="s">
        <v>1032</v>
      </c>
      <c r="D20" s="6" t="s">
        <v>355</v>
      </c>
      <c r="E20" s="54">
        <v>0.9</v>
      </c>
      <c r="F20" s="6" t="s">
        <v>345</v>
      </c>
      <c r="G20" s="57">
        <v>0.9</v>
      </c>
      <c r="H20" s="6" t="s">
        <v>1033</v>
      </c>
    </row>
  </sheetData>
  <mergeCells count="3">
    <mergeCell ref="A1:H1"/>
    <mergeCell ref="A2:H2"/>
    <mergeCell ref="A3:H3"/>
  </mergeCells>
  <hyperlinks>
    <hyperlink ref="A1" location="'H01_PARAMETROS_GENERALES'!A1" tooltip="Volver a H01_PARAMETROS_GENERALES" display="🔙 Volver al Índice" xr:uid="{69E46335-247A-4A2D-8E1C-FEC72C93A5D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B44E-D1DD-41E3-BA2C-75FCD826665A}">
  <dimension ref="A1:J25"/>
  <sheetViews>
    <sheetView workbookViewId="0">
      <pane ySplit="5" topLeftCell="A9" activePane="bottomLeft" state="frozen"/>
      <selection pane="bottomLeft" activeCell="I11" sqref="I11"/>
    </sheetView>
  </sheetViews>
  <sheetFormatPr baseColWidth="10" defaultRowHeight="14.4" x14ac:dyDescent="0.3"/>
  <cols>
    <col min="1" max="1" width="14.77734375" customWidth="1"/>
    <col min="2" max="2" width="24.109375" customWidth="1"/>
    <col min="3" max="3" width="29.6640625" customWidth="1"/>
    <col min="4" max="4" width="27.77734375" customWidth="1"/>
    <col min="5" max="5" width="9.21875" customWidth="1"/>
    <col min="6" max="6" width="11.109375" customWidth="1"/>
    <col min="7" max="7" width="9.21875" customWidth="1"/>
    <col min="8" max="8" width="11.109375" customWidth="1"/>
    <col min="9" max="9" width="111.6640625" bestFit="1" customWidth="1"/>
    <col min="10" max="10" width="13" customWidth="1"/>
  </cols>
  <sheetData>
    <row r="1" spans="1:10" x14ac:dyDescent="0.3">
      <c r="A1" s="487" t="s">
        <v>2717</v>
      </c>
      <c r="B1" s="453"/>
      <c r="C1" s="453"/>
      <c r="D1" s="453"/>
      <c r="E1" s="453"/>
      <c r="F1" s="453"/>
      <c r="G1" s="453"/>
      <c r="H1" s="453"/>
      <c r="I1" s="453"/>
      <c r="J1" s="453"/>
    </row>
    <row r="2" spans="1:10" x14ac:dyDescent="0.3">
      <c r="A2" s="460" t="s">
        <v>1034</v>
      </c>
      <c r="B2" s="455"/>
      <c r="C2" s="455"/>
      <c r="D2" s="455"/>
      <c r="E2" s="455"/>
      <c r="F2" s="455"/>
      <c r="G2" s="455"/>
      <c r="H2" s="455"/>
      <c r="I2" s="455"/>
      <c r="J2" s="455"/>
    </row>
    <row r="3" spans="1:10" x14ac:dyDescent="0.3">
      <c r="A3" s="470" t="s">
        <v>1035</v>
      </c>
      <c r="B3" s="471"/>
      <c r="C3" s="471"/>
      <c r="D3" s="471"/>
      <c r="E3" s="471"/>
      <c r="F3" s="471"/>
      <c r="G3" s="471"/>
      <c r="H3" s="471"/>
      <c r="I3" s="471"/>
      <c r="J3" s="471"/>
    </row>
    <row r="5" spans="1:10" x14ac:dyDescent="0.3">
      <c r="A5" s="5" t="s">
        <v>385</v>
      </c>
      <c r="B5" s="5" t="s">
        <v>1036</v>
      </c>
      <c r="C5" s="5" t="s">
        <v>1037</v>
      </c>
      <c r="D5" s="5" t="s">
        <v>978</v>
      </c>
      <c r="E5" s="5" t="s">
        <v>184</v>
      </c>
      <c r="F5" s="5" t="s">
        <v>341</v>
      </c>
      <c r="G5" s="5" t="s">
        <v>181</v>
      </c>
      <c r="H5" s="5" t="s">
        <v>1038</v>
      </c>
      <c r="I5" s="5" t="s">
        <v>1039</v>
      </c>
      <c r="J5" s="5" t="s">
        <v>399</v>
      </c>
    </row>
    <row r="6" spans="1:10" x14ac:dyDescent="0.3">
      <c r="A6" s="30" t="s">
        <v>401</v>
      </c>
      <c r="B6" s="6" t="s">
        <v>1040</v>
      </c>
      <c r="C6" s="6" t="s">
        <v>988</v>
      </c>
      <c r="D6" s="6" t="s">
        <v>405</v>
      </c>
      <c r="E6" s="6">
        <v>1</v>
      </c>
      <c r="F6" s="6" t="s">
        <v>342</v>
      </c>
      <c r="G6" s="6">
        <v>1</v>
      </c>
      <c r="H6" s="29" t="s">
        <v>1041</v>
      </c>
      <c r="I6" s="6" t="s">
        <v>1042</v>
      </c>
      <c r="J6" s="29" t="s">
        <v>406</v>
      </c>
    </row>
    <row r="7" spans="1:10" x14ac:dyDescent="0.3">
      <c r="A7" s="32" t="s">
        <v>408</v>
      </c>
      <c r="B7" s="7" t="s">
        <v>298</v>
      </c>
      <c r="C7" s="7" t="s">
        <v>988</v>
      </c>
      <c r="D7" s="7" t="s">
        <v>405</v>
      </c>
      <c r="E7" s="7">
        <v>1</v>
      </c>
      <c r="F7" s="7" t="s">
        <v>342</v>
      </c>
      <c r="G7" s="7">
        <v>1</v>
      </c>
      <c r="H7" s="31" t="s">
        <v>1043</v>
      </c>
      <c r="I7" s="7" t="s">
        <v>1044</v>
      </c>
      <c r="J7" s="31" t="s">
        <v>411</v>
      </c>
    </row>
    <row r="8" spans="1:10" x14ac:dyDescent="0.3">
      <c r="A8" s="30" t="s">
        <v>413</v>
      </c>
      <c r="B8" s="6" t="s">
        <v>1020</v>
      </c>
      <c r="C8" s="6" t="s">
        <v>1020</v>
      </c>
      <c r="D8" s="6" t="s">
        <v>416</v>
      </c>
      <c r="E8" s="6">
        <v>1</v>
      </c>
      <c r="F8" s="6" t="s">
        <v>348</v>
      </c>
      <c r="G8" s="6">
        <v>0.75</v>
      </c>
      <c r="H8" s="31" t="s">
        <v>1043</v>
      </c>
      <c r="I8" s="6" t="s">
        <v>1045</v>
      </c>
      <c r="J8" s="31" t="s">
        <v>411</v>
      </c>
    </row>
    <row r="9" spans="1:10" x14ac:dyDescent="0.3">
      <c r="A9" s="32" t="s">
        <v>418</v>
      </c>
      <c r="B9" s="7" t="s">
        <v>1046</v>
      </c>
      <c r="C9" s="7" t="s">
        <v>1009</v>
      </c>
      <c r="D9" s="7" t="s">
        <v>405</v>
      </c>
      <c r="E9" s="7">
        <v>1</v>
      </c>
      <c r="F9" s="7" t="s">
        <v>342</v>
      </c>
      <c r="G9" s="7">
        <v>1</v>
      </c>
      <c r="H9" s="18" t="s">
        <v>1047</v>
      </c>
      <c r="I9" s="7" t="s">
        <v>1048</v>
      </c>
      <c r="J9" s="18" t="s">
        <v>422</v>
      </c>
    </row>
    <row r="10" spans="1:10" x14ac:dyDescent="0.3">
      <c r="A10" s="30" t="s">
        <v>424</v>
      </c>
      <c r="B10" s="6" t="s">
        <v>1049</v>
      </c>
      <c r="C10" s="6" t="s">
        <v>985</v>
      </c>
      <c r="D10" s="6" t="s">
        <v>428</v>
      </c>
      <c r="E10" s="6">
        <v>1</v>
      </c>
      <c r="F10" s="6" t="s">
        <v>342</v>
      </c>
      <c r="G10" s="6">
        <v>1</v>
      </c>
      <c r="H10" s="29" t="s">
        <v>1041</v>
      </c>
      <c r="I10" s="6" t="s">
        <v>1050</v>
      </c>
      <c r="J10" s="29" t="s">
        <v>406</v>
      </c>
    </row>
    <row r="11" spans="1:10" x14ac:dyDescent="0.3">
      <c r="A11" s="32" t="s">
        <v>430</v>
      </c>
      <c r="B11" s="7" t="s">
        <v>1051</v>
      </c>
      <c r="C11" s="7" t="s">
        <v>994</v>
      </c>
      <c r="D11" s="7" t="s">
        <v>995</v>
      </c>
      <c r="E11" s="7">
        <v>0.9</v>
      </c>
      <c r="F11" s="7" t="s">
        <v>345</v>
      </c>
      <c r="G11" s="7">
        <v>0.9</v>
      </c>
      <c r="H11" s="31" t="s">
        <v>1043</v>
      </c>
      <c r="I11" s="7" t="s">
        <v>1052</v>
      </c>
      <c r="J11" s="31" t="s">
        <v>411</v>
      </c>
    </row>
    <row r="12" spans="1:10" x14ac:dyDescent="0.3">
      <c r="A12" s="30" t="s">
        <v>436</v>
      </c>
      <c r="B12" s="6" t="s">
        <v>1053</v>
      </c>
      <c r="C12" s="6" t="s">
        <v>994</v>
      </c>
      <c r="D12" s="6" t="s">
        <v>434</v>
      </c>
      <c r="E12" s="6">
        <v>0.9</v>
      </c>
      <c r="F12" s="6" t="s">
        <v>345</v>
      </c>
      <c r="G12" s="6">
        <v>0.9</v>
      </c>
      <c r="H12" s="29" t="s">
        <v>1041</v>
      </c>
      <c r="I12" s="6" t="s">
        <v>1054</v>
      </c>
      <c r="J12" s="29" t="s">
        <v>406</v>
      </c>
    </row>
    <row r="13" spans="1:10" x14ac:dyDescent="0.3">
      <c r="A13" s="32" t="s">
        <v>441</v>
      </c>
      <c r="B13" s="7" t="s">
        <v>443</v>
      </c>
      <c r="C13" s="7" t="s">
        <v>998</v>
      </c>
      <c r="D13" s="7" t="s">
        <v>445</v>
      </c>
      <c r="E13" s="7">
        <v>1</v>
      </c>
      <c r="F13" s="7" t="s">
        <v>342</v>
      </c>
      <c r="G13" s="7">
        <v>1</v>
      </c>
      <c r="H13" s="31" t="s">
        <v>1043</v>
      </c>
      <c r="I13" s="7" t="s">
        <v>1055</v>
      </c>
      <c r="J13" s="31" t="s">
        <v>411</v>
      </c>
    </row>
    <row r="14" spans="1:10" x14ac:dyDescent="0.3">
      <c r="A14" s="30" t="s">
        <v>447</v>
      </c>
      <c r="B14" s="6" t="s">
        <v>1056</v>
      </c>
      <c r="C14" s="6" t="s">
        <v>985</v>
      </c>
      <c r="D14" s="6" t="s">
        <v>405</v>
      </c>
      <c r="E14" s="6">
        <v>1</v>
      </c>
      <c r="F14" s="6" t="s">
        <v>342</v>
      </c>
      <c r="G14" s="6">
        <v>1</v>
      </c>
      <c r="H14" s="31" t="s">
        <v>1043</v>
      </c>
      <c r="I14" s="6" t="s">
        <v>1057</v>
      </c>
      <c r="J14" s="31" t="s">
        <v>411</v>
      </c>
    </row>
    <row r="15" spans="1:10" x14ac:dyDescent="0.3">
      <c r="A15" s="32" t="s">
        <v>451</v>
      </c>
      <c r="B15" s="7" t="s">
        <v>1058</v>
      </c>
      <c r="C15" s="7" t="s">
        <v>1002</v>
      </c>
      <c r="D15" s="7" t="s">
        <v>455</v>
      </c>
      <c r="E15" s="7">
        <v>1</v>
      </c>
      <c r="F15" s="7" t="s">
        <v>342</v>
      </c>
      <c r="G15" s="7">
        <v>1</v>
      </c>
      <c r="H15" s="18" t="s">
        <v>1047</v>
      </c>
      <c r="I15" s="7" t="s">
        <v>1059</v>
      </c>
      <c r="J15" s="18" t="s">
        <v>422</v>
      </c>
    </row>
    <row r="16" spans="1:10" x14ac:dyDescent="0.3">
      <c r="A16" s="30" t="s">
        <v>457</v>
      </c>
      <c r="B16" s="6" t="s">
        <v>459</v>
      </c>
      <c r="C16" s="6" t="s">
        <v>1028</v>
      </c>
      <c r="D16" s="6" t="s">
        <v>461</v>
      </c>
      <c r="E16" s="6">
        <v>1</v>
      </c>
      <c r="F16" s="6" t="s">
        <v>345</v>
      </c>
      <c r="G16" s="6">
        <v>0.9</v>
      </c>
      <c r="H16" s="29" t="s">
        <v>1041</v>
      </c>
      <c r="I16" s="6" t="s">
        <v>1060</v>
      </c>
      <c r="J16" s="29" t="s">
        <v>406</v>
      </c>
    </row>
    <row r="17" spans="1:10" x14ac:dyDescent="0.3">
      <c r="A17" s="32" t="s">
        <v>463</v>
      </c>
      <c r="B17" s="7" t="s">
        <v>1061</v>
      </c>
      <c r="C17" s="7" t="s">
        <v>998</v>
      </c>
      <c r="D17" s="7" t="s">
        <v>467</v>
      </c>
      <c r="E17" s="7">
        <v>1</v>
      </c>
      <c r="F17" s="7" t="s">
        <v>348</v>
      </c>
      <c r="G17" s="7">
        <v>0.75</v>
      </c>
      <c r="H17" s="59" t="s">
        <v>1062</v>
      </c>
      <c r="I17" s="7" t="s">
        <v>1063</v>
      </c>
      <c r="J17" s="34" t="s">
        <v>468</v>
      </c>
    </row>
    <row r="18" spans="1:10" x14ac:dyDescent="0.3">
      <c r="A18" s="30" t="s">
        <v>470</v>
      </c>
      <c r="B18" s="6" t="s">
        <v>1064</v>
      </c>
      <c r="C18" s="6" t="s">
        <v>1028</v>
      </c>
      <c r="D18" s="6" t="s">
        <v>461</v>
      </c>
      <c r="E18" s="6">
        <v>1</v>
      </c>
      <c r="F18" s="6" t="s">
        <v>345</v>
      </c>
      <c r="G18" s="6">
        <v>0.9</v>
      </c>
      <c r="H18" s="18" t="s">
        <v>1047</v>
      </c>
      <c r="I18" s="6" t="s">
        <v>1065</v>
      </c>
      <c r="J18" s="18" t="s">
        <v>422</v>
      </c>
    </row>
    <row r="19" spans="1:10" x14ac:dyDescent="0.3">
      <c r="A19" s="32" t="s">
        <v>474</v>
      </c>
      <c r="B19" s="7" t="s">
        <v>1066</v>
      </c>
      <c r="C19" s="7" t="s">
        <v>1011</v>
      </c>
      <c r="D19" s="7" t="s">
        <v>434</v>
      </c>
      <c r="E19" s="7">
        <v>1</v>
      </c>
      <c r="F19" s="7" t="s">
        <v>342</v>
      </c>
      <c r="G19" s="7">
        <v>1</v>
      </c>
      <c r="H19" s="29" t="s">
        <v>1041</v>
      </c>
      <c r="I19" s="7" t="s">
        <v>1067</v>
      </c>
      <c r="J19" s="29" t="s">
        <v>406</v>
      </c>
    </row>
    <row r="20" spans="1:10" x14ac:dyDescent="0.3">
      <c r="A20" s="30" t="s">
        <v>478</v>
      </c>
      <c r="B20" s="6" t="s">
        <v>1014</v>
      </c>
      <c r="C20" s="6" t="s">
        <v>1014</v>
      </c>
      <c r="D20" s="6" t="s">
        <v>434</v>
      </c>
      <c r="E20" s="6">
        <v>1</v>
      </c>
      <c r="F20" s="6" t="s">
        <v>342</v>
      </c>
      <c r="G20" s="6">
        <v>1</v>
      </c>
      <c r="H20" s="18" t="s">
        <v>1047</v>
      </c>
      <c r="I20" s="6" t="s">
        <v>1068</v>
      </c>
      <c r="J20" s="18" t="s">
        <v>422</v>
      </c>
    </row>
    <row r="21" spans="1:10" x14ac:dyDescent="0.3">
      <c r="A21" s="32" t="s">
        <v>482</v>
      </c>
      <c r="B21" s="7" t="s">
        <v>1069</v>
      </c>
      <c r="C21" s="7" t="s">
        <v>1006</v>
      </c>
      <c r="D21" s="7" t="s">
        <v>486</v>
      </c>
      <c r="E21" s="7">
        <v>1</v>
      </c>
      <c r="F21" s="7" t="s">
        <v>345</v>
      </c>
      <c r="G21" s="7">
        <v>0.9</v>
      </c>
      <c r="H21" s="29" t="s">
        <v>1041</v>
      </c>
      <c r="I21" s="7" t="s">
        <v>1070</v>
      </c>
      <c r="J21" s="29" t="s">
        <v>406</v>
      </c>
    </row>
    <row r="22" spans="1:10" x14ac:dyDescent="0.3">
      <c r="A22" s="30" t="s">
        <v>488</v>
      </c>
      <c r="B22" s="6" t="s">
        <v>1071</v>
      </c>
      <c r="C22" s="6" t="s">
        <v>1009</v>
      </c>
      <c r="D22" s="6" t="s">
        <v>405</v>
      </c>
      <c r="E22" s="6">
        <v>1</v>
      </c>
      <c r="F22" s="6" t="s">
        <v>342</v>
      </c>
      <c r="G22" s="6">
        <v>1</v>
      </c>
      <c r="H22" s="18" t="s">
        <v>1047</v>
      </c>
      <c r="I22" s="6" t="s">
        <v>1072</v>
      </c>
      <c r="J22" s="18" t="s">
        <v>422</v>
      </c>
    </row>
    <row r="23" spans="1:10" x14ac:dyDescent="0.3">
      <c r="A23" s="32" t="s">
        <v>491</v>
      </c>
      <c r="B23" s="7" t="s">
        <v>1073</v>
      </c>
      <c r="C23" s="7" t="s">
        <v>998</v>
      </c>
      <c r="D23" s="7" t="s">
        <v>467</v>
      </c>
      <c r="E23" s="7">
        <v>1</v>
      </c>
      <c r="F23" s="7" t="s">
        <v>348</v>
      </c>
      <c r="G23" s="7">
        <v>0.75</v>
      </c>
      <c r="H23" s="34" t="s">
        <v>1074</v>
      </c>
      <c r="I23" s="7" t="s">
        <v>1075</v>
      </c>
      <c r="J23" s="34" t="s">
        <v>468</v>
      </c>
    </row>
    <row r="24" spans="1:10" x14ac:dyDescent="0.3">
      <c r="A24" s="30" t="s">
        <v>496</v>
      </c>
      <c r="B24" s="6" t="s">
        <v>1076</v>
      </c>
      <c r="C24" s="6" t="s">
        <v>1017</v>
      </c>
      <c r="D24" s="6" t="s">
        <v>499</v>
      </c>
      <c r="E24" s="6">
        <v>1</v>
      </c>
      <c r="F24" s="6" t="s">
        <v>342</v>
      </c>
      <c r="G24" s="6">
        <v>1</v>
      </c>
      <c r="H24" s="18" t="s">
        <v>1047</v>
      </c>
      <c r="I24" s="6" t="s">
        <v>1077</v>
      </c>
      <c r="J24" s="18" t="s">
        <v>422</v>
      </c>
    </row>
    <row r="25" spans="1:10" x14ac:dyDescent="0.3">
      <c r="A25" s="32" t="s">
        <v>500</v>
      </c>
      <c r="B25" s="7" t="s">
        <v>1078</v>
      </c>
      <c r="C25" s="7" t="s">
        <v>988</v>
      </c>
      <c r="D25" s="7" t="s">
        <v>405</v>
      </c>
      <c r="E25" s="7">
        <v>1</v>
      </c>
      <c r="F25" s="7" t="s">
        <v>345</v>
      </c>
      <c r="G25" s="7">
        <v>0.9</v>
      </c>
      <c r="H25" s="31" t="s">
        <v>1043</v>
      </c>
      <c r="I25" s="7" t="s">
        <v>1079</v>
      </c>
      <c r="J25" s="31" t="s">
        <v>411</v>
      </c>
    </row>
  </sheetData>
  <mergeCells count="3">
    <mergeCell ref="A1:J1"/>
    <mergeCell ref="A2:J2"/>
    <mergeCell ref="A3:J3"/>
  </mergeCells>
  <hyperlinks>
    <hyperlink ref="A1" location="'H01_PARAMETROS_GENERALES'!A1" tooltip="Volver a H01_PARAMETROS_GENERALES" display="🔙 Volver al Índice" xr:uid="{457206F2-88E6-4DFC-95FB-6DF117E5FB6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59984-EE37-473E-84EE-73EB138CD315}">
  <dimension ref="A1:R57"/>
  <sheetViews>
    <sheetView zoomScale="102" zoomScaleNormal="102" workbookViewId="0">
      <pane ySplit="5" topLeftCell="A21" activePane="bottomLeft" state="frozen"/>
      <selection pane="bottomLeft" activeCell="B33" sqref="B33"/>
    </sheetView>
  </sheetViews>
  <sheetFormatPr baseColWidth="10" defaultRowHeight="14.4" x14ac:dyDescent="0.3"/>
  <cols>
    <col min="1" max="1" width="22.109375" bestFit="1" customWidth="1"/>
    <col min="2" max="2" width="30.21875" bestFit="1" customWidth="1"/>
    <col min="3" max="3" width="30.44140625" bestFit="1" customWidth="1"/>
    <col min="4" max="4" width="61.33203125" bestFit="1" customWidth="1"/>
    <col min="5" max="5" width="6.44140625" bestFit="1" customWidth="1"/>
    <col min="6" max="9" width="13" customWidth="1"/>
    <col min="10" max="10" width="10.21875" customWidth="1"/>
    <col min="11" max="11" width="11.109375" customWidth="1"/>
    <col min="12" max="13" width="10.21875" customWidth="1"/>
    <col min="14" max="15" width="13" customWidth="1"/>
    <col min="16" max="16" width="14.77734375" customWidth="1"/>
    <col min="17" max="17" width="13" customWidth="1"/>
  </cols>
  <sheetData>
    <row r="1" spans="1:18" x14ac:dyDescent="0.3">
      <c r="A1" s="487" t="s">
        <v>2717</v>
      </c>
      <c r="B1" s="453"/>
      <c r="C1" s="453"/>
      <c r="D1" s="453"/>
      <c r="E1" s="453"/>
      <c r="F1" s="453"/>
      <c r="G1" s="453"/>
      <c r="H1" s="453"/>
      <c r="I1" s="453"/>
      <c r="J1" s="453"/>
      <c r="K1" s="453"/>
      <c r="L1" s="453"/>
      <c r="M1" s="453"/>
      <c r="N1" s="453"/>
      <c r="O1" s="453"/>
      <c r="P1" s="453"/>
      <c r="Q1" s="453"/>
      <c r="R1" s="453"/>
    </row>
    <row r="2" spans="1:18" x14ac:dyDescent="0.3">
      <c r="A2" s="460" t="s">
        <v>1080</v>
      </c>
      <c r="B2" s="455"/>
      <c r="C2" s="455"/>
      <c r="D2" s="455"/>
      <c r="E2" s="455"/>
      <c r="F2" s="455"/>
      <c r="G2" s="455"/>
      <c r="H2" s="455"/>
      <c r="I2" s="455"/>
      <c r="J2" s="455"/>
      <c r="K2" s="455"/>
      <c r="L2" s="455"/>
      <c r="M2" s="455"/>
      <c r="N2" s="455"/>
      <c r="O2" s="455"/>
      <c r="P2" s="455"/>
      <c r="Q2" s="455"/>
      <c r="R2" s="455"/>
    </row>
    <row r="3" spans="1:18" x14ac:dyDescent="0.3">
      <c r="A3" s="470" t="s">
        <v>1081</v>
      </c>
      <c r="B3" s="471"/>
      <c r="C3" s="471"/>
      <c r="D3" s="471"/>
      <c r="E3" s="471"/>
      <c r="F3" s="471"/>
      <c r="G3" s="471"/>
      <c r="H3" s="471"/>
      <c r="I3" s="471"/>
      <c r="J3" s="471"/>
      <c r="K3" s="471"/>
      <c r="L3" s="471"/>
      <c r="M3" s="471"/>
      <c r="N3" s="471"/>
      <c r="O3" s="471"/>
      <c r="P3" s="471"/>
      <c r="Q3" s="471"/>
      <c r="R3" s="471"/>
    </row>
    <row r="5" spans="1:18" x14ac:dyDescent="0.3">
      <c r="A5" s="5" t="s">
        <v>385</v>
      </c>
      <c r="B5" s="5" t="s">
        <v>172</v>
      </c>
      <c r="C5" s="5" t="s">
        <v>175</v>
      </c>
      <c r="D5" s="5" t="s">
        <v>1082</v>
      </c>
      <c r="E5" s="5" t="s">
        <v>514</v>
      </c>
      <c r="F5" s="5" t="s">
        <v>586</v>
      </c>
      <c r="G5" s="5" t="s">
        <v>891</v>
      </c>
      <c r="H5" s="5" t="s">
        <v>1083</v>
      </c>
      <c r="I5" s="5" t="s">
        <v>941</v>
      </c>
      <c r="J5" s="5" t="s">
        <v>168</v>
      </c>
      <c r="K5" s="5" t="s">
        <v>178</v>
      </c>
      <c r="L5" s="5" t="s">
        <v>181</v>
      </c>
      <c r="M5" s="5" t="s">
        <v>184</v>
      </c>
      <c r="N5" s="5" t="s">
        <v>1084</v>
      </c>
      <c r="O5" s="5" t="s">
        <v>1085</v>
      </c>
      <c r="P5" s="5" t="s">
        <v>1086</v>
      </c>
      <c r="Q5" s="5" t="s">
        <v>399</v>
      </c>
    </row>
    <row r="6" spans="1:18" x14ac:dyDescent="0.3">
      <c r="A6" s="30" t="s">
        <v>401</v>
      </c>
      <c r="B6" s="22">
        <v>0.2230971128608924</v>
      </c>
      <c r="C6" s="6">
        <v>1.5</v>
      </c>
      <c r="D6" s="6" t="s">
        <v>250</v>
      </c>
      <c r="E6" s="6">
        <v>1</v>
      </c>
      <c r="F6" s="6">
        <v>1</v>
      </c>
      <c r="G6" s="6">
        <v>1</v>
      </c>
      <c r="H6" s="6">
        <v>0</v>
      </c>
      <c r="I6" s="6">
        <v>0</v>
      </c>
      <c r="J6" s="31">
        <v>1</v>
      </c>
      <c r="K6" s="9">
        <v>0.85</v>
      </c>
      <c r="L6" s="6">
        <v>1</v>
      </c>
      <c r="M6" s="6">
        <v>1</v>
      </c>
      <c r="N6" s="22">
        <f t="shared" ref="N6:N25" si="0">B6*C6*J6*L6*K6*M6</f>
        <v>0.28444881889763779</v>
      </c>
      <c r="O6" s="22">
        <v>0.3346456692913386</v>
      </c>
      <c r="P6" s="9">
        <f t="shared" ref="P6:P25" si="1">IF(O6&gt;0,N6/O6*100,0)</f>
        <v>85</v>
      </c>
      <c r="Q6" s="29" t="s">
        <v>406</v>
      </c>
    </row>
    <row r="7" spans="1:18" x14ac:dyDescent="0.3">
      <c r="A7" s="32" t="s">
        <v>408</v>
      </c>
      <c r="B7" s="25">
        <v>0.16272965879265092</v>
      </c>
      <c r="C7" s="7">
        <v>1.5</v>
      </c>
      <c r="D7" s="7" t="s">
        <v>250</v>
      </c>
      <c r="E7" s="7">
        <v>1</v>
      </c>
      <c r="F7" s="7">
        <v>0</v>
      </c>
      <c r="G7" s="7">
        <v>1</v>
      </c>
      <c r="H7" s="7">
        <v>0</v>
      </c>
      <c r="I7" s="7">
        <v>0</v>
      </c>
      <c r="J7" s="31">
        <v>1</v>
      </c>
      <c r="K7" s="41">
        <v>0.06</v>
      </c>
      <c r="L7" s="7">
        <v>1</v>
      </c>
      <c r="M7" s="7">
        <v>1</v>
      </c>
      <c r="N7" s="25">
        <f t="shared" si="0"/>
        <v>1.4645669291338584E-2</v>
      </c>
      <c r="O7" s="25">
        <v>0.24409448818897639</v>
      </c>
      <c r="P7" s="41">
        <f t="shared" si="1"/>
        <v>6</v>
      </c>
      <c r="Q7" s="31" t="s">
        <v>411</v>
      </c>
    </row>
    <row r="8" spans="1:18" x14ac:dyDescent="0.3">
      <c r="A8" s="30" t="s">
        <v>413</v>
      </c>
      <c r="B8" s="22">
        <v>4.7244094488188976E-2</v>
      </c>
      <c r="C8" s="6">
        <v>1.5</v>
      </c>
      <c r="D8" s="6" t="s">
        <v>348</v>
      </c>
      <c r="E8" s="6">
        <v>1</v>
      </c>
      <c r="F8" s="6">
        <v>0</v>
      </c>
      <c r="G8" s="6">
        <v>0</v>
      </c>
      <c r="H8" s="6">
        <v>0</v>
      </c>
      <c r="I8" s="6">
        <v>0</v>
      </c>
      <c r="J8" s="31">
        <v>0</v>
      </c>
      <c r="K8" s="9">
        <v>0</v>
      </c>
      <c r="L8" s="6">
        <v>0.75</v>
      </c>
      <c r="M8" s="6">
        <v>1</v>
      </c>
      <c r="N8" s="22">
        <f t="shared" si="0"/>
        <v>0</v>
      </c>
      <c r="O8" s="22">
        <v>7.0866141732283464E-2</v>
      </c>
      <c r="P8" s="9">
        <f t="shared" si="1"/>
        <v>0</v>
      </c>
      <c r="Q8" s="31" t="s">
        <v>411</v>
      </c>
    </row>
    <row r="9" spans="1:18" x14ac:dyDescent="0.3">
      <c r="A9" s="32" t="s">
        <v>418</v>
      </c>
      <c r="B9" s="25">
        <v>8.3989501312335957E-2</v>
      </c>
      <c r="C9" s="7">
        <v>1</v>
      </c>
      <c r="D9" s="7" t="s">
        <v>250</v>
      </c>
      <c r="E9" s="7">
        <v>1</v>
      </c>
      <c r="F9" s="7">
        <v>1</v>
      </c>
      <c r="G9" s="7">
        <v>1</v>
      </c>
      <c r="H9" s="7">
        <v>1</v>
      </c>
      <c r="I9" s="7">
        <v>1</v>
      </c>
      <c r="J9" s="18">
        <v>1</v>
      </c>
      <c r="K9" s="41">
        <v>0.9</v>
      </c>
      <c r="L9" s="7">
        <v>1</v>
      </c>
      <c r="M9" s="7">
        <v>1</v>
      </c>
      <c r="N9" s="25">
        <f t="shared" si="0"/>
        <v>7.5590551181102361E-2</v>
      </c>
      <c r="O9" s="25">
        <v>8.3989501312335957E-2</v>
      </c>
      <c r="P9" s="41">
        <f t="shared" si="1"/>
        <v>90</v>
      </c>
      <c r="Q9" s="18" t="s">
        <v>422</v>
      </c>
    </row>
    <row r="10" spans="1:18" x14ac:dyDescent="0.3">
      <c r="A10" s="30" t="s">
        <v>424</v>
      </c>
      <c r="B10" s="22">
        <v>3.937007874015748E-2</v>
      </c>
      <c r="C10" s="6">
        <v>1</v>
      </c>
      <c r="D10" s="6" t="s">
        <v>250</v>
      </c>
      <c r="E10" s="6">
        <v>1</v>
      </c>
      <c r="F10" s="6">
        <v>1</v>
      </c>
      <c r="G10" s="6">
        <v>1</v>
      </c>
      <c r="H10" s="6">
        <v>0</v>
      </c>
      <c r="I10" s="6">
        <v>0</v>
      </c>
      <c r="J10" s="31">
        <v>1</v>
      </c>
      <c r="K10" s="9">
        <v>0.75</v>
      </c>
      <c r="L10" s="6">
        <v>1</v>
      </c>
      <c r="M10" s="6">
        <v>1</v>
      </c>
      <c r="N10" s="22">
        <f t="shared" si="0"/>
        <v>2.952755905511811E-2</v>
      </c>
      <c r="O10" s="22">
        <v>3.937007874015748E-2</v>
      </c>
      <c r="P10" s="9">
        <f t="shared" si="1"/>
        <v>75</v>
      </c>
      <c r="Q10" s="29" t="s">
        <v>406</v>
      </c>
    </row>
    <row r="11" spans="1:18" x14ac:dyDescent="0.3">
      <c r="A11" s="32" t="s">
        <v>430</v>
      </c>
      <c r="B11" s="25">
        <v>7.3490813648293962E-2</v>
      </c>
      <c r="C11" s="7">
        <v>1</v>
      </c>
      <c r="D11" s="7" t="s">
        <v>364</v>
      </c>
      <c r="E11" s="7">
        <v>1</v>
      </c>
      <c r="F11" s="7">
        <v>0</v>
      </c>
      <c r="G11" s="7">
        <v>1</v>
      </c>
      <c r="H11" s="7">
        <v>0</v>
      </c>
      <c r="I11" s="7">
        <v>0</v>
      </c>
      <c r="J11" s="31">
        <v>0</v>
      </c>
      <c r="K11" s="41">
        <v>0.08</v>
      </c>
      <c r="L11" s="7">
        <v>0.9</v>
      </c>
      <c r="M11" s="7">
        <v>0.9</v>
      </c>
      <c r="N11" s="25">
        <f t="shared" si="0"/>
        <v>0</v>
      </c>
      <c r="O11" s="25">
        <v>7.3490813648293962E-2</v>
      </c>
      <c r="P11" s="41">
        <f t="shared" si="1"/>
        <v>0</v>
      </c>
      <c r="Q11" s="31" t="s">
        <v>411</v>
      </c>
    </row>
    <row r="12" spans="1:18" x14ac:dyDescent="0.3">
      <c r="A12" s="30" t="s">
        <v>436</v>
      </c>
      <c r="B12" s="22">
        <v>2.4934383202099737E-2</v>
      </c>
      <c r="C12" s="6">
        <v>1</v>
      </c>
      <c r="D12" s="6" t="s">
        <v>364</v>
      </c>
      <c r="E12" s="6">
        <v>1</v>
      </c>
      <c r="F12" s="6">
        <v>1</v>
      </c>
      <c r="G12" s="6">
        <v>1</v>
      </c>
      <c r="H12" s="6">
        <v>0</v>
      </c>
      <c r="I12" s="6">
        <v>0</v>
      </c>
      <c r="J12" s="31">
        <v>1</v>
      </c>
      <c r="K12" s="9">
        <v>0.78</v>
      </c>
      <c r="L12" s="6">
        <v>0.9</v>
      </c>
      <c r="M12" s="6">
        <v>0.9</v>
      </c>
      <c r="N12" s="22">
        <f t="shared" si="0"/>
        <v>1.5753543307086615E-2</v>
      </c>
      <c r="O12" s="22">
        <v>2.4934383202099737E-2</v>
      </c>
      <c r="P12" s="9">
        <f t="shared" si="1"/>
        <v>63.18</v>
      </c>
      <c r="Q12" s="29" t="s">
        <v>406</v>
      </c>
    </row>
    <row r="13" spans="1:18" x14ac:dyDescent="0.3">
      <c r="A13" s="32" t="s">
        <v>441</v>
      </c>
      <c r="B13" s="25">
        <v>3.1496062992125984E-2</v>
      </c>
      <c r="C13" s="7">
        <v>1</v>
      </c>
      <c r="D13" s="7" t="s">
        <v>250</v>
      </c>
      <c r="E13" s="7">
        <v>1</v>
      </c>
      <c r="F13" s="7">
        <v>0</v>
      </c>
      <c r="G13" s="7">
        <v>0</v>
      </c>
      <c r="H13" s="7">
        <v>0</v>
      </c>
      <c r="I13" s="7">
        <v>0</v>
      </c>
      <c r="J13" s="31">
        <v>0</v>
      </c>
      <c r="K13" s="41">
        <v>0</v>
      </c>
      <c r="L13" s="7">
        <v>1</v>
      </c>
      <c r="M13" s="7">
        <v>1</v>
      </c>
      <c r="N13" s="25">
        <f t="shared" si="0"/>
        <v>0</v>
      </c>
      <c r="O13" s="25">
        <v>3.1496062992125984E-2</v>
      </c>
      <c r="P13" s="41">
        <f t="shared" si="1"/>
        <v>0</v>
      </c>
      <c r="Q13" s="31" t="s">
        <v>411</v>
      </c>
    </row>
    <row r="14" spans="1:18" x14ac:dyDescent="0.3">
      <c r="A14" s="30" t="s">
        <v>447</v>
      </c>
      <c r="B14" s="22">
        <v>5.5118110236220472E-2</v>
      </c>
      <c r="C14" s="6">
        <v>1.5</v>
      </c>
      <c r="D14" s="6" t="s">
        <v>250</v>
      </c>
      <c r="E14" s="6">
        <v>1</v>
      </c>
      <c r="F14" s="6">
        <v>0</v>
      </c>
      <c r="G14" s="6">
        <v>1</v>
      </c>
      <c r="H14" s="6">
        <v>0</v>
      </c>
      <c r="I14" s="6">
        <v>0</v>
      </c>
      <c r="J14" s="31">
        <v>0</v>
      </c>
      <c r="K14" s="9">
        <v>0.1</v>
      </c>
      <c r="L14" s="6">
        <v>1</v>
      </c>
      <c r="M14" s="6">
        <v>1</v>
      </c>
      <c r="N14" s="22">
        <f t="shared" si="0"/>
        <v>0</v>
      </c>
      <c r="O14" s="22">
        <v>8.2677165354330701E-2</v>
      </c>
      <c r="P14" s="9">
        <f t="shared" si="1"/>
        <v>0</v>
      </c>
      <c r="Q14" s="31" t="s">
        <v>411</v>
      </c>
    </row>
    <row r="15" spans="1:18" x14ac:dyDescent="0.3">
      <c r="A15" s="32" t="s">
        <v>451</v>
      </c>
      <c r="B15" s="25">
        <v>1.1811023622047244E-2</v>
      </c>
      <c r="C15" s="7">
        <v>0.5</v>
      </c>
      <c r="D15" s="7" t="s">
        <v>250</v>
      </c>
      <c r="E15" s="7">
        <v>1</v>
      </c>
      <c r="F15" s="7">
        <v>1</v>
      </c>
      <c r="G15" s="7">
        <v>1</v>
      </c>
      <c r="H15" s="7">
        <v>1</v>
      </c>
      <c r="I15" s="7">
        <v>1</v>
      </c>
      <c r="J15" s="18">
        <v>1</v>
      </c>
      <c r="K15" s="41">
        <v>1</v>
      </c>
      <c r="L15" s="7">
        <v>1</v>
      </c>
      <c r="M15" s="7">
        <v>1</v>
      </c>
      <c r="N15" s="25">
        <f t="shared" si="0"/>
        <v>5.905511811023622E-3</v>
      </c>
      <c r="O15" s="25">
        <v>5.905511811023622E-3</v>
      </c>
      <c r="P15" s="41">
        <f t="shared" si="1"/>
        <v>100</v>
      </c>
      <c r="Q15" s="18" t="s">
        <v>422</v>
      </c>
    </row>
    <row r="16" spans="1:18" x14ac:dyDescent="0.3">
      <c r="A16" s="30" t="s">
        <v>457</v>
      </c>
      <c r="B16" s="22">
        <v>4.7244094488188976E-2</v>
      </c>
      <c r="C16" s="6">
        <v>0.5</v>
      </c>
      <c r="D16" s="6" t="s">
        <v>345</v>
      </c>
      <c r="E16" s="6">
        <v>1</v>
      </c>
      <c r="F16" s="6">
        <v>1</v>
      </c>
      <c r="G16" s="6">
        <v>1</v>
      </c>
      <c r="H16" s="6">
        <v>1</v>
      </c>
      <c r="I16" s="6">
        <v>0</v>
      </c>
      <c r="J16" s="18">
        <v>1</v>
      </c>
      <c r="K16" s="9">
        <v>0.7</v>
      </c>
      <c r="L16" s="6">
        <v>0.9</v>
      </c>
      <c r="M16" s="6">
        <v>1</v>
      </c>
      <c r="N16" s="22">
        <f t="shared" si="0"/>
        <v>1.4881889763779526E-2</v>
      </c>
      <c r="O16" s="22">
        <v>2.3622047244094488E-2</v>
      </c>
      <c r="P16" s="9">
        <f t="shared" si="1"/>
        <v>63</v>
      </c>
      <c r="Q16" s="29" t="s">
        <v>406</v>
      </c>
    </row>
    <row r="17" spans="1:17" x14ac:dyDescent="0.3">
      <c r="A17" s="32" t="s">
        <v>463</v>
      </c>
      <c r="B17" s="25">
        <v>9.9737532808398949E-3</v>
      </c>
      <c r="C17" s="7">
        <v>1</v>
      </c>
      <c r="D17" s="7" t="s">
        <v>250</v>
      </c>
      <c r="E17" s="7">
        <v>1</v>
      </c>
      <c r="F17" s="7">
        <v>1</v>
      </c>
      <c r="G17" s="7">
        <v>1</v>
      </c>
      <c r="H17" s="7">
        <v>1</v>
      </c>
      <c r="I17" s="7">
        <v>0.5</v>
      </c>
      <c r="J17" s="18">
        <v>1</v>
      </c>
      <c r="K17" s="41">
        <v>0.08</v>
      </c>
      <c r="L17" s="7">
        <v>0.75</v>
      </c>
      <c r="M17" s="7">
        <v>1</v>
      </c>
      <c r="N17" s="25">
        <f t="shared" si="0"/>
        <v>5.9842519685039371E-4</v>
      </c>
      <c r="O17" s="25">
        <v>9.9737532808398949E-3</v>
      </c>
      <c r="P17" s="41">
        <f t="shared" si="1"/>
        <v>6.0000000000000009</v>
      </c>
      <c r="Q17" s="34" t="s">
        <v>468</v>
      </c>
    </row>
    <row r="18" spans="1:17" x14ac:dyDescent="0.3">
      <c r="A18" s="30" t="s">
        <v>470</v>
      </c>
      <c r="B18" s="22">
        <v>4.7244094488188976E-3</v>
      </c>
      <c r="C18" s="6">
        <v>0.5</v>
      </c>
      <c r="D18" s="6" t="s">
        <v>364</v>
      </c>
      <c r="E18" s="6">
        <v>1</v>
      </c>
      <c r="F18" s="6">
        <v>1</v>
      </c>
      <c r="G18" s="6">
        <v>1</v>
      </c>
      <c r="H18" s="6">
        <v>1</v>
      </c>
      <c r="I18" s="6">
        <v>1</v>
      </c>
      <c r="J18" s="18">
        <v>1</v>
      </c>
      <c r="K18" s="9">
        <v>1</v>
      </c>
      <c r="L18" s="6">
        <v>0.9</v>
      </c>
      <c r="M18" s="6">
        <v>0.9</v>
      </c>
      <c r="N18" s="22">
        <f t="shared" si="0"/>
        <v>1.9133858267716534E-3</v>
      </c>
      <c r="O18" s="22">
        <v>2.3622047244094488E-3</v>
      </c>
      <c r="P18" s="9">
        <f t="shared" si="1"/>
        <v>81</v>
      </c>
      <c r="Q18" s="18" t="s">
        <v>422</v>
      </c>
    </row>
    <row r="19" spans="1:17" x14ac:dyDescent="0.3">
      <c r="A19" s="32" t="s">
        <v>474</v>
      </c>
      <c r="B19" s="25">
        <v>1.6272965879265092E-2</v>
      </c>
      <c r="C19" s="7">
        <v>1</v>
      </c>
      <c r="D19" s="7" t="s">
        <v>250</v>
      </c>
      <c r="E19" s="7">
        <v>1</v>
      </c>
      <c r="F19" s="7">
        <v>1</v>
      </c>
      <c r="G19" s="7">
        <v>1</v>
      </c>
      <c r="H19" s="7">
        <v>0</v>
      </c>
      <c r="I19" s="7">
        <v>0</v>
      </c>
      <c r="J19" s="31">
        <v>1</v>
      </c>
      <c r="K19" s="41">
        <v>0.7</v>
      </c>
      <c r="L19" s="7">
        <v>1</v>
      </c>
      <c r="M19" s="7">
        <v>1</v>
      </c>
      <c r="N19" s="25">
        <f t="shared" si="0"/>
        <v>1.1391076115485564E-2</v>
      </c>
      <c r="O19" s="25">
        <v>1.6272965879265092E-2</v>
      </c>
      <c r="P19" s="41">
        <f t="shared" si="1"/>
        <v>70</v>
      </c>
      <c r="Q19" s="29" t="s">
        <v>406</v>
      </c>
    </row>
    <row r="20" spans="1:17" x14ac:dyDescent="0.3">
      <c r="A20" s="30" t="s">
        <v>478</v>
      </c>
      <c r="B20" s="22">
        <v>7.3490813648293962E-3</v>
      </c>
      <c r="C20" s="6">
        <v>0.5</v>
      </c>
      <c r="D20" s="6" t="s">
        <v>250</v>
      </c>
      <c r="E20" s="6">
        <v>1</v>
      </c>
      <c r="F20" s="6">
        <v>1</v>
      </c>
      <c r="G20" s="6">
        <v>1</v>
      </c>
      <c r="H20" s="6">
        <v>1</v>
      </c>
      <c r="I20" s="6">
        <v>1</v>
      </c>
      <c r="J20" s="18">
        <v>1</v>
      </c>
      <c r="K20" s="9">
        <v>1</v>
      </c>
      <c r="L20" s="6">
        <v>1</v>
      </c>
      <c r="M20" s="6">
        <v>1</v>
      </c>
      <c r="N20" s="22">
        <f t="shared" si="0"/>
        <v>3.6745406824146981E-3</v>
      </c>
      <c r="O20" s="22">
        <v>3.6745406824146981E-3</v>
      </c>
      <c r="P20" s="9">
        <f t="shared" si="1"/>
        <v>100</v>
      </c>
      <c r="Q20" s="18" t="s">
        <v>422</v>
      </c>
    </row>
    <row r="21" spans="1:17" x14ac:dyDescent="0.3">
      <c r="A21" s="32" t="s">
        <v>482</v>
      </c>
      <c r="B21" s="25">
        <v>8.3989501312335957E-3</v>
      </c>
      <c r="C21" s="7">
        <v>1.5</v>
      </c>
      <c r="D21" s="7" t="s">
        <v>345</v>
      </c>
      <c r="E21" s="7">
        <v>1</v>
      </c>
      <c r="F21" s="7">
        <v>1</v>
      </c>
      <c r="G21" s="7">
        <v>1</v>
      </c>
      <c r="H21" s="7">
        <v>1</v>
      </c>
      <c r="I21" s="7">
        <v>0</v>
      </c>
      <c r="J21" s="18">
        <v>1</v>
      </c>
      <c r="K21" s="41">
        <v>0.8</v>
      </c>
      <c r="L21" s="7">
        <v>0.9</v>
      </c>
      <c r="M21" s="7">
        <v>1</v>
      </c>
      <c r="N21" s="25">
        <f t="shared" si="0"/>
        <v>9.0708661417322842E-3</v>
      </c>
      <c r="O21" s="25">
        <v>1.2598425196850394E-2</v>
      </c>
      <c r="P21" s="41">
        <f t="shared" si="1"/>
        <v>72.000000000000014</v>
      </c>
      <c r="Q21" s="29" t="s">
        <v>406</v>
      </c>
    </row>
    <row r="22" spans="1:17" x14ac:dyDescent="0.3">
      <c r="A22" s="30" t="s">
        <v>488</v>
      </c>
      <c r="B22" s="22">
        <v>2.2309711286089239E-2</v>
      </c>
      <c r="C22" s="6">
        <v>1</v>
      </c>
      <c r="D22" s="6" t="s">
        <v>250</v>
      </c>
      <c r="E22" s="6">
        <v>1</v>
      </c>
      <c r="F22" s="6">
        <v>1</v>
      </c>
      <c r="G22" s="6">
        <v>1</v>
      </c>
      <c r="H22" s="6">
        <v>1</v>
      </c>
      <c r="I22" s="6">
        <v>1</v>
      </c>
      <c r="J22" s="18">
        <v>1</v>
      </c>
      <c r="K22" s="9">
        <v>0.9</v>
      </c>
      <c r="L22" s="6">
        <v>1</v>
      </c>
      <c r="M22" s="6">
        <v>1</v>
      </c>
      <c r="N22" s="22">
        <f t="shared" si="0"/>
        <v>2.0078740157480315E-2</v>
      </c>
      <c r="O22" s="22">
        <v>2.2309711286089239E-2</v>
      </c>
      <c r="P22" s="9">
        <f t="shared" si="1"/>
        <v>90</v>
      </c>
      <c r="Q22" s="18" t="s">
        <v>422</v>
      </c>
    </row>
    <row r="23" spans="1:17" x14ac:dyDescent="0.3">
      <c r="A23" s="32" t="s">
        <v>491</v>
      </c>
      <c r="B23" s="25">
        <v>1.1023622047244094E-2</v>
      </c>
      <c r="C23" s="7">
        <v>1</v>
      </c>
      <c r="D23" s="7" t="s">
        <v>348</v>
      </c>
      <c r="E23" s="7">
        <v>0</v>
      </c>
      <c r="F23" s="7">
        <v>0</v>
      </c>
      <c r="G23" s="7">
        <v>0</v>
      </c>
      <c r="H23" s="7">
        <v>0</v>
      </c>
      <c r="I23" s="7">
        <v>0</v>
      </c>
      <c r="J23" s="31">
        <v>0</v>
      </c>
      <c r="K23" s="41">
        <v>0</v>
      </c>
      <c r="L23" s="7">
        <v>0.75</v>
      </c>
      <c r="M23" s="7">
        <v>1</v>
      </c>
      <c r="N23" s="25">
        <f t="shared" si="0"/>
        <v>0</v>
      </c>
      <c r="O23" s="25">
        <v>1.1023622047244094E-2</v>
      </c>
      <c r="P23" s="41">
        <f t="shared" si="1"/>
        <v>0</v>
      </c>
      <c r="Q23" s="34" t="s">
        <v>468</v>
      </c>
    </row>
    <row r="24" spans="1:17" x14ac:dyDescent="0.3">
      <c r="A24" s="30" t="s">
        <v>496</v>
      </c>
      <c r="B24" s="22">
        <v>9.1863517060367453E-3</v>
      </c>
      <c r="C24" s="6">
        <v>0.5</v>
      </c>
      <c r="D24" s="6" t="s">
        <v>250</v>
      </c>
      <c r="E24" s="6">
        <v>1</v>
      </c>
      <c r="F24" s="6">
        <v>1</v>
      </c>
      <c r="G24" s="6">
        <v>1</v>
      </c>
      <c r="H24" s="6">
        <v>1</v>
      </c>
      <c r="I24" s="6">
        <v>1</v>
      </c>
      <c r="J24" s="18">
        <v>1</v>
      </c>
      <c r="K24" s="9">
        <v>0.8</v>
      </c>
      <c r="L24" s="6">
        <v>1</v>
      </c>
      <c r="M24" s="6">
        <v>1</v>
      </c>
      <c r="N24" s="22">
        <f t="shared" si="0"/>
        <v>3.6745406824146981E-3</v>
      </c>
      <c r="O24" s="22">
        <v>4.5931758530183726E-3</v>
      </c>
      <c r="P24" s="9">
        <f t="shared" si="1"/>
        <v>80</v>
      </c>
      <c r="Q24" s="18" t="s">
        <v>422</v>
      </c>
    </row>
    <row r="25" spans="1:17" x14ac:dyDescent="0.3">
      <c r="A25" s="32" t="s">
        <v>500</v>
      </c>
      <c r="B25" s="25">
        <v>0.11023622047244094</v>
      </c>
      <c r="C25" s="7">
        <v>1.5</v>
      </c>
      <c r="D25" s="7" t="s">
        <v>364</v>
      </c>
      <c r="E25" s="7">
        <v>1</v>
      </c>
      <c r="F25" s="7">
        <v>1</v>
      </c>
      <c r="G25" s="7">
        <v>1</v>
      </c>
      <c r="H25" s="7">
        <v>1</v>
      </c>
      <c r="I25" s="7">
        <v>0</v>
      </c>
      <c r="J25" s="31">
        <v>1</v>
      </c>
      <c r="K25" s="41">
        <v>0.2</v>
      </c>
      <c r="L25" s="7">
        <v>0.9</v>
      </c>
      <c r="M25" s="7">
        <v>1</v>
      </c>
      <c r="N25" s="25">
        <f t="shared" si="0"/>
        <v>2.9763779527559056E-2</v>
      </c>
      <c r="O25" s="25">
        <v>0.1653543307086614</v>
      </c>
      <c r="P25" s="41">
        <f t="shared" si="1"/>
        <v>18.000000000000004</v>
      </c>
      <c r="Q25" s="31" t="s">
        <v>411</v>
      </c>
    </row>
    <row r="27" spans="1:17" x14ac:dyDescent="0.3">
      <c r="A27" s="5" t="s">
        <v>1087</v>
      </c>
      <c r="B27" s="60">
        <f>SUM(B6:B25)</f>
        <v>1</v>
      </c>
      <c r="C27" s="2"/>
      <c r="D27" s="2"/>
      <c r="E27" s="2"/>
      <c r="F27" s="2"/>
      <c r="G27" s="2"/>
      <c r="H27" s="2"/>
      <c r="I27" s="2"/>
      <c r="J27" s="2"/>
      <c r="K27" s="2"/>
      <c r="L27" s="2"/>
      <c r="M27" s="2"/>
      <c r="N27" s="60">
        <f>SUM(N6:N25)</f>
        <v>0.5209188976377952</v>
      </c>
      <c r="O27" s="60">
        <f>SUM(O6:O25)</f>
        <v>1.2632545931758534</v>
      </c>
      <c r="P27" s="44">
        <f>N27/O27</f>
        <v>0.41236255973405339</v>
      </c>
      <c r="Q27" s="2"/>
    </row>
    <row r="29" spans="1:17" ht="15.6" x14ac:dyDescent="0.3">
      <c r="A29" s="491" t="s">
        <v>1088</v>
      </c>
      <c r="B29" s="455"/>
      <c r="C29" s="455"/>
      <c r="D29" s="455"/>
    </row>
    <row r="30" spans="1:17" x14ac:dyDescent="0.3">
      <c r="A30" s="1" t="s">
        <v>1089</v>
      </c>
      <c r="B30" s="328">
        <f>SUM(N6:N25)</f>
        <v>0.5209188976377952</v>
      </c>
      <c r="C30" s="263"/>
      <c r="D30" s="263"/>
    </row>
    <row r="31" spans="1:17" x14ac:dyDescent="0.3">
      <c r="A31" s="1" t="s">
        <v>1090</v>
      </c>
      <c r="B31" s="328">
        <f>SUM(O6:O25)</f>
        <v>1.2632545931758534</v>
      </c>
      <c r="C31" s="263"/>
      <c r="D31" s="263"/>
    </row>
    <row r="32" spans="1:17" ht="23.4" x14ac:dyDescent="0.45">
      <c r="A32" s="61" t="s">
        <v>1091</v>
      </c>
      <c r="B32" s="329">
        <f>B30/B31*100</f>
        <v>41.236255973405342</v>
      </c>
      <c r="C32" s="262"/>
      <c r="D32" s="262"/>
    </row>
    <row r="33" spans="1:4" x14ac:dyDescent="0.3">
      <c r="A33" s="1" t="s">
        <v>1092</v>
      </c>
      <c r="B33" s="265" t="str">
        <f>IF(ABS(SUM(B6:B25)-1)&lt;0.0001,"✅ Suma P_i = 1.0000 CORRECTO","❌ ERROR: Suma ≠ 1")</f>
        <v>✅ Suma P_i = 1.0000 CORRECTO</v>
      </c>
      <c r="C33" s="264"/>
      <c r="D33" s="264"/>
    </row>
    <row r="35" spans="1:4" x14ac:dyDescent="0.3">
      <c r="A35" s="456" t="s">
        <v>1093</v>
      </c>
      <c r="B35" s="488"/>
      <c r="C35" s="488"/>
      <c r="D35" s="488"/>
    </row>
    <row r="36" spans="1:4" ht="18" x14ac:dyDescent="0.35">
      <c r="A36" s="1" t="s">
        <v>1094</v>
      </c>
      <c r="B36" s="489" t="str">
        <f>IF(B32&gt;=90,"⭐ Excelencia en Trazabilidad",IF(B32&gt;=70,"✅ Gestión por Mandato",IF(B32&gt;=40,"⚠️ Transición Crítica",IF(B32&gt;=20,"🔶 Gestión por Ocurrencia","🔴 Ruptura Sistémica"))))</f>
        <v>⚠️ Transición Crítica</v>
      </c>
      <c r="C36" s="489"/>
      <c r="D36" s="489"/>
    </row>
    <row r="38" spans="1:4" x14ac:dyDescent="0.3">
      <c r="A38" s="5" t="s">
        <v>1095</v>
      </c>
      <c r="B38" s="5" t="s">
        <v>1096</v>
      </c>
      <c r="C38" s="5" t="s">
        <v>6</v>
      </c>
    </row>
    <row r="39" spans="1:4" x14ac:dyDescent="0.3">
      <c r="A39" s="6" t="s">
        <v>1097</v>
      </c>
      <c r="B39" s="6" t="s">
        <v>1098</v>
      </c>
      <c r="C39" s="6" t="s">
        <v>1099</v>
      </c>
    </row>
    <row r="40" spans="1:4" x14ac:dyDescent="0.3">
      <c r="A40" s="7" t="s">
        <v>1100</v>
      </c>
      <c r="B40" s="7" t="s">
        <v>1101</v>
      </c>
      <c r="C40" s="7" t="s">
        <v>1102</v>
      </c>
    </row>
    <row r="41" spans="1:4" x14ac:dyDescent="0.3">
      <c r="A41" s="6" t="s">
        <v>1103</v>
      </c>
      <c r="B41" s="6" t="s">
        <v>1104</v>
      </c>
      <c r="C41" s="6" t="s">
        <v>1105</v>
      </c>
    </row>
    <row r="42" spans="1:4" x14ac:dyDescent="0.3">
      <c r="A42" s="7" t="s">
        <v>1106</v>
      </c>
      <c r="B42" s="7" t="s">
        <v>1107</v>
      </c>
      <c r="C42" s="7" t="s">
        <v>1108</v>
      </c>
    </row>
    <row r="43" spans="1:4" x14ac:dyDescent="0.3">
      <c r="A43" s="6" t="s">
        <v>1109</v>
      </c>
      <c r="B43" s="6" t="s">
        <v>1110</v>
      </c>
      <c r="C43" s="6" t="s">
        <v>1111</v>
      </c>
    </row>
    <row r="45" spans="1:4" x14ac:dyDescent="0.3">
      <c r="A45" s="456" t="s">
        <v>1112</v>
      </c>
      <c r="B45" s="455"/>
      <c r="C45" s="455"/>
      <c r="D45" s="455"/>
    </row>
    <row r="46" spans="1:4" x14ac:dyDescent="0.3">
      <c r="A46" s="1" t="s">
        <v>1113</v>
      </c>
      <c r="B46" s="62">
        <f>H01_PARAMETROS_GENERALES!B12*100</f>
        <v>100</v>
      </c>
    </row>
    <row r="47" spans="1:4" x14ac:dyDescent="0.3">
      <c r="A47" s="1" t="s">
        <v>1114</v>
      </c>
      <c r="B47" s="62">
        <f>B32</f>
        <v>41.236255973405342</v>
      </c>
    </row>
    <row r="48" spans="1:4" x14ac:dyDescent="0.3">
      <c r="A48" s="1" t="s">
        <v>1115</v>
      </c>
      <c r="B48" s="63">
        <f>H01_PARAMETROS_GENERALES!B12*100-B32</f>
        <v>58.763744026594658</v>
      </c>
    </row>
    <row r="49" spans="1:4" x14ac:dyDescent="0.3">
      <c r="A49" s="1" t="s">
        <v>1116</v>
      </c>
      <c r="B49" s="1" t="str">
        <f>IF(ABS(B48)&gt;50,"Brecha Crítica",IF(ABS(B48)&gt;30,"Brecha Alta",IF(ABS(B48)&gt;15,"Brecha Media","Brecha Baja")))</f>
        <v>Brecha Crítica</v>
      </c>
    </row>
    <row r="50" spans="1:4" x14ac:dyDescent="0.3">
      <c r="A50" s="1" t="s">
        <v>1117</v>
      </c>
      <c r="B50" s="490" t="str">
        <f>"El sistema certificó "&amp;TEXT(B32,"0.0")&amp;"% mientras el ICM reportado es "&amp;TEXT(H01_PARAMETROS_GENERALES!B12*100,"0.0")&amp;"%. La diferencia de "&amp;TEXT(ABS(B48),"0.0")&amp;" pp representa inversión sin trazabilidad documental completa."</f>
        <v>El sistema certificó 41% mientras el ICM reportado es 100%. La diferencia de 59 pp representa inversión sin trazabilidad documental completa.</v>
      </c>
      <c r="C50" s="490"/>
      <c r="D50" s="490"/>
    </row>
    <row r="52" spans="1:4" x14ac:dyDescent="0.3">
      <c r="A52" s="456" t="s">
        <v>1118</v>
      </c>
      <c r="B52" s="488"/>
      <c r="C52" s="488"/>
      <c r="D52" s="488"/>
    </row>
    <row r="53" spans="1:4" x14ac:dyDescent="0.3">
      <c r="A53" s="5" t="s">
        <v>1119</v>
      </c>
      <c r="B53" s="248" t="s">
        <v>1120</v>
      </c>
      <c r="C53" s="248" t="s">
        <v>1121</v>
      </c>
      <c r="D53" s="5" t="s">
        <v>1122</v>
      </c>
    </row>
    <row r="54" spans="1:4" x14ac:dyDescent="0.3">
      <c r="A54" s="17" t="s">
        <v>422</v>
      </c>
      <c r="B54" s="247">
        <v>5</v>
      </c>
      <c r="C54" s="320" cm="1">
        <f t="array" ref="C54">IF(SUMPRODUCT((Q6:Q25="Nivel1")*(O6:O25))&gt;0,SUMPRODUCT((Q6:Q25="Nivel1")*(N6:N25))/SUMPRODUCT((Q6:Q25="Nivel1")*(O6:O25))*100,0)</f>
        <v>90.232905982906004</v>
      </c>
      <c r="D54" t="s">
        <v>1123</v>
      </c>
    </row>
    <row r="55" spans="1:4" x14ac:dyDescent="0.3">
      <c r="A55" s="27" t="s">
        <v>406</v>
      </c>
      <c r="B55" s="247">
        <v>6</v>
      </c>
      <c r="C55" s="320" cm="1">
        <f t="array" ref="C55">IF(SUMPRODUCT((Q6:Q25="Nivel2")*(O6:O25))&gt;0,SUMPRODUCT((Q6:Q25="Nivel2")*(N6:N25))/SUMPRODUCT((Q6:Q25="Nivel2")*(O6:O25))*100,0)</f>
        <v>80.868081395348838</v>
      </c>
      <c r="D55" t="s">
        <v>1124</v>
      </c>
    </row>
    <row r="56" spans="1:4" x14ac:dyDescent="0.3">
      <c r="A56" s="21" t="s">
        <v>411</v>
      </c>
      <c r="B56" s="247">
        <v>7</v>
      </c>
      <c r="C56" s="320" cm="1">
        <f t="array" ref="C56">IF(SUMPRODUCT((Q6:Q25="Nivel3")*(O6:O25))&gt;0,SUMPRODUCT((Q6:Q25="Nivel3")*(N6:N25))/SUMPRODUCT((Q6:Q25="Nivel3")*(O6:O25))*100,0)</f>
        <v>6.6483300589390959</v>
      </c>
      <c r="D56" t="s">
        <v>1125</v>
      </c>
    </row>
    <row r="57" spans="1:4" x14ac:dyDescent="0.3">
      <c r="A57" s="33" t="s">
        <v>468</v>
      </c>
      <c r="B57" s="247">
        <v>2</v>
      </c>
      <c r="C57" s="320" cm="1">
        <f t="array" ref="C57">IF(SUMPRODUCT((Q6:Q25="Nivel4")*(O6:O25))&gt;0,SUMPRODUCT((Q6:Q25="Nivel4")*(N6:N25))/SUMPRODUCT((Q6:Q25="Nivel4")*(O6:O25))*100,0)</f>
        <v>2.85</v>
      </c>
      <c r="D57" t="s">
        <v>1126</v>
      </c>
    </row>
  </sheetData>
  <mergeCells count="9">
    <mergeCell ref="A45:D45"/>
    <mergeCell ref="A52:D52"/>
    <mergeCell ref="B36:D36"/>
    <mergeCell ref="B50:D50"/>
    <mergeCell ref="A1:R1"/>
    <mergeCell ref="A2:R2"/>
    <mergeCell ref="A3:R3"/>
    <mergeCell ref="A29:D29"/>
    <mergeCell ref="A35:D35"/>
  </mergeCells>
  <hyperlinks>
    <hyperlink ref="A1" location="'H01_PARAMETROS_GENERALES'!A1" tooltip="Volver a H01_PARAMETROS_GENERALES" display="🔙 Volver al Índice" xr:uid="{3AA636E3-E745-4C2B-A47C-B8E6585AEB5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CF62-2128-4E85-AB24-02D01788B0E9}">
  <dimension ref="A1:F61"/>
  <sheetViews>
    <sheetView workbookViewId="0">
      <pane ySplit="5" topLeftCell="A26" activePane="bottomLeft" state="frozen"/>
      <selection pane="bottomLeft" sqref="A1:F1"/>
    </sheetView>
  </sheetViews>
  <sheetFormatPr baseColWidth="10" defaultRowHeight="14.4" x14ac:dyDescent="0.3"/>
  <cols>
    <col min="1" max="1" width="40.77734375" customWidth="1"/>
    <col min="2" max="3" width="14.77734375" customWidth="1"/>
    <col min="4" max="4" width="33.33203125" customWidth="1"/>
    <col min="5" max="5" width="37" customWidth="1"/>
    <col min="6" max="6" width="51.88671875" customWidth="1"/>
  </cols>
  <sheetData>
    <row r="1" spans="1:6" x14ac:dyDescent="0.3">
      <c r="A1" s="466" t="s">
        <v>2717</v>
      </c>
      <c r="B1" s="466"/>
      <c r="C1" s="466"/>
      <c r="D1" s="466"/>
      <c r="E1" s="466"/>
      <c r="F1" s="466"/>
    </row>
    <row r="2" spans="1:6" x14ac:dyDescent="0.3">
      <c r="A2" s="483" t="s">
        <v>1181</v>
      </c>
      <c r="B2" s="483"/>
      <c r="C2" s="483"/>
      <c r="D2" s="483"/>
      <c r="E2" s="483"/>
      <c r="F2" s="483"/>
    </row>
    <row r="3" spans="1:6" x14ac:dyDescent="0.3">
      <c r="A3" s="65" t="s">
        <v>1182</v>
      </c>
    </row>
    <row r="4" spans="1:6" x14ac:dyDescent="0.3">
      <c r="A4" t="s">
        <v>144</v>
      </c>
    </row>
    <row r="6" spans="1:6" ht="15.6" x14ac:dyDescent="0.3">
      <c r="A6" s="492" t="s">
        <v>1183</v>
      </c>
      <c r="B6" s="492"/>
      <c r="C6" s="492"/>
      <c r="D6" s="492"/>
      <c r="E6" s="492"/>
      <c r="F6" s="492"/>
    </row>
    <row r="7" spans="1:6" x14ac:dyDescent="0.3">
      <c r="A7" s="64" t="s">
        <v>1184</v>
      </c>
    </row>
    <row r="8" spans="1:6" x14ac:dyDescent="0.3">
      <c r="A8" s="71" t="s">
        <v>1185</v>
      </c>
    </row>
    <row r="10" spans="1:6" x14ac:dyDescent="0.3">
      <c r="A10" s="5" t="s">
        <v>1186</v>
      </c>
      <c r="B10" s="5" t="s">
        <v>1187</v>
      </c>
      <c r="C10" s="5" t="s">
        <v>1188</v>
      </c>
      <c r="D10" s="5" t="s">
        <v>1189</v>
      </c>
      <c r="E10" s="5" t="s">
        <v>1190</v>
      </c>
      <c r="F10" s="5" t="s">
        <v>1191</v>
      </c>
    </row>
    <row r="11" spans="1:6" x14ac:dyDescent="0.3">
      <c r="A11" s="7" t="s">
        <v>1192</v>
      </c>
      <c r="B11" s="7" t="s">
        <v>1193</v>
      </c>
      <c r="C11" s="7" t="s">
        <v>401</v>
      </c>
      <c r="D11" s="7" t="s">
        <v>519</v>
      </c>
      <c r="E11" s="7">
        <v>1</v>
      </c>
      <c r="F11" s="7" t="s">
        <v>1194</v>
      </c>
    </row>
    <row r="12" spans="1:6" x14ac:dyDescent="0.3">
      <c r="A12" s="6" t="s">
        <v>1195</v>
      </c>
      <c r="B12" s="6" t="s">
        <v>1196</v>
      </c>
      <c r="C12" s="6" t="s">
        <v>408</v>
      </c>
      <c r="D12" s="6" t="s">
        <v>519</v>
      </c>
      <c r="E12" s="6">
        <v>1</v>
      </c>
      <c r="F12" s="6" t="s">
        <v>1197</v>
      </c>
    </row>
    <row r="13" spans="1:6" x14ac:dyDescent="0.3">
      <c r="A13" s="7" t="s">
        <v>1198</v>
      </c>
      <c r="B13" s="7" t="s">
        <v>1199</v>
      </c>
      <c r="C13" s="7" t="s">
        <v>413</v>
      </c>
      <c r="D13" s="7" t="s">
        <v>519</v>
      </c>
      <c r="E13" s="7">
        <v>1</v>
      </c>
      <c r="F13" s="7" t="s">
        <v>1200</v>
      </c>
    </row>
    <row r="14" spans="1:6" x14ac:dyDescent="0.3">
      <c r="A14" s="6" t="s">
        <v>1201</v>
      </c>
      <c r="B14" s="6" t="s">
        <v>1202</v>
      </c>
      <c r="C14" s="6" t="s">
        <v>418</v>
      </c>
      <c r="D14" s="6" t="s">
        <v>519</v>
      </c>
      <c r="E14" s="6">
        <v>1</v>
      </c>
      <c r="F14" s="6" t="s">
        <v>1200</v>
      </c>
    </row>
    <row r="15" spans="1:6" x14ac:dyDescent="0.3">
      <c r="A15" s="7" t="s">
        <v>1203</v>
      </c>
      <c r="B15" s="7" t="s">
        <v>1204</v>
      </c>
      <c r="C15" s="7" t="s">
        <v>424</v>
      </c>
      <c r="D15" s="7" t="s">
        <v>519</v>
      </c>
      <c r="E15" s="7">
        <v>1</v>
      </c>
      <c r="F15" s="7" t="s">
        <v>1200</v>
      </c>
    </row>
    <row r="16" spans="1:6" x14ac:dyDescent="0.3">
      <c r="A16" s="6" t="s">
        <v>1205</v>
      </c>
      <c r="B16" s="6" t="s">
        <v>1206</v>
      </c>
      <c r="C16" s="6" t="s">
        <v>430</v>
      </c>
      <c r="D16" s="6" t="s">
        <v>519</v>
      </c>
      <c r="E16" s="6">
        <v>1</v>
      </c>
      <c r="F16" s="6" t="s">
        <v>1200</v>
      </c>
    </row>
    <row r="17" spans="1:6" x14ac:dyDescent="0.3">
      <c r="A17" s="7" t="s">
        <v>1207</v>
      </c>
      <c r="B17" s="7" t="s">
        <v>1208</v>
      </c>
      <c r="C17" s="7" t="s">
        <v>436</v>
      </c>
      <c r="D17" s="7" t="s">
        <v>519</v>
      </c>
      <c r="E17" s="7">
        <v>1</v>
      </c>
      <c r="F17" s="7" t="s">
        <v>1200</v>
      </c>
    </row>
    <row r="18" spans="1:6" x14ac:dyDescent="0.3">
      <c r="A18" s="6" t="s">
        <v>1209</v>
      </c>
      <c r="B18" s="6" t="s">
        <v>1210</v>
      </c>
      <c r="C18" s="6" t="s">
        <v>441</v>
      </c>
      <c r="D18" s="6" t="s">
        <v>519</v>
      </c>
      <c r="E18" s="6">
        <v>1</v>
      </c>
      <c r="F18" s="6" t="s">
        <v>1200</v>
      </c>
    </row>
    <row r="19" spans="1:6" x14ac:dyDescent="0.3">
      <c r="A19" s="7" t="s">
        <v>1211</v>
      </c>
      <c r="B19" s="7" t="s">
        <v>1212</v>
      </c>
      <c r="C19" s="7" t="s">
        <v>447</v>
      </c>
      <c r="D19" s="7" t="s">
        <v>1213</v>
      </c>
      <c r="E19" s="7">
        <v>0.5</v>
      </c>
      <c r="F19" s="7" t="s">
        <v>1214</v>
      </c>
    </row>
    <row r="20" spans="1:6" x14ac:dyDescent="0.3">
      <c r="A20" s="6" t="s">
        <v>1215</v>
      </c>
      <c r="B20" s="6" t="s">
        <v>1216</v>
      </c>
      <c r="C20" s="6" t="s">
        <v>451</v>
      </c>
      <c r="D20" s="6" t="s">
        <v>519</v>
      </c>
      <c r="E20" s="6">
        <v>1</v>
      </c>
      <c r="F20" s="6" t="s">
        <v>1200</v>
      </c>
    </row>
    <row r="21" spans="1:6" x14ac:dyDescent="0.3">
      <c r="A21" s="7" t="s">
        <v>1217</v>
      </c>
      <c r="B21" s="7" t="s">
        <v>1218</v>
      </c>
      <c r="C21" s="7" t="s">
        <v>457</v>
      </c>
      <c r="D21" s="7" t="s">
        <v>519</v>
      </c>
      <c r="E21" s="7">
        <v>1</v>
      </c>
      <c r="F21" s="7" t="s">
        <v>1200</v>
      </c>
    </row>
    <row r="22" spans="1:6" x14ac:dyDescent="0.3">
      <c r="A22" s="6" t="s">
        <v>1219</v>
      </c>
      <c r="B22" s="6" t="s">
        <v>1220</v>
      </c>
      <c r="C22" s="6" t="s">
        <v>463</v>
      </c>
      <c r="D22" s="6" t="s">
        <v>519</v>
      </c>
      <c r="E22" s="6">
        <v>1</v>
      </c>
      <c r="F22" s="6" t="s">
        <v>1200</v>
      </c>
    </row>
    <row r="23" spans="1:6" x14ac:dyDescent="0.3">
      <c r="A23" s="7" t="s">
        <v>1221</v>
      </c>
      <c r="B23" s="7" t="s">
        <v>1222</v>
      </c>
      <c r="C23" s="7" t="s">
        <v>470</v>
      </c>
      <c r="D23" s="7" t="s">
        <v>519</v>
      </c>
      <c r="E23" s="7">
        <v>1</v>
      </c>
      <c r="F23" s="7" t="s">
        <v>1223</v>
      </c>
    </row>
    <row r="24" spans="1:6" x14ac:dyDescent="0.3">
      <c r="A24" s="6" t="s">
        <v>1224</v>
      </c>
      <c r="B24" s="6" t="s">
        <v>1225</v>
      </c>
      <c r="C24" s="6" t="s">
        <v>474</v>
      </c>
      <c r="D24" s="6" t="s">
        <v>519</v>
      </c>
      <c r="E24" s="6">
        <v>1</v>
      </c>
      <c r="F24" s="6" t="s">
        <v>1200</v>
      </c>
    </row>
    <row r="25" spans="1:6" x14ac:dyDescent="0.3">
      <c r="A25" s="7" t="s">
        <v>1226</v>
      </c>
      <c r="B25" s="7" t="s">
        <v>1227</v>
      </c>
      <c r="C25" s="7" t="s">
        <v>478</v>
      </c>
      <c r="D25" s="7" t="s">
        <v>1213</v>
      </c>
      <c r="E25" s="7">
        <v>0.5</v>
      </c>
      <c r="F25" s="7" t="s">
        <v>1228</v>
      </c>
    </row>
    <row r="26" spans="1:6" x14ac:dyDescent="0.3">
      <c r="A26" s="7" t="s">
        <v>2730</v>
      </c>
      <c r="B26" s="7" t="s">
        <v>2731</v>
      </c>
      <c r="C26" s="7" t="s">
        <v>496</v>
      </c>
      <c r="D26" s="7" t="s">
        <v>1213</v>
      </c>
      <c r="E26" s="7">
        <v>0.5</v>
      </c>
      <c r="F26" s="7" t="s">
        <v>2732</v>
      </c>
    </row>
    <row r="27" spans="1:6" x14ac:dyDescent="0.3">
      <c r="A27" s="7" t="s">
        <v>2733</v>
      </c>
      <c r="B27" s="7" t="s">
        <v>2734</v>
      </c>
      <c r="C27" s="7" t="s">
        <v>470</v>
      </c>
      <c r="D27" s="7" t="s">
        <v>1213</v>
      </c>
      <c r="E27" s="7">
        <v>0.5</v>
      </c>
      <c r="F27" s="7" t="s">
        <v>2735</v>
      </c>
    </row>
    <row r="28" spans="1:6" x14ac:dyDescent="0.3">
      <c r="A28" s="7" t="s">
        <v>2736</v>
      </c>
      <c r="B28" s="7" t="s">
        <v>2737</v>
      </c>
      <c r="C28" s="7" t="s">
        <v>478</v>
      </c>
      <c r="D28" s="7" t="s">
        <v>519</v>
      </c>
      <c r="E28" s="7">
        <v>1</v>
      </c>
      <c r="F28" s="7" t="s">
        <v>2738</v>
      </c>
    </row>
    <row r="29" spans="1:6" x14ac:dyDescent="0.3">
      <c r="A29" s="7" t="s">
        <v>2739</v>
      </c>
      <c r="B29" s="7" t="s">
        <v>2740</v>
      </c>
      <c r="C29" s="7" t="s">
        <v>478</v>
      </c>
      <c r="D29" s="7" t="s">
        <v>519</v>
      </c>
      <c r="E29" s="7">
        <v>1</v>
      </c>
      <c r="F29" s="7" t="s">
        <v>2741</v>
      </c>
    </row>
    <row r="30" spans="1:6" x14ac:dyDescent="0.3">
      <c r="A30" s="7" t="s">
        <v>2742</v>
      </c>
      <c r="B30" s="7" t="s">
        <v>2433</v>
      </c>
      <c r="C30" s="7" t="s">
        <v>482</v>
      </c>
      <c r="D30" s="7" t="s">
        <v>519</v>
      </c>
      <c r="E30" s="7">
        <v>1</v>
      </c>
      <c r="F30" s="7" t="s">
        <v>2743</v>
      </c>
    </row>
    <row r="31" spans="1:6" x14ac:dyDescent="0.3">
      <c r="A31" s="36" t="s">
        <v>1229</v>
      </c>
      <c r="B31" s="361">
        <f>AVERAGE(E11:E30)*100</f>
        <v>90</v>
      </c>
      <c r="C31" s="36"/>
      <c r="D31" s="36"/>
      <c r="E31" s="36"/>
      <c r="F31" s="36"/>
    </row>
    <row r="32" spans="1:6" x14ac:dyDescent="0.3">
      <c r="A32" s="72" t="s">
        <v>1230</v>
      </c>
      <c r="B32" s="72" t="str">
        <f>IF(B31&gt;=85,"⭐ Alta Fidelidad Electoral (85-100%)",IF(B31&gt;=60,"✅ Fidelidad Moderada (60-84%)",IF(B31&gt;=40,"⚠️ Erosión del Mandato (40-59%)","🔴 Ruptura del Mandato (&lt;40%)")))</f>
        <v>⭐ Alta Fidelidad Electoral (85-100%)</v>
      </c>
      <c r="C32" s="72"/>
      <c r="D32" s="72"/>
      <c r="E32" s="72"/>
      <c r="F32" s="72"/>
    </row>
    <row r="34" spans="1:6" x14ac:dyDescent="0.3">
      <c r="A34" s="5" t="s">
        <v>1231</v>
      </c>
      <c r="B34" s="5" t="s">
        <v>245</v>
      </c>
      <c r="C34" s="5" t="s">
        <v>1232</v>
      </c>
    </row>
    <row r="35" spans="1:6" x14ac:dyDescent="0.3">
      <c r="A35" s="6" t="s">
        <v>1233</v>
      </c>
      <c r="B35" s="6" t="s">
        <v>1234</v>
      </c>
      <c r="C35" s="6" t="s">
        <v>1235</v>
      </c>
    </row>
    <row r="36" spans="1:6" x14ac:dyDescent="0.3">
      <c r="A36" s="7" t="s">
        <v>1236</v>
      </c>
      <c r="B36" s="7" t="s">
        <v>1237</v>
      </c>
      <c r="C36" s="7" t="s">
        <v>1238</v>
      </c>
    </row>
    <row r="37" spans="1:6" x14ac:dyDescent="0.3">
      <c r="A37" s="6" t="s">
        <v>1239</v>
      </c>
      <c r="B37" s="6" t="s">
        <v>1240</v>
      </c>
      <c r="C37" s="6" t="s">
        <v>1241</v>
      </c>
    </row>
    <row r="38" spans="1:6" x14ac:dyDescent="0.3">
      <c r="A38" s="7" t="s">
        <v>1242</v>
      </c>
      <c r="B38" s="7" t="s">
        <v>1243</v>
      </c>
      <c r="C38" s="7" t="s">
        <v>1244</v>
      </c>
    </row>
    <row r="40" spans="1:6" ht="15.6" x14ac:dyDescent="0.3">
      <c r="A40" s="492" t="s">
        <v>1245</v>
      </c>
      <c r="B40" s="492"/>
      <c r="C40" s="492"/>
      <c r="D40" s="492"/>
      <c r="E40" s="492"/>
      <c r="F40" s="492"/>
    </row>
    <row r="41" spans="1:6" x14ac:dyDescent="0.3">
      <c r="A41" s="64" t="s">
        <v>1246</v>
      </c>
    </row>
    <row r="42" spans="1:6" x14ac:dyDescent="0.3">
      <c r="A42" s="5" t="s">
        <v>4</v>
      </c>
      <c r="B42" s="5" t="s">
        <v>1247</v>
      </c>
      <c r="C42" s="5" t="s">
        <v>1248</v>
      </c>
      <c r="D42" s="5" t="s">
        <v>1249</v>
      </c>
      <c r="E42" s="5" t="s">
        <v>1250</v>
      </c>
    </row>
    <row r="43" spans="1:6" x14ac:dyDescent="0.3">
      <c r="A43" s="6" t="s">
        <v>1251</v>
      </c>
      <c r="B43" s="6"/>
      <c r="C43" s="6"/>
      <c r="D43" s="6"/>
      <c r="E43" s="6"/>
    </row>
    <row r="44" spans="1:6" x14ac:dyDescent="0.3">
      <c r="A44" s="6" t="s">
        <v>1252</v>
      </c>
      <c r="B44" s="9">
        <v>2.8500000000000001E-2</v>
      </c>
      <c r="C44" s="9">
        <v>3.7999999999999999E-2</v>
      </c>
      <c r="D44" s="6" t="s">
        <v>1253</v>
      </c>
      <c r="E44" s="6" t="s">
        <v>1254</v>
      </c>
    </row>
    <row r="45" spans="1:6" x14ac:dyDescent="0.3">
      <c r="A45" s="6" t="s">
        <v>1255</v>
      </c>
      <c r="B45" s="6">
        <v>5.9800000000000001E-4</v>
      </c>
      <c r="C45" s="6">
        <v>7.9699999999999997E-4</v>
      </c>
      <c r="D45" s="6">
        <v>-1.9900000000000001E-4</v>
      </c>
      <c r="E45" s="6" t="s">
        <v>1256</v>
      </c>
    </row>
    <row r="46" spans="1:6" x14ac:dyDescent="0.3">
      <c r="A46" s="6" t="s">
        <v>1257</v>
      </c>
      <c r="B46" s="6">
        <v>2.0990000000000002E-2</v>
      </c>
      <c r="C46" s="6">
        <v>2.0990000000000002E-2</v>
      </c>
      <c r="D46" s="6">
        <v>0</v>
      </c>
      <c r="E46" s="6" t="s">
        <v>1258</v>
      </c>
    </row>
    <row r="47" spans="1:6" x14ac:dyDescent="0.3">
      <c r="A47" s="6" t="s">
        <v>1259</v>
      </c>
      <c r="B47" s="6"/>
      <c r="C47" s="6"/>
      <c r="D47" s="9">
        <v>0.25</v>
      </c>
      <c r="E47" s="6" t="s">
        <v>1260</v>
      </c>
    </row>
    <row r="48" spans="1:6" x14ac:dyDescent="0.3">
      <c r="A48" s="74" t="s">
        <v>1261</v>
      </c>
    </row>
    <row r="50" spans="1:6" ht="15.6" x14ac:dyDescent="0.3">
      <c r="A50" s="492" t="s">
        <v>1262</v>
      </c>
      <c r="B50" s="492"/>
      <c r="C50" s="492"/>
      <c r="D50" s="492"/>
      <c r="E50" s="492"/>
      <c r="F50" s="492"/>
    </row>
    <row r="51" spans="1:6" x14ac:dyDescent="0.3">
      <c r="A51" s="64" t="s">
        <v>1263</v>
      </c>
    </row>
    <row r="52" spans="1:6" x14ac:dyDescent="0.3">
      <c r="A52" s="5" t="s">
        <v>1264</v>
      </c>
      <c r="B52" s="5" t="s">
        <v>1265</v>
      </c>
      <c r="C52" s="5" t="s">
        <v>1266</v>
      </c>
      <c r="D52" s="5" t="s">
        <v>1267</v>
      </c>
      <c r="E52" s="5" t="s">
        <v>1268</v>
      </c>
      <c r="F52" s="5" t="s">
        <v>1269</v>
      </c>
    </row>
    <row r="53" spans="1:6" x14ac:dyDescent="0.3">
      <c r="A53" s="75" t="s">
        <v>405</v>
      </c>
      <c r="B53" s="75">
        <v>6</v>
      </c>
      <c r="C53" s="75">
        <v>42.1</v>
      </c>
      <c r="D53" s="75" t="s">
        <v>1104</v>
      </c>
      <c r="E53" s="75" t="s">
        <v>1270</v>
      </c>
      <c r="F53" s="75" t="s">
        <v>1271</v>
      </c>
    </row>
    <row r="54" spans="1:6" x14ac:dyDescent="0.3">
      <c r="A54" s="76" t="s">
        <v>434</v>
      </c>
      <c r="B54" s="76">
        <v>4</v>
      </c>
      <c r="C54" s="76">
        <v>71.5</v>
      </c>
      <c r="D54" s="76" t="s">
        <v>1101</v>
      </c>
      <c r="E54" s="76" t="s">
        <v>1272</v>
      </c>
      <c r="F54" s="76" t="s">
        <v>1273</v>
      </c>
    </row>
    <row r="55" spans="1:6" x14ac:dyDescent="0.3">
      <c r="A55" s="77" t="s">
        <v>1274</v>
      </c>
      <c r="B55" s="77">
        <v>2</v>
      </c>
      <c r="C55" s="77">
        <v>95.8</v>
      </c>
      <c r="D55" s="77" t="s">
        <v>1275</v>
      </c>
      <c r="E55" s="77" t="s">
        <v>1276</v>
      </c>
      <c r="F55" s="77" t="s">
        <v>1277</v>
      </c>
    </row>
    <row r="56" spans="1:6" x14ac:dyDescent="0.3">
      <c r="A56" s="76" t="s">
        <v>461</v>
      </c>
      <c r="B56" s="76">
        <v>2</v>
      </c>
      <c r="C56" s="76">
        <v>87.3</v>
      </c>
      <c r="D56" s="76" t="s">
        <v>1278</v>
      </c>
      <c r="E56" s="76" t="s">
        <v>1276</v>
      </c>
      <c r="F56" s="76" t="s">
        <v>1279</v>
      </c>
    </row>
    <row r="57" spans="1:6" x14ac:dyDescent="0.3">
      <c r="A57" s="78" t="s">
        <v>1280</v>
      </c>
      <c r="B57" s="78">
        <v>2</v>
      </c>
      <c r="C57" s="78">
        <v>34.9</v>
      </c>
      <c r="D57" s="78" t="s">
        <v>1281</v>
      </c>
      <c r="E57" s="78" t="s">
        <v>1282</v>
      </c>
      <c r="F57" s="78" t="s">
        <v>1283</v>
      </c>
    </row>
    <row r="58" spans="1:6" x14ac:dyDescent="0.3">
      <c r="A58" s="76" t="s">
        <v>486</v>
      </c>
      <c r="B58" s="76">
        <v>1</v>
      </c>
      <c r="C58" s="76">
        <v>80</v>
      </c>
      <c r="D58" s="76" t="s">
        <v>1284</v>
      </c>
      <c r="E58" s="76" t="s">
        <v>1041</v>
      </c>
      <c r="F58" s="76" t="s">
        <v>1285</v>
      </c>
    </row>
    <row r="59" spans="1:6" x14ac:dyDescent="0.3">
      <c r="A59" s="76" t="s">
        <v>499</v>
      </c>
      <c r="B59" s="76">
        <v>1</v>
      </c>
      <c r="C59" s="76">
        <v>80</v>
      </c>
      <c r="D59" s="76" t="s">
        <v>1278</v>
      </c>
      <c r="E59" s="76" t="s">
        <v>1047</v>
      </c>
      <c r="F59" s="76" t="s">
        <v>1286</v>
      </c>
    </row>
    <row r="60" spans="1:6" x14ac:dyDescent="0.3">
      <c r="A60" s="69" t="s">
        <v>999</v>
      </c>
      <c r="B60" s="69">
        <v>2</v>
      </c>
      <c r="C60" s="69">
        <v>2.9</v>
      </c>
      <c r="D60" s="69" t="s">
        <v>1287</v>
      </c>
      <c r="E60" s="69" t="s">
        <v>1288</v>
      </c>
      <c r="F60" s="69" t="s">
        <v>1289</v>
      </c>
    </row>
    <row r="61" spans="1:6" x14ac:dyDescent="0.3">
      <c r="A61" s="79" t="s">
        <v>1290</v>
      </c>
    </row>
  </sheetData>
  <mergeCells count="5">
    <mergeCell ref="A1:F1"/>
    <mergeCell ref="A2:F2"/>
    <mergeCell ref="A6:F6"/>
    <mergeCell ref="A40:F40"/>
    <mergeCell ref="A50:F50"/>
  </mergeCells>
  <hyperlinks>
    <hyperlink ref="A1" location="'H01_PARAMETROS_GENERALES'!A1" tooltip="Volver a H01_PARAMETROS_GENERALES" display="🔙 Volver al Índice" xr:uid="{1B2469CF-DB49-4C06-823D-1E83E6ADB4B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EEC5-335F-4F41-A4E5-228FE8119BE3}">
  <dimension ref="A1:K29"/>
  <sheetViews>
    <sheetView workbookViewId="0">
      <pane ySplit="6" topLeftCell="A10" activePane="bottomLeft" state="frozen"/>
      <selection pane="bottomLeft" activeCell="B27" sqref="B27"/>
    </sheetView>
  </sheetViews>
  <sheetFormatPr baseColWidth="10" defaultRowHeight="14.4" x14ac:dyDescent="0.3"/>
  <cols>
    <col min="1" max="1" width="14.77734375" customWidth="1"/>
    <col min="2" max="5" width="18.5546875" customWidth="1"/>
    <col min="6" max="8" width="14.77734375" customWidth="1"/>
    <col min="9" max="9" width="14.77734375" style="247" customWidth="1"/>
    <col min="10" max="10" width="14.77734375" customWidth="1"/>
    <col min="11" max="11" width="51.88671875" customWidth="1"/>
  </cols>
  <sheetData>
    <row r="1" spans="1:11" x14ac:dyDescent="0.3">
      <c r="A1" s="466" t="s">
        <v>2717</v>
      </c>
      <c r="B1" s="466"/>
      <c r="C1" s="466"/>
      <c r="D1" s="466"/>
      <c r="E1" s="466"/>
      <c r="F1" s="466"/>
      <c r="G1" s="466"/>
      <c r="H1" s="466"/>
      <c r="I1" s="466"/>
      <c r="J1" s="466"/>
      <c r="K1" s="466"/>
    </row>
    <row r="2" spans="1:11" x14ac:dyDescent="0.3">
      <c r="A2" s="493" t="s">
        <v>1291</v>
      </c>
      <c r="B2" s="493"/>
      <c r="C2" s="493"/>
      <c r="D2" s="493"/>
      <c r="E2" s="493"/>
      <c r="F2" s="493"/>
      <c r="G2" s="493"/>
      <c r="H2" s="493"/>
      <c r="I2" s="493"/>
      <c r="J2" s="493"/>
      <c r="K2" s="493"/>
    </row>
    <row r="3" spans="1:11" x14ac:dyDescent="0.3">
      <c r="A3" s="65" t="s">
        <v>1292</v>
      </c>
    </row>
    <row r="4" spans="1:11" x14ac:dyDescent="0.3">
      <c r="A4" t="s">
        <v>144</v>
      </c>
    </row>
    <row r="6" spans="1:11" x14ac:dyDescent="0.3">
      <c r="A6" s="5" t="s">
        <v>385</v>
      </c>
      <c r="B6" s="5" t="s">
        <v>1293</v>
      </c>
      <c r="C6" s="5" t="s">
        <v>1294</v>
      </c>
      <c r="D6" s="5" t="s">
        <v>1295</v>
      </c>
      <c r="E6" s="5" t="s">
        <v>1296</v>
      </c>
      <c r="F6" s="5" t="s">
        <v>1297</v>
      </c>
      <c r="G6" s="5" t="s">
        <v>1298</v>
      </c>
      <c r="H6" s="5" t="s">
        <v>1299</v>
      </c>
      <c r="I6" s="248" t="s">
        <v>1300</v>
      </c>
      <c r="J6" s="5" t="s">
        <v>1301</v>
      </c>
      <c r="K6" s="5" t="s">
        <v>1302</v>
      </c>
    </row>
    <row r="7" spans="1:11" x14ac:dyDescent="0.3">
      <c r="A7" s="80" t="s">
        <v>401</v>
      </c>
      <c r="B7" s="80" t="s">
        <v>698</v>
      </c>
      <c r="C7" s="80" t="s">
        <v>698</v>
      </c>
      <c r="D7" s="80" t="s">
        <v>703</v>
      </c>
      <c r="E7" s="80" t="s">
        <v>703</v>
      </c>
      <c r="F7" s="80">
        <v>4</v>
      </c>
      <c r="G7" s="80">
        <v>2</v>
      </c>
      <c r="H7" s="80">
        <f t="shared" ref="H7:H26" si="0">G7/F7*100</f>
        <v>50</v>
      </c>
      <c r="I7" s="266" t="str">
        <f t="shared" ref="I7:I26" si="1">IF(H7&gt;=80,"Alto ✅",IF(H7&gt;=60,"Medio ⚠️","Bajo 🔴"))</f>
        <v>Bajo 🔴</v>
      </c>
      <c r="J7" s="80">
        <v>0</v>
      </c>
      <c r="K7" s="80" t="s">
        <v>1303</v>
      </c>
    </row>
    <row r="8" spans="1:11" x14ac:dyDescent="0.3">
      <c r="A8" s="80" t="s">
        <v>408</v>
      </c>
      <c r="B8" s="80" t="s">
        <v>698</v>
      </c>
      <c r="C8" s="80" t="s">
        <v>698</v>
      </c>
      <c r="D8" s="80" t="s">
        <v>703</v>
      </c>
      <c r="E8" s="80" t="s">
        <v>703</v>
      </c>
      <c r="F8" s="80">
        <v>4</v>
      </c>
      <c r="G8" s="80">
        <v>2</v>
      </c>
      <c r="H8" s="80">
        <f t="shared" si="0"/>
        <v>50</v>
      </c>
      <c r="I8" s="266" t="str">
        <f t="shared" si="1"/>
        <v>Bajo 🔴</v>
      </c>
      <c r="J8" s="80">
        <v>0</v>
      </c>
      <c r="K8" s="80" t="s">
        <v>1304</v>
      </c>
    </row>
    <row r="9" spans="1:11" x14ac:dyDescent="0.3">
      <c r="A9" s="80" t="s">
        <v>413</v>
      </c>
      <c r="B9" s="80" t="s">
        <v>698</v>
      </c>
      <c r="C9" s="80" t="s">
        <v>698</v>
      </c>
      <c r="D9" s="80" t="s">
        <v>703</v>
      </c>
      <c r="E9" s="80" t="s">
        <v>703</v>
      </c>
      <c r="F9" s="80">
        <v>4</v>
      </c>
      <c r="G9" s="80">
        <v>2</v>
      </c>
      <c r="H9" s="80">
        <f t="shared" si="0"/>
        <v>50</v>
      </c>
      <c r="I9" s="266" t="str">
        <f t="shared" si="1"/>
        <v>Bajo 🔴</v>
      </c>
      <c r="J9" s="80">
        <v>0</v>
      </c>
      <c r="K9" s="80" t="s">
        <v>1305</v>
      </c>
    </row>
    <row r="10" spans="1:11" x14ac:dyDescent="0.3">
      <c r="A10" s="70" t="s">
        <v>418</v>
      </c>
      <c r="B10" s="70" t="s">
        <v>698</v>
      </c>
      <c r="C10" s="70" t="s">
        <v>698</v>
      </c>
      <c r="D10" s="70" t="s">
        <v>698</v>
      </c>
      <c r="E10" s="70" t="s">
        <v>698</v>
      </c>
      <c r="F10" s="70">
        <v>4</v>
      </c>
      <c r="G10" s="70">
        <v>4</v>
      </c>
      <c r="H10" s="70">
        <f t="shared" si="0"/>
        <v>100</v>
      </c>
      <c r="I10" s="267" t="str">
        <f t="shared" si="1"/>
        <v>Alto ✅</v>
      </c>
      <c r="J10" s="70">
        <v>1</v>
      </c>
      <c r="K10" s="70" t="s">
        <v>1306</v>
      </c>
    </row>
    <row r="11" spans="1:11" x14ac:dyDescent="0.3">
      <c r="A11" s="80" t="s">
        <v>424</v>
      </c>
      <c r="B11" s="80" t="s">
        <v>698</v>
      </c>
      <c r="C11" s="80" t="s">
        <v>698</v>
      </c>
      <c r="D11" s="80" t="s">
        <v>1307</v>
      </c>
      <c r="E11" s="80" t="s">
        <v>703</v>
      </c>
      <c r="F11" s="80">
        <v>4</v>
      </c>
      <c r="G11" s="80">
        <v>2</v>
      </c>
      <c r="H11" s="80">
        <f t="shared" si="0"/>
        <v>50</v>
      </c>
      <c r="I11" s="266" t="str">
        <f t="shared" si="1"/>
        <v>Bajo 🔴</v>
      </c>
      <c r="J11" s="80">
        <v>0</v>
      </c>
      <c r="K11" s="80" t="s">
        <v>1308</v>
      </c>
    </row>
    <row r="12" spans="1:11" x14ac:dyDescent="0.3">
      <c r="A12" s="80" t="s">
        <v>430</v>
      </c>
      <c r="B12" s="80" t="s">
        <v>698</v>
      </c>
      <c r="C12" s="80" t="s">
        <v>698</v>
      </c>
      <c r="D12" s="80" t="s">
        <v>703</v>
      </c>
      <c r="E12" s="80" t="s">
        <v>703</v>
      </c>
      <c r="F12" s="80">
        <v>4</v>
      </c>
      <c r="G12" s="80">
        <v>2</v>
      </c>
      <c r="H12" s="80">
        <f t="shared" si="0"/>
        <v>50</v>
      </c>
      <c r="I12" s="266" t="str">
        <f t="shared" si="1"/>
        <v>Bajo 🔴</v>
      </c>
      <c r="J12" s="80">
        <v>0</v>
      </c>
      <c r="K12" s="80" t="s">
        <v>1309</v>
      </c>
    </row>
    <row r="13" spans="1:11" x14ac:dyDescent="0.3">
      <c r="A13" s="80" t="s">
        <v>436</v>
      </c>
      <c r="B13" s="80" t="s">
        <v>698</v>
      </c>
      <c r="C13" s="80" t="s">
        <v>698</v>
      </c>
      <c r="D13" s="80" t="s">
        <v>698</v>
      </c>
      <c r="E13" s="80" t="s">
        <v>703</v>
      </c>
      <c r="F13" s="80">
        <v>4</v>
      </c>
      <c r="G13" s="80">
        <v>3</v>
      </c>
      <c r="H13" s="80">
        <f t="shared" si="0"/>
        <v>75</v>
      </c>
      <c r="I13" s="266" t="str">
        <f t="shared" si="1"/>
        <v>Medio ⚠️</v>
      </c>
      <c r="J13" s="80">
        <v>0</v>
      </c>
      <c r="K13" s="80" t="s">
        <v>1310</v>
      </c>
    </row>
    <row r="14" spans="1:11" x14ac:dyDescent="0.3">
      <c r="A14" s="80" t="s">
        <v>441</v>
      </c>
      <c r="B14" s="80" t="s">
        <v>698</v>
      </c>
      <c r="C14" s="80" t="s">
        <v>698</v>
      </c>
      <c r="D14" s="80" t="s">
        <v>703</v>
      </c>
      <c r="E14" s="80" t="s">
        <v>703</v>
      </c>
      <c r="F14" s="80">
        <v>4</v>
      </c>
      <c r="G14" s="80">
        <v>2</v>
      </c>
      <c r="H14" s="80">
        <f t="shared" si="0"/>
        <v>50</v>
      </c>
      <c r="I14" s="266" t="str">
        <f t="shared" si="1"/>
        <v>Bajo 🔴</v>
      </c>
      <c r="J14" s="80">
        <v>0</v>
      </c>
      <c r="K14" s="80" t="s">
        <v>1305</v>
      </c>
    </row>
    <row r="15" spans="1:11" x14ac:dyDescent="0.3">
      <c r="A15" s="80" t="s">
        <v>447</v>
      </c>
      <c r="B15" s="80" t="s">
        <v>698</v>
      </c>
      <c r="C15" s="80" t="s">
        <v>698</v>
      </c>
      <c r="D15" s="80" t="s">
        <v>703</v>
      </c>
      <c r="E15" s="80" t="s">
        <v>703</v>
      </c>
      <c r="F15" s="80">
        <v>4</v>
      </c>
      <c r="G15" s="80">
        <v>2</v>
      </c>
      <c r="H15" s="80">
        <f t="shared" si="0"/>
        <v>50</v>
      </c>
      <c r="I15" s="266" t="str">
        <f t="shared" si="1"/>
        <v>Bajo 🔴</v>
      </c>
      <c r="J15" s="80">
        <v>0</v>
      </c>
      <c r="K15" s="80" t="s">
        <v>1311</v>
      </c>
    </row>
    <row r="16" spans="1:11" x14ac:dyDescent="0.3">
      <c r="A16" s="70" t="s">
        <v>451</v>
      </c>
      <c r="B16" s="70" t="s">
        <v>698</v>
      </c>
      <c r="C16" s="70" t="s">
        <v>698</v>
      </c>
      <c r="D16" s="70" t="s">
        <v>698</v>
      </c>
      <c r="E16" s="70" t="s">
        <v>698</v>
      </c>
      <c r="F16" s="70">
        <v>4</v>
      </c>
      <c r="G16" s="70">
        <v>4</v>
      </c>
      <c r="H16" s="70">
        <f t="shared" si="0"/>
        <v>100</v>
      </c>
      <c r="I16" s="267" t="str">
        <f t="shared" si="1"/>
        <v>Alto ✅</v>
      </c>
      <c r="J16" s="70">
        <v>1</v>
      </c>
      <c r="K16" s="70" t="s">
        <v>1312</v>
      </c>
    </row>
    <row r="17" spans="1:11" x14ac:dyDescent="0.3">
      <c r="A17" s="70" t="s">
        <v>457</v>
      </c>
      <c r="B17" s="70" t="s">
        <v>698</v>
      </c>
      <c r="C17" s="70" t="s">
        <v>698</v>
      </c>
      <c r="D17" s="70" t="s">
        <v>698</v>
      </c>
      <c r="E17" s="70" t="s">
        <v>839</v>
      </c>
      <c r="F17" s="70">
        <v>4</v>
      </c>
      <c r="G17" s="70">
        <v>3</v>
      </c>
      <c r="H17" s="70">
        <f t="shared" si="0"/>
        <v>75</v>
      </c>
      <c r="I17" s="267" t="str">
        <f t="shared" si="1"/>
        <v>Medio ⚠️</v>
      </c>
      <c r="J17" s="70">
        <v>1</v>
      </c>
      <c r="K17" s="70" t="s">
        <v>1313</v>
      </c>
    </row>
    <row r="18" spans="1:11" x14ac:dyDescent="0.3">
      <c r="A18" s="70" t="s">
        <v>463</v>
      </c>
      <c r="B18" s="70" t="s">
        <v>698</v>
      </c>
      <c r="C18" s="70" t="s">
        <v>698</v>
      </c>
      <c r="D18" s="70" t="s">
        <v>698</v>
      </c>
      <c r="E18" s="70" t="s">
        <v>698</v>
      </c>
      <c r="F18" s="70">
        <v>4</v>
      </c>
      <c r="G18" s="70">
        <v>4</v>
      </c>
      <c r="H18" s="70">
        <f t="shared" si="0"/>
        <v>100</v>
      </c>
      <c r="I18" s="267" t="str">
        <f t="shared" si="1"/>
        <v>Alto ✅</v>
      </c>
      <c r="J18" s="70">
        <v>1</v>
      </c>
      <c r="K18" s="70" t="s">
        <v>1314</v>
      </c>
    </row>
    <row r="19" spans="1:11" x14ac:dyDescent="0.3">
      <c r="A19" s="70" t="s">
        <v>470</v>
      </c>
      <c r="B19" s="70" t="s">
        <v>698</v>
      </c>
      <c r="C19" s="70" t="s">
        <v>698</v>
      </c>
      <c r="D19" s="70" t="s">
        <v>698</v>
      </c>
      <c r="E19" s="70" t="s">
        <v>698</v>
      </c>
      <c r="F19" s="70">
        <v>4</v>
      </c>
      <c r="G19" s="70">
        <v>4</v>
      </c>
      <c r="H19" s="70">
        <f t="shared" si="0"/>
        <v>100</v>
      </c>
      <c r="I19" s="267" t="str">
        <f t="shared" si="1"/>
        <v>Alto ✅</v>
      </c>
      <c r="J19" s="70">
        <v>1</v>
      </c>
      <c r="K19" s="70" t="s">
        <v>1315</v>
      </c>
    </row>
    <row r="20" spans="1:11" x14ac:dyDescent="0.3">
      <c r="A20" s="80" t="s">
        <v>474</v>
      </c>
      <c r="B20" s="80" t="s">
        <v>698</v>
      </c>
      <c r="C20" s="80" t="s">
        <v>698</v>
      </c>
      <c r="D20" s="80" t="s">
        <v>698</v>
      </c>
      <c r="E20" s="80" t="s">
        <v>739</v>
      </c>
      <c r="F20" s="80">
        <v>4</v>
      </c>
      <c r="G20" s="80">
        <v>3</v>
      </c>
      <c r="H20" s="80">
        <f t="shared" si="0"/>
        <v>75</v>
      </c>
      <c r="I20" s="266" t="str">
        <f t="shared" si="1"/>
        <v>Medio ⚠️</v>
      </c>
      <c r="J20" s="80">
        <v>0</v>
      </c>
      <c r="K20" s="80" t="s">
        <v>1316</v>
      </c>
    </row>
    <row r="21" spans="1:11" x14ac:dyDescent="0.3">
      <c r="A21" s="70" t="s">
        <v>478</v>
      </c>
      <c r="B21" s="70" t="s">
        <v>698</v>
      </c>
      <c r="C21" s="70" t="s">
        <v>698</v>
      </c>
      <c r="D21" s="70" t="s">
        <v>698</v>
      </c>
      <c r="E21" s="70" t="s">
        <v>698</v>
      </c>
      <c r="F21" s="70">
        <v>4</v>
      </c>
      <c r="G21" s="70">
        <v>4</v>
      </c>
      <c r="H21" s="70">
        <f t="shared" si="0"/>
        <v>100</v>
      </c>
      <c r="I21" s="267" t="str">
        <f t="shared" si="1"/>
        <v>Alto ✅</v>
      </c>
      <c r="J21" s="70">
        <v>1</v>
      </c>
      <c r="K21" s="70" t="s">
        <v>1317</v>
      </c>
    </row>
    <row r="22" spans="1:11" x14ac:dyDescent="0.3">
      <c r="A22" s="70" t="s">
        <v>482</v>
      </c>
      <c r="B22" s="70" t="s">
        <v>698</v>
      </c>
      <c r="C22" s="70" t="s">
        <v>698</v>
      </c>
      <c r="D22" s="70" t="s">
        <v>698</v>
      </c>
      <c r="E22" s="70" t="s">
        <v>703</v>
      </c>
      <c r="F22" s="70">
        <v>4</v>
      </c>
      <c r="G22" s="70">
        <v>3</v>
      </c>
      <c r="H22" s="70">
        <f t="shared" si="0"/>
        <v>75</v>
      </c>
      <c r="I22" s="267" t="str">
        <f t="shared" si="1"/>
        <v>Medio ⚠️</v>
      </c>
      <c r="J22" s="70">
        <v>1</v>
      </c>
      <c r="K22" s="70" t="s">
        <v>1318</v>
      </c>
    </row>
    <row r="23" spans="1:11" x14ac:dyDescent="0.3">
      <c r="A23" s="70" t="s">
        <v>488</v>
      </c>
      <c r="B23" s="70" t="s">
        <v>698</v>
      </c>
      <c r="C23" s="70" t="s">
        <v>698</v>
      </c>
      <c r="D23" s="70" t="s">
        <v>698</v>
      </c>
      <c r="E23" s="70" t="s">
        <v>698</v>
      </c>
      <c r="F23" s="70">
        <v>4</v>
      </c>
      <c r="G23" s="70">
        <v>4</v>
      </c>
      <c r="H23" s="70">
        <f t="shared" si="0"/>
        <v>100</v>
      </c>
      <c r="I23" s="267" t="str">
        <f t="shared" si="1"/>
        <v>Alto ✅</v>
      </c>
      <c r="J23" s="70">
        <v>1</v>
      </c>
      <c r="K23" s="70" t="s">
        <v>1319</v>
      </c>
    </row>
    <row r="24" spans="1:11" x14ac:dyDescent="0.3">
      <c r="A24" s="80" t="s">
        <v>491</v>
      </c>
      <c r="B24" s="80" t="s">
        <v>703</v>
      </c>
      <c r="C24" s="80" t="s">
        <v>703</v>
      </c>
      <c r="D24" s="80" t="s">
        <v>703</v>
      </c>
      <c r="E24" s="80" t="s">
        <v>703</v>
      </c>
      <c r="F24" s="80">
        <v>4</v>
      </c>
      <c r="G24" s="80">
        <v>0</v>
      </c>
      <c r="H24" s="80">
        <f t="shared" si="0"/>
        <v>0</v>
      </c>
      <c r="I24" s="266" t="str">
        <f t="shared" si="1"/>
        <v>Bajo 🔴</v>
      </c>
      <c r="J24" s="80">
        <v>0</v>
      </c>
      <c r="K24" s="80" t="s">
        <v>1320</v>
      </c>
    </row>
    <row r="25" spans="1:11" x14ac:dyDescent="0.3">
      <c r="A25" s="70" t="s">
        <v>496</v>
      </c>
      <c r="B25" s="70" t="s">
        <v>698</v>
      </c>
      <c r="C25" s="70" t="s">
        <v>698</v>
      </c>
      <c r="D25" s="70" t="s">
        <v>698</v>
      </c>
      <c r="E25" s="70" t="s">
        <v>698</v>
      </c>
      <c r="F25" s="70">
        <v>4</v>
      </c>
      <c r="G25" s="70">
        <v>4</v>
      </c>
      <c r="H25" s="70">
        <f t="shared" si="0"/>
        <v>100</v>
      </c>
      <c r="I25" s="267" t="str">
        <f t="shared" si="1"/>
        <v>Alto ✅</v>
      </c>
      <c r="J25" s="70">
        <v>1</v>
      </c>
      <c r="K25" s="70" t="s">
        <v>1321</v>
      </c>
    </row>
    <row r="26" spans="1:11" x14ac:dyDescent="0.3">
      <c r="A26" s="70" t="s">
        <v>500</v>
      </c>
      <c r="B26" s="70" t="s">
        <v>698</v>
      </c>
      <c r="C26" s="70" t="s">
        <v>698</v>
      </c>
      <c r="D26" s="70" t="s">
        <v>698</v>
      </c>
      <c r="E26" s="70" t="s">
        <v>703</v>
      </c>
      <c r="F26" s="70">
        <v>4</v>
      </c>
      <c r="G26" s="70">
        <v>3</v>
      </c>
      <c r="H26" s="70">
        <f t="shared" si="0"/>
        <v>75</v>
      </c>
      <c r="I26" s="267" t="str">
        <f t="shared" si="1"/>
        <v>Medio ⚠️</v>
      </c>
      <c r="J26" s="70">
        <v>1</v>
      </c>
      <c r="K26" s="70" t="s">
        <v>1322</v>
      </c>
    </row>
    <row r="27" spans="1:11" x14ac:dyDescent="0.3">
      <c r="A27" s="36" t="s">
        <v>1323</v>
      </c>
      <c r="B27" s="356">
        <f>SUMPRODUCT(H14_CALCULO_ICPI!B6:B25,H7:H26)/100</f>
        <v>0.62093175853018368</v>
      </c>
    </row>
    <row r="28" spans="1:11" x14ac:dyDescent="0.3">
      <c r="A28" s="81" t="s">
        <v>1324</v>
      </c>
      <c r="B28" s="355" t="str">
        <f>IF(B27&gt;=0.8,"✅ Alto",IF(B27&gt;=0.6,"⚠️ Medio","🔴 Bajo"))</f>
        <v>⚠️ Medio</v>
      </c>
    </row>
    <row r="29" spans="1:11" x14ac:dyDescent="0.3">
      <c r="A29" s="65" t="s">
        <v>1325</v>
      </c>
    </row>
  </sheetData>
  <mergeCells count="2">
    <mergeCell ref="A2:K2"/>
    <mergeCell ref="A1:K1"/>
  </mergeCells>
  <hyperlinks>
    <hyperlink ref="A1" location="'H01_PARAMETROS_GENERALES'!A1" tooltip="Volver a H01_PARAMETROS_GENERALES" display="🔙 Volver al Índice" xr:uid="{104970DA-39CB-45A7-8EE2-EA2C548D8823}"/>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51DD-88AD-4EB7-9CA1-E42B312071F1}">
  <dimension ref="A1:L29"/>
  <sheetViews>
    <sheetView workbookViewId="0">
      <pane ySplit="6" topLeftCell="A16" activePane="bottomLeft" state="frozen"/>
      <selection pane="bottomLeft" sqref="A1:L1"/>
    </sheetView>
  </sheetViews>
  <sheetFormatPr baseColWidth="10" defaultRowHeight="14.4" x14ac:dyDescent="0.3"/>
  <cols>
    <col min="1" max="1" width="14.77734375" customWidth="1"/>
    <col min="2" max="2" width="29.6640625" customWidth="1"/>
    <col min="3" max="4" width="11.109375" customWidth="1"/>
    <col min="5" max="7" width="13" customWidth="1"/>
    <col min="8" max="9" width="18.5546875" customWidth="1"/>
    <col min="10" max="10" width="25.88671875" customWidth="1"/>
    <col min="11" max="11" width="22.21875" customWidth="1"/>
    <col min="12" max="12" width="73" bestFit="1" customWidth="1"/>
  </cols>
  <sheetData>
    <row r="1" spans="1:12" x14ac:dyDescent="0.3">
      <c r="A1" s="466" t="s">
        <v>2717</v>
      </c>
      <c r="B1" s="466"/>
      <c r="C1" s="466"/>
      <c r="D1" s="466"/>
      <c r="E1" s="466"/>
      <c r="F1" s="466"/>
      <c r="G1" s="466"/>
      <c r="H1" s="466"/>
      <c r="I1" s="466"/>
      <c r="J1" s="466"/>
      <c r="K1" s="466"/>
      <c r="L1" s="466"/>
    </row>
    <row r="2" spans="1:12" x14ac:dyDescent="0.3">
      <c r="A2" s="483" t="s">
        <v>1326</v>
      </c>
      <c r="B2" s="483"/>
      <c r="C2" s="483"/>
      <c r="D2" s="483"/>
      <c r="E2" s="483"/>
      <c r="F2" s="483"/>
      <c r="G2" s="483"/>
      <c r="H2" s="483"/>
      <c r="I2" s="483"/>
      <c r="J2" s="483"/>
      <c r="K2" s="483"/>
      <c r="L2" s="483"/>
    </row>
    <row r="3" spans="1:12" x14ac:dyDescent="0.3">
      <c r="A3" s="484" t="s">
        <v>1327</v>
      </c>
      <c r="B3" s="484"/>
      <c r="C3" s="484"/>
      <c r="D3" s="484"/>
      <c r="E3" s="484"/>
      <c r="F3" s="484"/>
      <c r="G3" s="484"/>
      <c r="H3" s="484"/>
      <c r="I3" s="484"/>
      <c r="J3" s="484"/>
      <c r="K3" s="484"/>
      <c r="L3" s="484"/>
    </row>
    <row r="4" spans="1:12" x14ac:dyDescent="0.3">
      <c r="A4" t="s">
        <v>144</v>
      </c>
    </row>
    <row r="6" spans="1:12" x14ac:dyDescent="0.3">
      <c r="A6" s="5" t="s">
        <v>385</v>
      </c>
      <c r="B6" s="5" t="s">
        <v>1328</v>
      </c>
      <c r="C6" s="5" t="s">
        <v>172</v>
      </c>
      <c r="D6" s="5" t="s">
        <v>175</v>
      </c>
      <c r="E6" s="5" t="s">
        <v>1329</v>
      </c>
      <c r="F6" s="5" t="s">
        <v>1330</v>
      </c>
      <c r="G6" s="5" t="s">
        <v>1331</v>
      </c>
      <c r="H6" s="5" t="s">
        <v>1332</v>
      </c>
      <c r="I6" s="5" t="s">
        <v>1333</v>
      </c>
      <c r="J6" s="5" t="s">
        <v>1334</v>
      </c>
      <c r="K6" s="5" t="s">
        <v>1335</v>
      </c>
      <c r="L6" s="5" t="s">
        <v>1336</v>
      </c>
    </row>
    <row r="7" spans="1:12" x14ac:dyDescent="0.3">
      <c r="A7" s="69" t="s">
        <v>408</v>
      </c>
      <c r="B7" s="69" t="s">
        <v>298</v>
      </c>
      <c r="C7" s="69">
        <v>0.16273000000000001</v>
      </c>
      <c r="D7" s="69">
        <v>1.5</v>
      </c>
      <c r="E7" s="69">
        <v>1</v>
      </c>
      <c r="F7" s="69">
        <v>0.06</v>
      </c>
      <c r="G7" s="83">
        <v>1.2E-2</v>
      </c>
      <c r="H7" s="83">
        <v>0</v>
      </c>
      <c r="I7" s="83">
        <v>0.18160000000000001</v>
      </c>
      <c r="J7" s="69" t="s">
        <v>1337</v>
      </c>
      <c r="K7" s="69" t="s">
        <v>1338</v>
      </c>
      <c r="L7" s="69" t="s">
        <v>1339</v>
      </c>
    </row>
    <row r="8" spans="1:12" x14ac:dyDescent="0.3">
      <c r="A8" s="69" t="s">
        <v>500</v>
      </c>
      <c r="B8" s="69" t="s">
        <v>1078</v>
      </c>
      <c r="C8" s="69">
        <v>0.11024</v>
      </c>
      <c r="D8" s="69">
        <v>1.5</v>
      </c>
      <c r="E8" s="69">
        <v>1</v>
      </c>
      <c r="F8" s="69">
        <v>0.2</v>
      </c>
      <c r="G8" s="83">
        <v>2.4E-2</v>
      </c>
      <c r="H8" s="83">
        <v>0</v>
      </c>
      <c r="I8" s="83">
        <v>9.4200000000000006E-2</v>
      </c>
      <c r="J8" s="69" t="s">
        <v>1337</v>
      </c>
      <c r="K8" s="69" t="s">
        <v>1338</v>
      </c>
      <c r="L8" s="69" t="s">
        <v>1340</v>
      </c>
    </row>
    <row r="9" spans="1:12" x14ac:dyDescent="0.3">
      <c r="A9" s="69" t="s">
        <v>447</v>
      </c>
      <c r="B9" s="69" t="s">
        <v>1056</v>
      </c>
      <c r="C9" s="69">
        <v>5.5120000000000002E-2</v>
      </c>
      <c r="D9" s="69">
        <v>1.5</v>
      </c>
      <c r="E9" s="69">
        <v>0</v>
      </c>
      <c r="F9" s="69">
        <v>0.1</v>
      </c>
      <c r="G9" s="83">
        <v>0</v>
      </c>
      <c r="H9" s="83">
        <v>6.4999999999999997E-3</v>
      </c>
      <c r="I9" s="83">
        <v>6.5500000000000003E-2</v>
      </c>
      <c r="J9" s="69" t="s">
        <v>1337</v>
      </c>
      <c r="K9" s="69" t="s">
        <v>1341</v>
      </c>
      <c r="L9" s="69" t="s">
        <v>1342</v>
      </c>
    </row>
    <row r="10" spans="1:12" x14ac:dyDescent="0.3">
      <c r="A10" s="84" t="s">
        <v>430</v>
      </c>
      <c r="B10" s="84" t="s">
        <v>1051</v>
      </c>
      <c r="C10" s="84">
        <v>7.349E-2</v>
      </c>
      <c r="D10" s="84">
        <v>1</v>
      </c>
      <c r="E10" s="84">
        <v>0</v>
      </c>
      <c r="F10" s="84">
        <v>0.08</v>
      </c>
      <c r="G10" s="85">
        <v>0</v>
      </c>
      <c r="H10" s="85">
        <v>3.8E-3</v>
      </c>
      <c r="I10" s="85">
        <v>4.7100000000000003E-2</v>
      </c>
      <c r="J10" s="84" t="s">
        <v>1343</v>
      </c>
      <c r="K10" s="84" t="s">
        <v>1341</v>
      </c>
      <c r="L10" s="84" t="s">
        <v>1344</v>
      </c>
    </row>
    <row r="11" spans="1:12" x14ac:dyDescent="0.3">
      <c r="A11" s="84" t="s">
        <v>413</v>
      </c>
      <c r="B11" s="84" t="s">
        <v>1020</v>
      </c>
      <c r="C11" s="84">
        <v>4.7239999999999997E-2</v>
      </c>
      <c r="D11" s="84">
        <v>1.5</v>
      </c>
      <c r="E11" s="84">
        <v>0</v>
      </c>
      <c r="F11" s="84">
        <v>0</v>
      </c>
      <c r="G11" s="85">
        <v>0</v>
      </c>
      <c r="H11" s="85">
        <v>0</v>
      </c>
      <c r="I11" s="85">
        <v>4.2099999999999999E-2</v>
      </c>
      <c r="J11" s="84" t="s">
        <v>1343</v>
      </c>
      <c r="K11" s="84" t="s">
        <v>1341</v>
      </c>
      <c r="L11" s="84" t="s">
        <v>1345</v>
      </c>
    </row>
    <row r="12" spans="1:12" x14ac:dyDescent="0.3">
      <c r="A12" s="84" t="s">
        <v>401</v>
      </c>
      <c r="B12" s="84" t="s">
        <v>1040</v>
      </c>
      <c r="C12" s="84">
        <v>0.22309999999999999</v>
      </c>
      <c r="D12" s="84">
        <v>1.5</v>
      </c>
      <c r="E12" s="84">
        <v>1</v>
      </c>
      <c r="F12" s="84">
        <v>0.85</v>
      </c>
      <c r="G12" s="85">
        <v>0.22500000000000001</v>
      </c>
      <c r="H12" s="85">
        <v>0</v>
      </c>
      <c r="I12" s="85">
        <v>3.9699999999999999E-2</v>
      </c>
      <c r="J12" s="84" t="s">
        <v>1343</v>
      </c>
      <c r="K12" s="84" t="s">
        <v>1346</v>
      </c>
      <c r="L12" s="84" t="s">
        <v>1347</v>
      </c>
    </row>
    <row r="13" spans="1:12" x14ac:dyDescent="0.3">
      <c r="A13" s="84" t="s">
        <v>441</v>
      </c>
      <c r="B13" s="84" t="s">
        <v>443</v>
      </c>
      <c r="C13" s="84">
        <v>3.15E-2</v>
      </c>
      <c r="D13" s="84">
        <v>1</v>
      </c>
      <c r="E13" s="84">
        <v>0</v>
      </c>
      <c r="F13" s="84">
        <v>0</v>
      </c>
      <c r="G13" s="85">
        <v>0</v>
      </c>
      <c r="H13" s="85">
        <v>0</v>
      </c>
      <c r="I13" s="85">
        <v>2.4899999999999999E-2</v>
      </c>
      <c r="J13" s="84" t="s">
        <v>1343</v>
      </c>
      <c r="K13" s="84" t="s">
        <v>1341</v>
      </c>
      <c r="L13" s="84" t="s">
        <v>1348</v>
      </c>
    </row>
    <row r="14" spans="1:12" x14ac:dyDescent="0.3">
      <c r="A14" s="86" t="s">
        <v>424</v>
      </c>
      <c r="B14" s="86" t="s">
        <v>1049</v>
      </c>
      <c r="C14" s="86">
        <v>3.9370000000000002E-2</v>
      </c>
      <c r="D14" s="86">
        <v>1</v>
      </c>
      <c r="E14" s="86">
        <v>1</v>
      </c>
      <c r="F14" s="86">
        <v>0.75</v>
      </c>
      <c r="G14" s="87">
        <v>2.3E-2</v>
      </c>
      <c r="H14" s="87">
        <v>0</v>
      </c>
      <c r="I14" s="87">
        <v>7.7999999999999996E-3</v>
      </c>
      <c r="J14" s="86" t="s">
        <v>1349</v>
      </c>
      <c r="K14" s="86" t="s">
        <v>1346</v>
      </c>
      <c r="L14" s="86" t="s">
        <v>1350</v>
      </c>
    </row>
    <row r="15" spans="1:12" x14ac:dyDescent="0.3">
      <c r="A15" s="86" t="s">
        <v>418</v>
      </c>
      <c r="B15" s="86" t="s">
        <v>1046</v>
      </c>
      <c r="C15" s="86">
        <v>8.3989999999999995E-2</v>
      </c>
      <c r="D15" s="86">
        <v>1</v>
      </c>
      <c r="E15" s="86">
        <v>1</v>
      </c>
      <c r="F15" s="86">
        <v>0.9</v>
      </c>
      <c r="G15" s="87">
        <v>0.06</v>
      </c>
      <c r="H15" s="87">
        <v>0</v>
      </c>
      <c r="I15" s="87">
        <v>6.6E-3</v>
      </c>
      <c r="J15" s="86" t="s">
        <v>1349</v>
      </c>
      <c r="K15" s="86" t="s">
        <v>1346</v>
      </c>
      <c r="L15" s="86" t="s">
        <v>1351</v>
      </c>
    </row>
    <row r="16" spans="1:12" x14ac:dyDescent="0.3">
      <c r="A16" s="86" t="s">
        <v>491</v>
      </c>
      <c r="B16" s="86" t="s">
        <v>1073</v>
      </c>
      <c r="C16" s="86">
        <v>1.102E-2</v>
      </c>
      <c r="D16" s="86">
        <v>1</v>
      </c>
      <c r="E16" s="86">
        <v>0</v>
      </c>
      <c r="F16" s="86">
        <v>0</v>
      </c>
      <c r="G16" s="87">
        <v>0</v>
      </c>
      <c r="H16" s="87">
        <v>0</v>
      </c>
      <c r="I16" s="87">
        <v>6.4999999999999997E-3</v>
      </c>
      <c r="J16" s="86" t="s">
        <v>1349</v>
      </c>
      <c r="K16" s="86" t="s">
        <v>1341</v>
      </c>
      <c r="L16" s="86" t="s">
        <v>1352</v>
      </c>
    </row>
    <row r="17" spans="1:12" x14ac:dyDescent="0.3">
      <c r="A17" s="86" t="s">
        <v>463</v>
      </c>
      <c r="B17" s="86" t="s">
        <v>1061</v>
      </c>
      <c r="C17" s="86">
        <v>9.9699999999999997E-3</v>
      </c>
      <c r="D17" s="86">
        <v>1</v>
      </c>
      <c r="E17" s="86">
        <v>1</v>
      </c>
      <c r="F17" s="86">
        <v>0.08</v>
      </c>
      <c r="G17" s="87">
        <v>0</v>
      </c>
      <c r="H17" s="87">
        <v>0</v>
      </c>
      <c r="I17" s="87">
        <v>5.4000000000000003E-3</v>
      </c>
      <c r="J17" s="86" t="s">
        <v>1349</v>
      </c>
      <c r="K17" s="86" t="s">
        <v>1338</v>
      </c>
      <c r="L17" s="86" t="s">
        <v>1353</v>
      </c>
    </row>
    <row r="18" spans="1:12" x14ac:dyDescent="0.3">
      <c r="A18" s="86" t="s">
        <v>457</v>
      </c>
      <c r="B18" s="86" t="s">
        <v>459</v>
      </c>
      <c r="C18" s="86">
        <v>4.7239999999999997E-2</v>
      </c>
      <c r="D18" s="86">
        <v>0.5</v>
      </c>
      <c r="E18" s="86">
        <v>1</v>
      </c>
      <c r="F18" s="86">
        <v>0.7</v>
      </c>
      <c r="G18" s="87">
        <v>1.2E-2</v>
      </c>
      <c r="H18" s="87">
        <v>0</v>
      </c>
      <c r="I18" s="87">
        <v>5.0000000000000001E-3</v>
      </c>
      <c r="J18" s="86" t="s">
        <v>1349</v>
      </c>
      <c r="K18" s="86" t="s">
        <v>1346</v>
      </c>
      <c r="L18" s="86" t="s">
        <v>1354</v>
      </c>
    </row>
    <row r="19" spans="1:12" x14ac:dyDescent="0.3">
      <c r="A19" s="86" t="s">
        <v>474</v>
      </c>
      <c r="B19" s="86" t="s">
        <v>1066</v>
      </c>
      <c r="C19" s="86">
        <v>1.627E-2</v>
      </c>
      <c r="D19" s="86">
        <v>1</v>
      </c>
      <c r="E19" s="86">
        <v>1</v>
      </c>
      <c r="F19" s="86">
        <v>0.7</v>
      </c>
      <c r="G19" s="87">
        <v>8.9999999999999993E-3</v>
      </c>
      <c r="H19" s="87">
        <v>0</v>
      </c>
      <c r="I19" s="87">
        <v>3.8999999999999998E-3</v>
      </c>
      <c r="J19" s="86" t="s">
        <v>1349</v>
      </c>
      <c r="K19" s="86" t="s">
        <v>1346</v>
      </c>
      <c r="L19" s="86" t="s">
        <v>1355</v>
      </c>
    </row>
    <row r="20" spans="1:12" x14ac:dyDescent="0.3">
      <c r="A20" s="86" t="s">
        <v>436</v>
      </c>
      <c r="B20" s="86" t="s">
        <v>1356</v>
      </c>
      <c r="C20" s="86">
        <v>2.4930000000000001E-2</v>
      </c>
      <c r="D20" s="86">
        <v>1</v>
      </c>
      <c r="E20" s="86">
        <v>1</v>
      </c>
      <c r="F20" s="86">
        <v>0.78</v>
      </c>
      <c r="G20" s="87">
        <v>1.2E-2</v>
      </c>
      <c r="H20" s="87">
        <v>0</v>
      </c>
      <c r="I20" s="87">
        <v>3.5000000000000001E-3</v>
      </c>
      <c r="J20" s="86" t="s">
        <v>1349</v>
      </c>
      <c r="K20" s="86" t="s">
        <v>1346</v>
      </c>
      <c r="L20" s="86" t="s">
        <v>1357</v>
      </c>
    </row>
    <row r="21" spans="1:12" x14ac:dyDescent="0.3">
      <c r="A21" s="86" t="s">
        <v>482</v>
      </c>
      <c r="B21" s="86" t="s">
        <v>1069</v>
      </c>
      <c r="C21" s="86">
        <v>8.3999999999999995E-3</v>
      </c>
      <c r="D21" s="86">
        <v>1.5</v>
      </c>
      <c r="E21" s="86">
        <v>1</v>
      </c>
      <c r="F21" s="86">
        <v>0.8</v>
      </c>
      <c r="G21" s="87">
        <v>7.0000000000000001E-3</v>
      </c>
      <c r="H21" s="87">
        <v>0</v>
      </c>
      <c r="I21" s="87">
        <v>1.8E-3</v>
      </c>
      <c r="J21" s="86" t="s">
        <v>1349</v>
      </c>
      <c r="K21" s="86" t="s">
        <v>1346</v>
      </c>
      <c r="L21" s="86" t="s">
        <v>1358</v>
      </c>
    </row>
    <row r="22" spans="1:12" x14ac:dyDescent="0.3">
      <c r="A22" s="86" t="s">
        <v>488</v>
      </c>
      <c r="B22" s="86" t="s">
        <v>1071</v>
      </c>
      <c r="C22" s="86">
        <v>2.231E-2</v>
      </c>
      <c r="D22" s="86">
        <v>1</v>
      </c>
      <c r="E22" s="86">
        <v>1</v>
      </c>
      <c r="F22" s="86">
        <v>0.9</v>
      </c>
      <c r="G22" s="87">
        <v>1.6E-2</v>
      </c>
      <c r="H22" s="87">
        <v>0</v>
      </c>
      <c r="I22" s="87">
        <v>1.8E-3</v>
      </c>
      <c r="J22" s="86" t="s">
        <v>1349</v>
      </c>
      <c r="K22" s="86" t="s">
        <v>1346</v>
      </c>
      <c r="L22" s="86" t="s">
        <v>1359</v>
      </c>
    </row>
    <row r="23" spans="1:12" x14ac:dyDescent="0.3">
      <c r="A23" s="86" t="s">
        <v>496</v>
      </c>
      <c r="B23" s="86" t="s">
        <v>1076</v>
      </c>
      <c r="C23" s="86">
        <v>9.1900000000000003E-3</v>
      </c>
      <c r="D23" s="86">
        <v>0.5</v>
      </c>
      <c r="E23" s="86">
        <v>1</v>
      </c>
      <c r="F23" s="86">
        <v>0.8</v>
      </c>
      <c r="G23" s="87">
        <v>3.0000000000000001E-3</v>
      </c>
      <c r="H23" s="87">
        <v>0</v>
      </c>
      <c r="I23" s="87">
        <v>6.9999999999999999E-4</v>
      </c>
      <c r="J23" s="86" t="s">
        <v>1349</v>
      </c>
      <c r="K23" s="86" t="s">
        <v>1346</v>
      </c>
      <c r="L23" s="86" t="s">
        <v>1360</v>
      </c>
    </row>
    <row r="24" spans="1:12" x14ac:dyDescent="0.3">
      <c r="A24" s="86" t="s">
        <v>451</v>
      </c>
      <c r="B24" s="86" t="s">
        <v>1058</v>
      </c>
      <c r="C24" s="86">
        <v>1.1809999999999999E-2</v>
      </c>
      <c r="D24" s="86">
        <v>0.5</v>
      </c>
      <c r="E24" s="86">
        <v>1</v>
      </c>
      <c r="F24" s="86">
        <v>1</v>
      </c>
      <c r="G24" s="87">
        <v>5.0000000000000001E-3</v>
      </c>
      <c r="H24" s="87">
        <v>0</v>
      </c>
      <c r="I24" s="87">
        <v>0</v>
      </c>
      <c r="J24" s="86" t="s">
        <v>1349</v>
      </c>
      <c r="K24" s="86" t="s">
        <v>1346</v>
      </c>
      <c r="L24" s="86" t="s">
        <v>1361</v>
      </c>
    </row>
    <row r="25" spans="1:12" x14ac:dyDescent="0.3">
      <c r="A25" s="86" t="s">
        <v>470</v>
      </c>
      <c r="B25" s="86" t="s">
        <v>1064</v>
      </c>
      <c r="C25" s="86">
        <v>4.7200000000000002E-3</v>
      </c>
      <c r="D25" s="86">
        <v>0.5</v>
      </c>
      <c r="E25" s="86">
        <v>1</v>
      </c>
      <c r="F25" s="86">
        <v>1</v>
      </c>
      <c r="G25" s="87">
        <v>2E-3</v>
      </c>
      <c r="H25" s="87">
        <v>0</v>
      </c>
      <c r="I25" s="87">
        <v>0</v>
      </c>
      <c r="J25" s="86" t="s">
        <v>1349</v>
      </c>
      <c r="K25" s="86" t="s">
        <v>1346</v>
      </c>
      <c r="L25" s="86" t="s">
        <v>1362</v>
      </c>
    </row>
    <row r="26" spans="1:12" x14ac:dyDescent="0.3">
      <c r="A26" s="86" t="s">
        <v>478</v>
      </c>
      <c r="B26" s="86" t="s">
        <v>1363</v>
      </c>
      <c r="C26" s="86">
        <v>7.3499999999999998E-3</v>
      </c>
      <c r="D26" s="86">
        <v>0.5</v>
      </c>
      <c r="E26" s="86">
        <v>1</v>
      </c>
      <c r="F26" s="86">
        <v>1</v>
      </c>
      <c r="G26" s="87">
        <v>3.0000000000000001E-3</v>
      </c>
      <c r="H26" s="87">
        <v>0</v>
      </c>
      <c r="I26" s="87">
        <v>0</v>
      </c>
      <c r="J26" s="86" t="s">
        <v>1349</v>
      </c>
      <c r="K26" s="86" t="s">
        <v>1346</v>
      </c>
      <c r="L26" s="86" t="s">
        <v>1364</v>
      </c>
    </row>
    <row r="28" spans="1:12" x14ac:dyDescent="0.3">
      <c r="A28" s="36" t="s">
        <v>1365</v>
      </c>
    </row>
    <row r="29" spans="1:12" x14ac:dyDescent="0.3">
      <c r="A29" s="88" t="s">
        <v>1366</v>
      </c>
    </row>
  </sheetData>
  <mergeCells count="3">
    <mergeCell ref="A2:L2"/>
    <mergeCell ref="A3:L3"/>
    <mergeCell ref="A1:L1"/>
  </mergeCells>
  <hyperlinks>
    <hyperlink ref="A1" location="'H01_PARAMETROS_GENERALES'!A1" tooltip="Volver a H01_PARAMETROS_GENERALES" display="🔙 Volver al Índice" xr:uid="{9D695719-F823-490B-8750-E251DED792E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92DFA-2AC8-4F9F-BFCE-2879256E43F3}">
  <dimension ref="A1:G25"/>
  <sheetViews>
    <sheetView workbookViewId="0">
      <pane ySplit="6" topLeftCell="A16" activePane="bottomLeft" state="frozen"/>
      <selection pane="bottomLeft" activeCell="E20" sqref="E20"/>
    </sheetView>
  </sheetViews>
  <sheetFormatPr baseColWidth="10" defaultRowHeight="14.4" x14ac:dyDescent="0.3"/>
  <cols>
    <col min="1" max="1" width="40.77734375" customWidth="1"/>
    <col min="2" max="2" width="11.109375" customWidth="1"/>
    <col min="3" max="3" width="13" customWidth="1"/>
    <col min="4" max="4" width="11.109375" customWidth="1"/>
    <col min="5" max="5" width="33.33203125" customWidth="1"/>
    <col min="6" max="6" width="37" customWidth="1"/>
    <col min="7" max="7" width="51.88671875" customWidth="1"/>
  </cols>
  <sheetData>
    <row r="1" spans="1:7" x14ac:dyDescent="0.3">
      <c r="A1" s="466" t="s">
        <v>2717</v>
      </c>
      <c r="B1" s="466"/>
      <c r="C1" s="466"/>
      <c r="D1" s="466"/>
      <c r="E1" s="466"/>
      <c r="F1" s="466"/>
      <c r="G1" s="466"/>
    </row>
    <row r="2" spans="1:7" x14ac:dyDescent="0.3">
      <c r="A2" s="494" t="s">
        <v>1367</v>
      </c>
      <c r="B2" s="494"/>
      <c r="C2" s="494"/>
      <c r="D2" s="494"/>
      <c r="E2" s="494"/>
      <c r="F2" s="494"/>
      <c r="G2" s="494"/>
    </row>
    <row r="3" spans="1:7" x14ac:dyDescent="0.3">
      <c r="A3" s="484" t="s">
        <v>1368</v>
      </c>
      <c r="B3" s="484"/>
      <c r="C3" s="484"/>
      <c r="D3" s="484"/>
      <c r="E3" s="484"/>
      <c r="F3" s="484"/>
      <c r="G3" s="484"/>
    </row>
    <row r="4" spans="1:7" x14ac:dyDescent="0.3">
      <c r="A4" t="s">
        <v>144</v>
      </c>
    </row>
    <row r="6" spans="1:7" x14ac:dyDescent="0.3">
      <c r="A6" s="5" t="s">
        <v>1264</v>
      </c>
      <c r="B6" s="5" t="s">
        <v>1369</v>
      </c>
      <c r="C6" s="5" t="s">
        <v>1266</v>
      </c>
      <c r="D6" s="5" t="s">
        <v>1370</v>
      </c>
      <c r="E6" s="5" t="s">
        <v>1267</v>
      </c>
      <c r="F6" s="5" t="s">
        <v>1268</v>
      </c>
      <c r="G6" s="5" t="s">
        <v>1269</v>
      </c>
    </row>
    <row r="7" spans="1:7" x14ac:dyDescent="0.3">
      <c r="A7" s="75" t="s">
        <v>405</v>
      </c>
      <c r="B7" s="75">
        <v>6</v>
      </c>
      <c r="C7" s="89">
        <v>0.45500000000000002</v>
      </c>
      <c r="D7" s="75" t="s">
        <v>1371</v>
      </c>
      <c r="E7" s="75" t="s">
        <v>1372</v>
      </c>
      <c r="F7" s="75" t="s">
        <v>1373</v>
      </c>
      <c r="G7" s="75" t="s">
        <v>1374</v>
      </c>
    </row>
    <row r="8" spans="1:7" x14ac:dyDescent="0.3">
      <c r="A8" s="69" t="s">
        <v>434</v>
      </c>
      <c r="B8" s="69">
        <v>4</v>
      </c>
      <c r="C8" s="83">
        <v>0.26100000000000001</v>
      </c>
      <c r="D8" s="69" t="s">
        <v>1375</v>
      </c>
      <c r="E8" s="69" t="s">
        <v>1107</v>
      </c>
      <c r="F8" s="69" t="s">
        <v>1376</v>
      </c>
      <c r="G8" s="69" t="s">
        <v>1377</v>
      </c>
    </row>
    <row r="9" spans="1:7" x14ac:dyDescent="0.3">
      <c r="A9" s="70" t="s">
        <v>1274</v>
      </c>
      <c r="B9" s="70">
        <v>2</v>
      </c>
      <c r="C9" s="90">
        <v>0.95799999999999996</v>
      </c>
      <c r="D9" s="70" t="s">
        <v>1378</v>
      </c>
      <c r="E9" s="70" t="s">
        <v>1275</v>
      </c>
      <c r="F9" s="70" t="s">
        <v>1379</v>
      </c>
      <c r="G9" s="70" t="s">
        <v>1380</v>
      </c>
    </row>
    <row r="10" spans="1:7" x14ac:dyDescent="0.3">
      <c r="A10" s="91" t="s">
        <v>461</v>
      </c>
      <c r="B10" s="91">
        <v>2</v>
      </c>
      <c r="C10" s="92">
        <v>0.873</v>
      </c>
      <c r="D10" s="91" t="s">
        <v>1378</v>
      </c>
      <c r="E10" s="91" t="s">
        <v>1278</v>
      </c>
      <c r="F10" s="91" t="s">
        <v>1276</v>
      </c>
      <c r="G10" s="91" t="s">
        <v>1381</v>
      </c>
    </row>
    <row r="11" spans="1:7" x14ac:dyDescent="0.3">
      <c r="A11" s="69" t="s">
        <v>1280</v>
      </c>
      <c r="B11" s="69">
        <v>2</v>
      </c>
      <c r="C11" s="83">
        <v>0.34899999999999998</v>
      </c>
      <c r="D11" s="69" t="s">
        <v>1375</v>
      </c>
      <c r="E11" s="69" t="s">
        <v>1382</v>
      </c>
      <c r="F11" s="69" t="s">
        <v>1282</v>
      </c>
      <c r="G11" s="69" t="s">
        <v>1383</v>
      </c>
    </row>
    <row r="12" spans="1:7" x14ac:dyDescent="0.3">
      <c r="A12" s="76" t="s">
        <v>486</v>
      </c>
      <c r="B12" s="76">
        <v>1</v>
      </c>
      <c r="C12" s="93">
        <v>0.8</v>
      </c>
      <c r="D12" s="76" t="s">
        <v>1378</v>
      </c>
      <c r="E12" s="76" t="s">
        <v>1284</v>
      </c>
      <c r="F12" s="76" t="s">
        <v>1384</v>
      </c>
      <c r="G12" s="76" t="s">
        <v>1385</v>
      </c>
    </row>
    <row r="13" spans="1:7" x14ac:dyDescent="0.3">
      <c r="A13" s="76" t="s">
        <v>499</v>
      </c>
      <c r="B13" s="76">
        <v>1</v>
      </c>
      <c r="C13" s="93">
        <v>0.8</v>
      </c>
      <c r="D13" s="76" t="s">
        <v>1378</v>
      </c>
      <c r="E13" s="76" t="s">
        <v>1278</v>
      </c>
      <c r="F13" s="76" t="s">
        <v>1386</v>
      </c>
      <c r="G13" s="76" t="s">
        <v>1387</v>
      </c>
    </row>
    <row r="14" spans="1:7" x14ac:dyDescent="0.3">
      <c r="A14" s="96" t="s">
        <v>999</v>
      </c>
      <c r="B14" s="96">
        <v>2</v>
      </c>
      <c r="C14" s="97">
        <v>2.9000000000000001E-2</v>
      </c>
      <c r="D14" s="96" t="s">
        <v>1375</v>
      </c>
      <c r="E14" s="96" t="s">
        <v>1388</v>
      </c>
      <c r="F14" s="96" t="s">
        <v>1389</v>
      </c>
      <c r="G14" s="96" t="s">
        <v>1390</v>
      </c>
    </row>
    <row r="16" spans="1:7" x14ac:dyDescent="0.3">
      <c r="A16" s="5" t="s">
        <v>1391</v>
      </c>
    </row>
    <row r="17" spans="1:7" x14ac:dyDescent="0.3">
      <c r="A17" s="5" t="s">
        <v>1392</v>
      </c>
      <c r="B17" s="5" t="s">
        <v>1119</v>
      </c>
      <c r="C17" s="5" t="s">
        <v>1170</v>
      </c>
    </row>
    <row r="18" spans="1:7" x14ac:dyDescent="0.3">
      <c r="A18" s="6" t="s">
        <v>1393</v>
      </c>
      <c r="B18" s="6" t="s">
        <v>1394</v>
      </c>
      <c r="C18" s="6" t="s">
        <v>1395</v>
      </c>
    </row>
    <row r="19" spans="1:7" x14ac:dyDescent="0.3">
      <c r="A19" s="7" t="s">
        <v>1396</v>
      </c>
      <c r="B19" s="7" t="s">
        <v>1397</v>
      </c>
      <c r="C19" s="7" t="s">
        <v>1398</v>
      </c>
    </row>
    <row r="20" spans="1:7" x14ac:dyDescent="0.3">
      <c r="A20" s="6" t="s">
        <v>1399</v>
      </c>
      <c r="B20" s="6" t="s">
        <v>1400</v>
      </c>
      <c r="C20" s="6" t="s">
        <v>1401</v>
      </c>
    </row>
    <row r="21" spans="1:7" x14ac:dyDescent="0.3">
      <c r="A21" s="7" t="s">
        <v>1402</v>
      </c>
      <c r="B21" s="7" t="s">
        <v>1403</v>
      </c>
      <c r="C21" s="7" t="s">
        <v>1404</v>
      </c>
    </row>
    <row r="22" spans="1:7" x14ac:dyDescent="0.3">
      <c r="A22" s="6" t="s">
        <v>1405</v>
      </c>
      <c r="B22" s="6" t="s">
        <v>1406</v>
      </c>
      <c r="C22" s="6" t="s">
        <v>1407</v>
      </c>
    </row>
    <row r="24" spans="1:7" x14ac:dyDescent="0.3">
      <c r="A24" s="98" t="s">
        <v>1408</v>
      </c>
    </row>
    <row r="25" spans="1:7" x14ac:dyDescent="0.3">
      <c r="A25" s="99" t="s">
        <v>1409</v>
      </c>
      <c r="B25" s="84"/>
      <c r="C25" s="84"/>
      <c r="D25" s="84"/>
      <c r="E25" s="84"/>
      <c r="F25" s="84"/>
      <c r="G25" s="84"/>
    </row>
  </sheetData>
  <mergeCells count="3">
    <mergeCell ref="A1:G1"/>
    <mergeCell ref="A2:G2"/>
    <mergeCell ref="A3:G3"/>
  </mergeCells>
  <hyperlinks>
    <hyperlink ref="A1" location="'H01_PARAMETROS_GENERALES'!A1" tooltip="Volver a H01_PARAMETROS_GENERALES" display="🔙 Volver al Índice" xr:uid="{589EEDEB-F7DA-4448-B860-E6A7E081D60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A620-F33F-4ED0-A2F9-8DBA65AF8206}">
  <dimension ref="A1:H55"/>
  <sheetViews>
    <sheetView workbookViewId="0">
      <pane ySplit="5" topLeftCell="A6" activePane="bottomLeft" state="frozen"/>
      <selection pane="bottomLeft" activeCell="A52" sqref="A52:H52"/>
    </sheetView>
  </sheetViews>
  <sheetFormatPr baseColWidth="10" defaultRowHeight="14.4" x14ac:dyDescent="0.3"/>
  <cols>
    <col min="1" max="2" width="37" customWidth="1"/>
    <col min="3" max="3" width="27.77734375" customWidth="1"/>
    <col min="4" max="4" width="51.88671875" customWidth="1"/>
    <col min="5" max="5" width="18.5546875" customWidth="1"/>
    <col min="6" max="8" width="37" customWidth="1"/>
  </cols>
  <sheetData>
    <row r="1" spans="1:8" x14ac:dyDescent="0.3">
      <c r="A1" s="466" t="s">
        <v>2717</v>
      </c>
      <c r="B1" s="466"/>
      <c r="C1" s="466"/>
      <c r="D1" s="466"/>
      <c r="E1" s="466"/>
      <c r="F1" s="466"/>
      <c r="G1" s="466"/>
      <c r="H1" s="466"/>
    </row>
    <row r="2" spans="1:8" x14ac:dyDescent="0.3">
      <c r="A2" s="483" t="s">
        <v>2725</v>
      </c>
      <c r="B2" s="483"/>
      <c r="C2" s="483"/>
      <c r="D2" s="483"/>
      <c r="E2" s="483"/>
      <c r="F2" s="483"/>
      <c r="G2" s="483"/>
      <c r="H2" s="483"/>
    </row>
    <row r="3" spans="1:8" x14ac:dyDescent="0.3">
      <c r="A3" s="484" t="s">
        <v>1410</v>
      </c>
      <c r="B3" s="484"/>
      <c r="C3" s="484"/>
      <c r="D3" s="484"/>
      <c r="E3" s="484"/>
      <c r="F3" s="484"/>
      <c r="G3" s="484"/>
      <c r="H3" s="484"/>
    </row>
    <row r="4" spans="1:8" x14ac:dyDescent="0.3">
      <c r="A4" t="s">
        <v>144</v>
      </c>
    </row>
    <row r="6" spans="1:8" x14ac:dyDescent="0.3">
      <c r="A6" s="483" t="s">
        <v>1411</v>
      </c>
      <c r="B6" s="483"/>
      <c r="C6" s="483"/>
      <c r="D6" s="483"/>
      <c r="E6" s="483"/>
      <c r="F6" s="483"/>
      <c r="G6" s="483"/>
      <c r="H6" s="483"/>
    </row>
    <row r="7" spans="1:8" x14ac:dyDescent="0.3">
      <c r="A7" s="5" t="s">
        <v>465</v>
      </c>
      <c r="B7" s="5" t="s">
        <v>1412</v>
      </c>
      <c r="C7" s="5" t="s">
        <v>1413</v>
      </c>
      <c r="D7" s="5" t="s">
        <v>1119</v>
      </c>
      <c r="E7" s="5" t="s">
        <v>1414</v>
      </c>
      <c r="F7" s="5" t="s">
        <v>1415</v>
      </c>
      <c r="G7" s="5" t="s">
        <v>1416</v>
      </c>
      <c r="H7" s="5" t="s">
        <v>1417</v>
      </c>
    </row>
    <row r="8" spans="1:8" x14ac:dyDescent="0.3">
      <c r="A8" s="75" t="s">
        <v>405</v>
      </c>
      <c r="B8" s="75">
        <v>6</v>
      </c>
      <c r="C8" s="89">
        <v>0.45500000000000002</v>
      </c>
      <c r="D8" s="75" t="s">
        <v>1372</v>
      </c>
      <c r="E8" s="75">
        <v>0.83</v>
      </c>
      <c r="F8" s="75">
        <v>0.52</v>
      </c>
      <c r="G8" s="75">
        <v>2</v>
      </c>
      <c r="H8" s="75">
        <v>4</v>
      </c>
    </row>
    <row r="9" spans="1:8" x14ac:dyDescent="0.3">
      <c r="A9" s="69" t="s">
        <v>434</v>
      </c>
      <c r="B9" s="69">
        <v>4</v>
      </c>
      <c r="C9" s="83">
        <v>0.26100000000000001</v>
      </c>
      <c r="D9" s="69" t="s">
        <v>1418</v>
      </c>
      <c r="E9" s="69">
        <v>0.75</v>
      </c>
      <c r="F9" s="69">
        <v>0.44</v>
      </c>
      <c r="G9" s="69">
        <v>1</v>
      </c>
      <c r="H9" s="69">
        <v>3</v>
      </c>
    </row>
    <row r="10" spans="1:8" x14ac:dyDescent="0.3">
      <c r="A10" s="70" t="s">
        <v>1274</v>
      </c>
      <c r="B10" s="70">
        <v>2</v>
      </c>
      <c r="C10" s="90">
        <v>0.95799999999999996</v>
      </c>
      <c r="D10" s="70" t="s">
        <v>1275</v>
      </c>
      <c r="E10" s="70">
        <v>1</v>
      </c>
      <c r="F10" s="70">
        <v>1</v>
      </c>
      <c r="G10" s="70">
        <v>2</v>
      </c>
      <c r="H10" s="70">
        <v>0</v>
      </c>
    </row>
    <row r="11" spans="1:8" x14ac:dyDescent="0.3">
      <c r="A11" s="91" t="s">
        <v>461</v>
      </c>
      <c r="B11" s="91">
        <v>2</v>
      </c>
      <c r="C11" s="92">
        <v>0.873</v>
      </c>
      <c r="D11" s="91" t="s">
        <v>1278</v>
      </c>
      <c r="E11" s="91">
        <v>1</v>
      </c>
      <c r="F11" s="91">
        <v>0.85</v>
      </c>
      <c r="G11" s="91">
        <v>2</v>
      </c>
      <c r="H11" s="91">
        <v>0</v>
      </c>
    </row>
    <row r="12" spans="1:8" x14ac:dyDescent="0.3">
      <c r="A12" s="69" t="s">
        <v>1280</v>
      </c>
      <c r="B12" s="69">
        <v>2</v>
      </c>
      <c r="C12" s="83">
        <v>0.34899999999999998</v>
      </c>
      <c r="D12" s="69" t="s">
        <v>1388</v>
      </c>
      <c r="E12" s="69">
        <v>1</v>
      </c>
      <c r="F12" s="69">
        <v>0.73</v>
      </c>
      <c r="G12" s="69">
        <v>0</v>
      </c>
      <c r="H12" s="69">
        <v>2</v>
      </c>
    </row>
    <row r="13" spans="1:8" x14ac:dyDescent="0.3">
      <c r="A13" s="76" t="s">
        <v>486</v>
      </c>
      <c r="B13" s="76">
        <v>1</v>
      </c>
      <c r="C13" s="93">
        <v>0.8</v>
      </c>
      <c r="D13" s="76" t="s">
        <v>1284</v>
      </c>
      <c r="E13" s="76">
        <v>1</v>
      </c>
      <c r="F13" s="76">
        <v>0.8</v>
      </c>
      <c r="G13" s="76">
        <v>0</v>
      </c>
      <c r="H13" s="76">
        <v>1</v>
      </c>
    </row>
    <row r="14" spans="1:8" x14ac:dyDescent="0.3">
      <c r="A14" s="76" t="s">
        <v>499</v>
      </c>
      <c r="B14" s="76">
        <v>1</v>
      </c>
      <c r="C14" s="93">
        <v>0.8</v>
      </c>
      <c r="D14" s="76" t="s">
        <v>1278</v>
      </c>
      <c r="E14" s="76">
        <v>1</v>
      </c>
      <c r="F14" s="76">
        <v>0.8</v>
      </c>
      <c r="G14" s="76">
        <v>1</v>
      </c>
      <c r="H14" s="76">
        <v>0</v>
      </c>
    </row>
    <row r="15" spans="1:8" x14ac:dyDescent="0.3">
      <c r="A15" s="94" t="s">
        <v>999</v>
      </c>
      <c r="B15" s="94">
        <v>2</v>
      </c>
      <c r="C15" s="95">
        <v>2.9000000000000001E-2</v>
      </c>
      <c r="D15" s="94" t="s">
        <v>1419</v>
      </c>
      <c r="E15" s="94">
        <v>0.5</v>
      </c>
      <c r="F15" s="94">
        <v>0.04</v>
      </c>
      <c r="G15" s="94">
        <v>1</v>
      </c>
      <c r="H15" s="94">
        <v>1</v>
      </c>
    </row>
    <row r="17" spans="1:8" x14ac:dyDescent="0.3">
      <c r="A17" s="483" t="s">
        <v>1420</v>
      </c>
      <c r="B17" s="483"/>
      <c r="C17" s="483"/>
      <c r="D17" s="483"/>
      <c r="E17" s="483"/>
      <c r="F17" s="483"/>
      <c r="G17" s="483"/>
      <c r="H17" s="483"/>
    </row>
    <row r="18" spans="1:8" x14ac:dyDescent="0.3">
      <c r="A18" s="5" t="s">
        <v>385</v>
      </c>
      <c r="B18" s="5" t="s">
        <v>6</v>
      </c>
      <c r="C18" s="5" t="s">
        <v>465</v>
      </c>
      <c r="D18" s="5" t="s">
        <v>168</v>
      </c>
      <c r="E18" s="5" t="s">
        <v>178</v>
      </c>
      <c r="F18" s="5" t="s">
        <v>1038</v>
      </c>
      <c r="G18" s="5" t="s">
        <v>1421</v>
      </c>
      <c r="H18" s="5" t="s">
        <v>1170</v>
      </c>
    </row>
    <row r="19" spans="1:8" x14ac:dyDescent="0.3">
      <c r="A19" s="7" t="s">
        <v>418</v>
      </c>
      <c r="B19" s="7" t="s">
        <v>1046</v>
      </c>
      <c r="C19" s="7" t="s">
        <v>405</v>
      </c>
      <c r="D19" s="7">
        <v>1</v>
      </c>
      <c r="E19" s="7">
        <v>0.9</v>
      </c>
      <c r="F19" s="7" t="s">
        <v>1047</v>
      </c>
      <c r="G19" s="7" t="s">
        <v>1422</v>
      </c>
      <c r="H19" s="7" t="s">
        <v>1423</v>
      </c>
    </row>
    <row r="20" spans="1:8" x14ac:dyDescent="0.3">
      <c r="A20" s="6" t="s">
        <v>488</v>
      </c>
      <c r="B20" s="6" t="s">
        <v>1071</v>
      </c>
      <c r="C20" s="6" t="s">
        <v>405</v>
      </c>
      <c r="D20" s="6">
        <v>1</v>
      </c>
      <c r="E20" s="6">
        <v>0.9</v>
      </c>
      <c r="F20" s="6" t="s">
        <v>1047</v>
      </c>
      <c r="G20" s="6" t="s">
        <v>1424</v>
      </c>
      <c r="H20" s="6" t="s">
        <v>1423</v>
      </c>
    </row>
    <row r="21" spans="1:8" x14ac:dyDescent="0.3">
      <c r="A21" s="7" t="s">
        <v>401</v>
      </c>
      <c r="B21" s="7" t="s">
        <v>1040</v>
      </c>
      <c r="C21" s="7" t="s">
        <v>405</v>
      </c>
      <c r="D21" s="7">
        <v>1</v>
      </c>
      <c r="E21" s="7">
        <v>0.85</v>
      </c>
      <c r="F21" s="7" t="s">
        <v>1041</v>
      </c>
      <c r="G21" s="7" t="s">
        <v>1425</v>
      </c>
      <c r="H21" s="7" t="s">
        <v>1426</v>
      </c>
    </row>
    <row r="22" spans="1:8" x14ac:dyDescent="0.3">
      <c r="A22" s="6" t="s">
        <v>408</v>
      </c>
      <c r="B22" s="6" t="s">
        <v>298</v>
      </c>
      <c r="C22" s="6" t="s">
        <v>405</v>
      </c>
      <c r="D22" s="6">
        <v>1</v>
      </c>
      <c r="E22" s="6">
        <v>0.06</v>
      </c>
      <c r="F22" s="6" t="s">
        <v>1043</v>
      </c>
      <c r="G22" s="6" t="s">
        <v>1427</v>
      </c>
      <c r="H22" s="6" t="s">
        <v>1428</v>
      </c>
    </row>
    <row r="23" spans="1:8" x14ac:dyDescent="0.3">
      <c r="A23" s="7" t="s">
        <v>447</v>
      </c>
      <c r="B23" s="7" t="s">
        <v>1056</v>
      </c>
      <c r="C23" s="7" t="s">
        <v>405</v>
      </c>
      <c r="D23" s="7">
        <v>0</v>
      </c>
      <c r="E23" s="7">
        <v>0.1</v>
      </c>
      <c r="F23" s="7" t="s">
        <v>1043</v>
      </c>
      <c r="G23" s="7" t="s">
        <v>1429</v>
      </c>
      <c r="H23" s="7" t="s">
        <v>1430</v>
      </c>
    </row>
    <row r="24" spans="1:8" x14ac:dyDescent="0.3">
      <c r="A24" s="6" t="s">
        <v>500</v>
      </c>
      <c r="B24" s="6" t="s">
        <v>1078</v>
      </c>
      <c r="C24" s="6" t="s">
        <v>405</v>
      </c>
      <c r="D24" s="6">
        <v>1</v>
      </c>
      <c r="E24" s="6">
        <v>0.2</v>
      </c>
      <c r="F24" s="6" t="s">
        <v>1043</v>
      </c>
      <c r="G24" s="6" t="s">
        <v>1431</v>
      </c>
      <c r="H24" s="6" t="s">
        <v>1432</v>
      </c>
    </row>
    <row r="25" spans="1:8" x14ac:dyDescent="0.3">
      <c r="A25" s="7" t="s">
        <v>478</v>
      </c>
      <c r="B25" s="7" t="s">
        <v>1014</v>
      </c>
      <c r="C25" s="7" t="s">
        <v>434</v>
      </c>
      <c r="D25" s="7">
        <v>1</v>
      </c>
      <c r="E25" s="7">
        <v>1</v>
      </c>
      <c r="F25" s="7" t="s">
        <v>1047</v>
      </c>
      <c r="G25" s="7" t="s">
        <v>1433</v>
      </c>
      <c r="H25" s="7" t="s">
        <v>1434</v>
      </c>
    </row>
    <row r="26" spans="1:8" x14ac:dyDescent="0.3">
      <c r="A26" s="6" t="s">
        <v>436</v>
      </c>
      <c r="B26" s="6" t="s">
        <v>1356</v>
      </c>
      <c r="C26" s="6" t="s">
        <v>434</v>
      </c>
      <c r="D26" s="6">
        <v>1</v>
      </c>
      <c r="E26" s="6">
        <v>0.78</v>
      </c>
      <c r="F26" s="6" t="s">
        <v>1041</v>
      </c>
      <c r="G26" s="6" t="s">
        <v>1435</v>
      </c>
      <c r="H26" s="6" t="s">
        <v>1436</v>
      </c>
    </row>
    <row r="27" spans="1:8" x14ac:dyDescent="0.3">
      <c r="A27" s="7" t="s">
        <v>474</v>
      </c>
      <c r="B27" s="7" t="s">
        <v>1066</v>
      </c>
      <c r="C27" s="7" t="s">
        <v>434</v>
      </c>
      <c r="D27" s="7">
        <v>1</v>
      </c>
      <c r="E27" s="7">
        <v>0.7</v>
      </c>
      <c r="F27" s="7" t="s">
        <v>1041</v>
      </c>
      <c r="G27" s="7" t="s">
        <v>1437</v>
      </c>
      <c r="H27" s="7" t="s">
        <v>1438</v>
      </c>
    </row>
    <row r="28" spans="1:8" x14ac:dyDescent="0.3">
      <c r="A28" s="6" t="s">
        <v>430</v>
      </c>
      <c r="B28" s="6" t="s">
        <v>1051</v>
      </c>
      <c r="C28" s="6" t="s">
        <v>434</v>
      </c>
      <c r="D28" s="6">
        <v>0</v>
      </c>
      <c r="E28" s="6">
        <v>0.08</v>
      </c>
      <c r="F28" s="6" t="s">
        <v>1043</v>
      </c>
      <c r="G28" s="6" t="s">
        <v>1439</v>
      </c>
      <c r="H28" s="6" t="s">
        <v>1440</v>
      </c>
    </row>
    <row r="29" spans="1:8" x14ac:dyDescent="0.3">
      <c r="A29" s="7" t="s">
        <v>451</v>
      </c>
      <c r="B29" s="7" t="s">
        <v>1058</v>
      </c>
      <c r="C29" s="7" t="s">
        <v>1441</v>
      </c>
      <c r="D29" s="7">
        <v>1</v>
      </c>
      <c r="E29" s="7">
        <v>1</v>
      </c>
      <c r="F29" s="7" t="s">
        <v>1047</v>
      </c>
      <c r="G29" s="7" t="s">
        <v>1442</v>
      </c>
      <c r="H29" s="7" t="s">
        <v>1443</v>
      </c>
    </row>
    <row r="30" spans="1:8" x14ac:dyDescent="0.3">
      <c r="A30" s="6" t="s">
        <v>470</v>
      </c>
      <c r="B30" s="6" t="s">
        <v>1064</v>
      </c>
      <c r="C30" s="6" t="s">
        <v>461</v>
      </c>
      <c r="D30" s="6">
        <v>1</v>
      </c>
      <c r="E30" s="6">
        <v>1</v>
      </c>
      <c r="F30" s="6" t="s">
        <v>1047</v>
      </c>
      <c r="G30" s="6" t="s">
        <v>1444</v>
      </c>
      <c r="H30" s="6" t="s">
        <v>1445</v>
      </c>
    </row>
    <row r="31" spans="1:8" x14ac:dyDescent="0.3">
      <c r="A31" s="7" t="s">
        <v>457</v>
      </c>
      <c r="B31" s="7" t="s">
        <v>459</v>
      </c>
      <c r="C31" s="7" t="s">
        <v>461</v>
      </c>
      <c r="D31" s="7">
        <v>1</v>
      </c>
      <c r="E31" s="7">
        <v>0.7</v>
      </c>
      <c r="F31" s="7" t="s">
        <v>1041</v>
      </c>
      <c r="G31" s="7" t="s">
        <v>1446</v>
      </c>
      <c r="H31" s="7" t="s">
        <v>1447</v>
      </c>
    </row>
    <row r="32" spans="1:8" x14ac:dyDescent="0.3">
      <c r="A32" s="6" t="s">
        <v>424</v>
      </c>
      <c r="B32" s="6" t="s">
        <v>1049</v>
      </c>
      <c r="C32" s="6" t="s">
        <v>445</v>
      </c>
      <c r="D32" s="6">
        <v>1</v>
      </c>
      <c r="E32" s="6">
        <v>0.75</v>
      </c>
      <c r="F32" s="6" t="s">
        <v>1041</v>
      </c>
      <c r="G32" s="6" t="s">
        <v>1448</v>
      </c>
      <c r="H32" s="6" t="s">
        <v>1449</v>
      </c>
    </row>
    <row r="33" spans="1:8" x14ac:dyDescent="0.3">
      <c r="A33" s="7" t="s">
        <v>441</v>
      </c>
      <c r="B33" s="7" t="s">
        <v>443</v>
      </c>
      <c r="C33" s="7" t="s">
        <v>445</v>
      </c>
      <c r="D33" s="7">
        <v>0</v>
      </c>
      <c r="E33" s="7">
        <v>0</v>
      </c>
      <c r="F33" s="7" t="s">
        <v>1043</v>
      </c>
      <c r="G33" s="7" t="s">
        <v>1450</v>
      </c>
      <c r="H33" s="7" t="s">
        <v>1451</v>
      </c>
    </row>
    <row r="34" spans="1:8" x14ac:dyDescent="0.3">
      <c r="A34" s="6" t="s">
        <v>482</v>
      </c>
      <c r="B34" s="6" t="s">
        <v>1069</v>
      </c>
      <c r="C34" s="6" t="s">
        <v>486</v>
      </c>
      <c r="D34" s="6">
        <v>1</v>
      </c>
      <c r="E34" s="6">
        <v>0.8</v>
      </c>
      <c r="F34" s="6" t="s">
        <v>1041</v>
      </c>
      <c r="G34" s="6" t="s">
        <v>1452</v>
      </c>
      <c r="H34" s="6" t="s">
        <v>1453</v>
      </c>
    </row>
    <row r="35" spans="1:8" x14ac:dyDescent="0.3">
      <c r="A35" s="7" t="s">
        <v>496</v>
      </c>
      <c r="B35" s="7" t="s">
        <v>1076</v>
      </c>
      <c r="C35" s="7" t="s">
        <v>499</v>
      </c>
      <c r="D35" s="7">
        <v>1</v>
      </c>
      <c r="E35" s="7">
        <v>0.8</v>
      </c>
      <c r="F35" s="7" t="s">
        <v>1047</v>
      </c>
      <c r="G35" s="7" t="s">
        <v>1454</v>
      </c>
      <c r="H35" s="7" t="s">
        <v>1455</v>
      </c>
    </row>
    <row r="36" spans="1:8" x14ac:dyDescent="0.3">
      <c r="A36" s="6" t="s">
        <v>463</v>
      </c>
      <c r="B36" s="6" t="s">
        <v>1061</v>
      </c>
      <c r="C36" s="6" t="s">
        <v>467</v>
      </c>
      <c r="D36" s="6">
        <v>1</v>
      </c>
      <c r="E36" s="6">
        <v>0.08</v>
      </c>
      <c r="F36" s="6" t="s">
        <v>1062</v>
      </c>
      <c r="G36" s="6" t="s">
        <v>1456</v>
      </c>
      <c r="H36" s="6" t="s">
        <v>1457</v>
      </c>
    </row>
    <row r="37" spans="1:8" x14ac:dyDescent="0.3">
      <c r="A37" s="7" t="s">
        <v>491</v>
      </c>
      <c r="B37" s="7" t="s">
        <v>1073</v>
      </c>
      <c r="C37" s="7" t="s">
        <v>467</v>
      </c>
      <c r="D37" s="7">
        <v>0</v>
      </c>
      <c r="E37" s="7">
        <v>0</v>
      </c>
      <c r="F37" s="7" t="s">
        <v>1074</v>
      </c>
      <c r="G37" s="7" t="s">
        <v>1458</v>
      </c>
      <c r="H37" s="7" t="s">
        <v>1459</v>
      </c>
    </row>
    <row r="39" spans="1:8" x14ac:dyDescent="0.3">
      <c r="A39" s="483" t="s">
        <v>1460</v>
      </c>
      <c r="B39" s="483"/>
      <c r="C39" s="483"/>
      <c r="D39" s="483"/>
      <c r="E39" s="483"/>
      <c r="F39" s="483"/>
      <c r="G39" s="483"/>
      <c r="H39" s="483"/>
    </row>
    <row r="40" spans="1:8" x14ac:dyDescent="0.3">
      <c r="A40" s="5" t="s">
        <v>465</v>
      </c>
      <c r="B40" s="5" t="s">
        <v>1461</v>
      </c>
      <c r="C40" s="5" t="s">
        <v>1462</v>
      </c>
      <c r="D40" s="5" t="s">
        <v>1170</v>
      </c>
      <c r="E40" s="5" t="s">
        <v>1463</v>
      </c>
      <c r="F40" s="5" t="s">
        <v>1464</v>
      </c>
    </row>
    <row r="41" spans="1:8" x14ac:dyDescent="0.3">
      <c r="A41" s="67" t="s">
        <v>405</v>
      </c>
      <c r="B41" s="67" t="s">
        <v>1465</v>
      </c>
      <c r="C41" s="67" t="s">
        <v>1282</v>
      </c>
      <c r="D41" s="67" t="s">
        <v>1466</v>
      </c>
      <c r="E41" s="67" t="s">
        <v>1467</v>
      </c>
      <c r="F41" s="67" t="s">
        <v>1468</v>
      </c>
    </row>
    <row r="42" spans="1:8" x14ac:dyDescent="0.3">
      <c r="A42" s="80" t="s">
        <v>434</v>
      </c>
      <c r="B42" s="80" t="s">
        <v>1469</v>
      </c>
      <c r="C42" s="80" t="s">
        <v>1470</v>
      </c>
      <c r="D42" s="80" t="s">
        <v>1471</v>
      </c>
      <c r="E42" s="80" t="s">
        <v>1472</v>
      </c>
      <c r="F42" s="80" t="s">
        <v>1473</v>
      </c>
    </row>
    <row r="43" spans="1:8" x14ac:dyDescent="0.3">
      <c r="A43" s="67" t="s">
        <v>445</v>
      </c>
      <c r="B43" s="67" t="s">
        <v>1474</v>
      </c>
      <c r="C43" s="67" t="s">
        <v>1282</v>
      </c>
      <c r="D43" s="67" t="s">
        <v>1475</v>
      </c>
      <c r="E43" s="67" t="s">
        <v>1476</v>
      </c>
      <c r="F43" s="67" t="s">
        <v>1477</v>
      </c>
    </row>
    <row r="44" spans="1:8" x14ac:dyDescent="0.3">
      <c r="A44" s="80" t="s">
        <v>999</v>
      </c>
      <c r="B44" s="80" t="s">
        <v>1478</v>
      </c>
      <c r="C44" s="80" t="s">
        <v>1479</v>
      </c>
      <c r="D44" s="80" t="s">
        <v>1480</v>
      </c>
      <c r="E44" s="80" t="s">
        <v>1481</v>
      </c>
      <c r="F44" s="80" t="s">
        <v>1482</v>
      </c>
    </row>
    <row r="46" spans="1:8" x14ac:dyDescent="0.3">
      <c r="A46" s="495" t="s">
        <v>1483</v>
      </c>
      <c r="B46" s="495"/>
      <c r="C46" s="495"/>
      <c r="D46" s="495"/>
      <c r="E46" s="495"/>
      <c r="F46" s="495"/>
      <c r="G46" s="495"/>
      <c r="H46" s="495"/>
    </row>
    <row r="47" spans="1:8" x14ac:dyDescent="0.3">
      <c r="A47" t="s">
        <v>1484</v>
      </c>
    </row>
    <row r="48" spans="1:8" x14ac:dyDescent="0.3">
      <c r="A48" s="1" t="s">
        <v>465</v>
      </c>
      <c r="B48" s="1" t="s">
        <v>190</v>
      </c>
      <c r="C48" s="1" t="s">
        <v>1485</v>
      </c>
    </row>
    <row r="49" spans="1:8" x14ac:dyDescent="0.3">
      <c r="A49" s="70" t="s">
        <v>1274</v>
      </c>
      <c r="B49" s="90">
        <v>0.95799999999999996</v>
      </c>
      <c r="C49" s="70" t="s">
        <v>1486</v>
      </c>
    </row>
    <row r="50" spans="1:8" x14ac:dyDescent="0.3">
      <c r="A50" s="70" t="s">
        <v>461</v>
      </c>
      <c r="B50" s="90">
        <v>0.873</v>
      </c>
      <c r="C50" s="70" t="s">
        <v>1487</v>
      </c>
    </row>
    <row r="52" spans="1:8" x14ac:dyDescent="0.3">
      <c r="A52" s="483" t="s">
        <v>1488</v>
      </c>
      <c r="B52" s="483"/>
      <c r="C52" s="483"/>
      <c r="D52" s="483"/>
      <c r="E52" s="483"/>
      <c r="F52" s="483"/>
      <c r="G52" s="483"/>
      <c r="H52" s="483"/>
    </row>
    <row r="53" spans="1:8" x14ac:dyDescent="0.3">
      <c r="A53" s="74" t="s">
        <v>1489</v>
      </c>
    </row>
    <row r="54" spans="1:8" x14ac:dyDescent="0.3">
      <c r="A54" s="74" t="s">
        <v>1490</v>
      </c>
    </row>
    <row r="55" spans="1:8" x14ac:dyDescent="0.3">
      <c r="A55" s="74" t="s">
        <v>1491</v>
      </c>
    </row>
  </sheetData>
  <mergeCells count="8">
    <mergeCell ref="A46:H46"/>
    <mergeCell ref="A52:H52"/>
    <mergeCell ref="A2:H2"/>
    <mergeCell ref="A1:H1"/>
    <mergeCell ref="A3:H3"/>
    <mergeCell ref="A6:H6"/>
    <mergeCell ref="A17:H17"/>
    <mergeCell ref="A39:H39"/>
  </mergeCells>
  <hyperlinks>
    <hyperlink ref="A1" location="'H01_PARAMETROS_GENERALES'!A1" tooltip="Volver a H01_PARAMETROS_GENERALES" display="🔙 Volver al Índice" xr:uid="{EAACAB0C-7555-4BA0-B2E0-080EB9255B8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37BB-A916-45F9-821C-574419D19A0D}">
  <dimension ref="A1:H273"/>
  <sheetViews>
    <sheetView workbookViewId="0">
      <pane ySplit="6" topLeftCell="A7" activePane="bottomLeft" state="frozen"/>
      <selection pane="bottomLeft" activeCell="B250" sqref="B250"/>
    </sheetView>
  </sheetViews>
  <sheetFormatPr baseColWidth="10" defaultRowHeight="14.4" x14ac:dyDescent="0.3"/>
  <cols>
    <col min="1" max="1" width="14.77734375" customWidth="1"/>
    <col min="2" max="2" width="20.5546875" bestFit="1" customWidth="1"/>
    <col min="3" max="3" width="16.6640625" customWidth="1"/>
    <col min="4" max="5" width="24.109375" customWidth="1"/>
    <col min="6" max="6" width="14.77734375" customWidth="1"/>
    <col min="7" max="7" width="13" customWidth="1"/>
    <col min="8" max="8" width="37" customWidth="1"/>
  </cols>
  <sheetData>
    <row r="1" spans="1:8" x14ac:dyDescent="0.3">
      <c r="A1" s="466" t="s">
        <v>2717</v>
      </c>
      <c r="B1" s="466"/>
      <c r="C1" s="466"/>
      <c r="D1" s="466"/>
      <c r="E1" s="466"/>
      <c r="F1" s="466"/>
      <c r="G1" s="466"/>
      <c r="H1" s="466"/>
    </row>
    <row r="2" spans="1:8" x14ac:dyDescent="0.3">
      <c r="A2" s="483" t="s">
        <v>1492</v>
      </c>
      <c r="B2" s="483"/>
      <c r="C2" s="483"/>
      <c r="D2" s="483"/>
      <c r="E2" s="483"/>
      <c r="F2" s="483"/>
      <c r="G2" s="483"/>
      <c r="H2" s="483"/>
    </row>
    <row r="3" spans="1:8" x14ac:dyDescent="0.3">
      <c r="A3" s="484" t="s">
        <v>1493</v>
      </c>
      <c r="B3" s="484"/>
      <c r="C3" s="484"/>
      <c r="D3" s="484"/>
      <c r="E3" s="484"/>
      <c r="F3" s="484"/>
      <c r="G3" s="484"/>
      <c r="H3" s="484"/>
    </row>
    <row r="4" spans="1:8" x14ac:dyDescent="0.3">
      <c r="A4" t="s">
        <v>144</v>
      </c>
    </row>
    <row r="6" spans="1:8" x14ac:dyDescent="0.3">
      <c r="A6" s="5" t="s">
        <v>385</v>
      </c>
      <c r="B6" s="5" t="s">
        <v>1494</v>
      </c>
      <c r="C6" s="5" t="s">
        <v>1495</v>
      </c>
      <c r="D6" s="5" t="s">
        <v>1496</v>
      </c>
      <c r="E6" s="5" t="s">
        <v>1497</v>
      </c>
      <c r="F6" s="5" t="s">
        <v>1498</v>
      </c>
      <c r="G6" s="5" t="s">
        <v>1370</v>
      </c>
      <c r="H6" s="5" t="s">
        <v>1499</v>
      </c>
    </row>
    <row r="7" spans="1:8" x14ac:dyDescent="0.3">
      <c r="A7" s="84" t="s">
        <v>401</v>
      </c>
      <c r="B7" s="84">
        <v>1</v>
      </c>
      <c r="C7" s="84" t="s">
        <v>1500</v>
      </c>
      <c r="D7" s="84">
        <v>7.5999999999999998E-2</v>
      </c>
      <c r="E7" s="84">
        <v>6.4000000000000001E-2</v>
      </c>
      <c r="F7" s="84">
        <v>-1.0999999999999999E-2</v>
      </c>
      <c r="G7" s="84" t="s">
        <v>1371</v>
      </c>
      <c r="H7" s="84"/>
    </row>
    <row r="8" spans="1:8" x14ac:dyDescent="0.3">
      <c r="A8" s="84" t="s">
        <v>401</v>
      </c>
      <c r="B8" s="84">
        <v>2</v>
      </c>
      <c r="C8" s="84" t="s">
        <v>1501</v>
      </c>
      <c r="D8" s="84">
        <v>0.11899999999999999</v>
      </c>
      <c r="E8" s="84">
        <v>0.10100000000000001</v>
      </c>
      <c r="F8" s="84">
        <v>-1.7999999999999999E-2</v>
      </c>
      <c r="G8" s="84" t="s">
        <v>1371</v>
      </c>
      <c r="H8" s="84"/>
    </row>
    <row r="9" spans="1:8" x14ac:dyDescent="0.3">
      <c r="A9" s="84" t="s">
        <v>401</v>
      </c>
      <c r="B9" s="84">
        <v>3</v>
      </c>
      <c r="C9" s="84" t="s">
        <v>1502</v>
      </c>
      <c r="D9" s="84">
        <v>0.182</v>
      </c>
      <c r="E9" s="84">
        <v>0.155</v>
      </c>
      <c r="F9" s="84">
        <v>-2.7E-2</v>
      </c>
      <c r="G9" s="84" t="s">
        <v>1371</v>
      </c>
      <c r="H9" s="84"/>
    </row>
    <row r="10" spans="1:8" x14ac:dyDescent="0.3">
      <c r="A10" s="84" t="s">
        <v>401</v>
      </c>
      <c r="B10" s="84">
        <v>4</v>
      </c>
      <c r="C10" s="84" t="s">
        <v>1503</v>
      </c>
      <c r="D10" s="84">
        <v>0.26900000000000002</v>
      </c>
      <c r="E10" s="84">
        <v>0.22900000000000001</v>
      </c>
      <c r="F10" s="84">
        <v>-0.04</v>
      </c>
      <c r="G10" s="84" t="s">
        <v>1371</v>
      </c>
      <c r="H10" s="84"/>
    </row>
    <row r="11" spans="1:8" x14ac:dyDescent="0.3">
      <c r="A11" s="84" t="s">
        <v>401</v>
      </c>
      <c r="B11" s="84">
        <v>5</v>
      </c>
      <c r="C11" s="84" t="s">
        <v>1504</v>
      </c>
      <c r="D11" s="84">
        <v>0.378</v>
      </c>
      <c r="E11" s="84">
        <v>0.32100000000000001</v>
      </c>
      <c r="F11" s="84">
        <v>-5.7000000000000002E-2</v>
      </c>
      <c r="G11" s="84" t="s">
        <v>1371</v>
      </c>
      <c r="H11" s="84"/>
    </row>
    <row r="12" spans="1:8" x14ac:dyDescent="0.3">
      <c r="A12" s="84" t="s">
        <v>401</v>
      </c>
      <c r="B12" s="84">
        <v>6</v>
      </c>
      <c r="C12" s="84" t="s">
        <v>1505</v>
      </c>
      <c r="D12" s="84">
        <v>0.5</v>
      </c>
      <c r="E12" s="84">
        <v>0.42499999999999999</v>
      </c>
      <c r="F12" s="84">
        <v>-7.4999999999999997E-2</v>
      </c>
      <c r="G12" s="84" t="s">
        <v>1371</v>
      </c>
      <c r="H12" s="84"/>
    </row>
    <row r="13" spans="1:8" x14ac:dyDescent="0.3">
      <c r="A13" s="84" t="s">
        <v>401</v>
      </c>
      <c r="B13" s="84">
        <v>7</v>
      </c>
      <c r="C13" s="84" t="s">
        <v>1506</v>
      </c>
      <c r="D13" s="84">
        <v>0.622</v>
      </c>
      <c r="E13" s="84">
        <v>0.52900000000000003</v>
      </c>
      <c r="F13" s="84">
        <v>-9.2999999999999999E-2</v>
      </c>
      <c r="G13" s="84" t="s">
        <v>1371</v>
      </c>
      <c r="H13" s="84"/>
    </row>
    <row r="14" spans="1:8" x14ac:dyDescent="0.3">
      <c r="A14" s="84" t="s">
        <v>401</v>
      </c>
      <c r="B14" s="84">
        <v>8</v>
      </c>
      <c r="C14" s="84" t="s">
        <v>1507</v>
      </c>
      <c r="D14" s="84">
        <v>0.73099999999999998</v>
      </c>
      <c r="E14" s="84">
        <v>0.621</v>
      </c>
      <c r="F14" s="84">
        <v>-0.11</v>
      </c>
      <c r="G14" s="84" t="s">
        <v>1371</v>
      </c>
      <c r="H14" s="84"/>
    </row>
    <row r="15" spans="1:8" x14ac:dyDescent="0.3">
      <c r="A15" s="84" t="s">
        <v>401</v>
      </c>
      <c r="B15" s="84">
        <v>9</v>
      </c>
      <c r="C15" s="84" t="s">
        <v>1508</v>
      </c>
      <c r="D15" s="84">
        <v>0.81799999999999995</v>
      </c>
      <c r="E15" s="84">
        <v>0.69499999999999995</v>
      </c>
      <c r="F15" s="84">
        <v>-0.123</v>
      </c>
      <c r="G15" s="84" t="s">
        <v>1371</v>
      </c>
      <c r="H15" s="84"/>
    </row>
    <row r="16" spans="1:8" x14ac:dyDescent="0.3">
      <c r="A16" s="84" t="s">
        <v>401</v>
      </c>
      <c r="B16" s="84">
        <v>10</v>
      </c>
      <c r="C16" s="84" t="s">
        <v>1509</v>
      </c>
      <c r="D16" s="84">
        <v>0.88100000000000001</v>
      </c>
      <c r="E16" s="84">
        <v>0.749</v>
      </c>
      <c r="F16" s="84">
        <v>-0.13200000000000001</v>
      </c>
      <c r="G16" s="84" t="s">
        <v>1371</v>
      </c>
      <c r="H16" s="84"/>
    </row>
    <row r="17" spans="1:8" x14ac:dyDescent="0.3">
      <c r="A17" s="84" t="s">
        <v>401</v>
      </c>
      <c r="B17" s="84">
        <v>11</v>
      </c>
      <c r="C17" s="84" t="s">
        <v>1510</v>
      </c>
      <c r="D17" s="84">
        <v>0.92400000000000004</v>
      </c>
      <c r="E17" s="84">
        <v>0.78600000000000003</v>
      </c>
      <c r="F17" s="84">
        <v>-0.13900000000000001</v>
      </c>
      <c r="G17" s="84" t="s">
        <v>1371</v>
      </c>
      <c r="H17" s="84"/>
    </row>
    <row r="18" spans="1:8" x14ac:dyDescent="0.3">
      <c r="A18" s="84" t="s">
        <v>401</v>
      </c>
      <c r="B18" s="84">
        <v>12</v>
      </c>
      <c r="C18" s="84" t="s">
        <v>1511</v>
      </c>
      <c r="D18" s="84">
        <v>0.95299999999999996</v>
      </c>
      <c r="E18" s="84">
        <v>0.81</v>
      </c>
      <c r="F18" s="84">
        <v>-0.14299999999999999</v>
      </c>
      <c r="G18" s="84" t="s">
        <v>1371</v>
      </c>
      <c r="H18" s="84"/>
    </row>
    <row r="19" spans="1:8" x14ac:dyDescent="0.3">
      <c r="A19" s="80" t="s">
        <v>408</v>
      </c>
      <c r="B19" s="80">
        <v>1</v>
      </c>
      <c r="C19" s="80" t="s">
        <v>1500</v>
      </c>
      <c r="D19" s="80">
        <v>7.5999999999999998E-2</v>
      </c>
      <c r="E19" s="80">
        <v>5.0000000000000001E-3</v>
      </c>
      <c r="F19" s="80">
        <v>-7.0999999999999994E-2</v>
      </c>
      <c r="G19" s="80" t="s">
        <v>1375</v>
      </c>
      <c r="H19" s="80" t="s">
        <v>1512</v>
      </c>
    </row>
    <row r="20" spans="1:8" x14ac:dyDescent="0.3">
      <c r="A20" s="80" t="s">
        <v>408</v>
      </c>
      <c r="B20" s="80">
        <v>2</v>
      </c>
      <c r="C20" s="80" t="s">
        <v>1501</v>
      </c>
      <c r="D20" s="80">
        <v>0.11899999999999999</v>
      </c>
      <c r="E20" s="80">
        <v>7.0000000000000001E-3</v>
      </c>
      <c r="F20" s="80">
        <v>-0.112</v>
      </c>
      <c r="G20" s="80" t="s">
        <v>1375</v>
      </c>
      <c r="H20" s="80" t="s">
        <v>1512</v>
      </c>
    </row>
    <row r="21" spans="1:8" x14ac:dyDescent="0.3">
      <c r="A21" s="80" t="s">
        <v>408</v>
      </c>
      <c r="B21" s="80">
        <v>3</v>
      </c>
      <c r="C21" s="80" t="s">
        <v>1502</v>
      </c>
      <c r="D21" s="80">
        <v>0.182</v>
      </c>
      <c r="E21" s="80">
        <v>1.0999999999999999E-2</v>
      </c>
      <c r="F21" s="80">
        <v>-0.17100000000000001</v>
      </c>
      <c r="G21" s="80" t="s">
        <v>1375</v>
      </c>
      <c r="H21" s="80" t="s">
        <v>1512</v>
      </c>
    </row>
    <row r="22" spans="1:8" x14ac:dyDescent="0.3">
      <c r="A22" s="80" t="s">
        <v>408</v>
      </c>
      <c r="B22" s="80">
        <v>4</v>
      </c>
      <c r="C22" s="80" t="s">
        <v>1503</v>
      </c>
      <c r="D22" s="80">
        <v>0.26900000000000002</v>
      </c>
      <c r="E22" s="80">
        <v>1.6E-2</v>
      </c>
      <c r="F22" s="80">
        <v>-0.253</v>
      </c>
      <c r="G22" s="80" t="s">
        <v>1375</v>
      </c>
      <c r="H22" s="80" t="s">
        <v>1512</v>
      </c>
    </row>
    <row r="23" spans="1:8" x14ac:dyDescent="0.3">
      <c r="A23" s="80" t="s">
        <v>408</v>
      </c>
      <c r="B23" s="80">
        <v>5</v>
      </c>
      <c r="C23" s="80" t="s">
        <v>1504</v>
      </c>
      <c r="D23" s="80">
        <v>0.378</v>
      </c>
      <c r="E23" s="80">
        <v>2.3E-2</v>
      </c>
      <c r="F23" s="80">
        <v>-0.35499999999999998</v>
      </c>
      <c r="G23" s="80" t="s">
        <v>1375</v>
      </c>
      <c r="H23" s="80" t="s">
        <v>1512</v>
      </c>
    </row>
    <row r="24" spans="1:8" x14ac:dyDescent="0.3">
      <c r="A24" s="80" t="s">
        <v>408</v>
      </c>
      <c r="B24" s="80">
        <v>6</v>
      </c>
      <c r="C24" s="80" t="s">
        <v>1505</v>
      </c>
      <c r="D24" s="80">
        <v>0.5</v>
      </c>
      <c r="E24" s="80">
        <v>0.03</v>
      </c>
      <c r="F24" s="80">
        <v>-0.47</v>
      </c>
      <c r="G24" s="80" t="s">
        <v>1375</v>
      </c>
      <c r="H24" s="80" t="s">
        <v>1512</v>
      </c>
    </row>
    <row r="25" spans="1:8" x14ac:dyDescent="0.3">
      <c r="A25" s="80" t="s">
        <v>408</v>
      </c>
      <c r="B25" s="80">
        <v>7</v>
      </c>
      <c r="C25" s="80" t="s">
        <v>1506</v>
      </c>
      <c r="D25" s="80">
        <v>0.622</v>
      </c>
      <c r="E25" s="80">
        <v>3.6999999999999998E-2</v>
      </c>
      <c r="F25" s="80">
        <v>-0.58499999999999996</v>
      </c>
      <c r="G25" s="80" t="s">
        <v>1375</v>
      </c>
      <c r="H25" s="80" t="s">
        <v>1512</v>
      </c>
    </row>
    <row r="26" spans="1:8" x14ac:dyDescent="0.3">
      <c r="A26" s="80" t="s">
        <v>408</v>
      </c>
      <c r="B26" s="80">
        <v>8</v>
      </c>
      <c r="C26" s="80" t="s">
        <v>1507</v>
      </c>
      <c r="D26" s="80">
        <v>0.73099999999999998</v>
      </c>
      <c r="E26" s="80">
        <v>4.3999999999999997E-2</v>
      </c>
      <c r="F26" s="80">
        <v>-0.68700000000000006</v>
      </c>
      <c r="G26" s="80" t="s">
        <v>1375</v>
      </c>
      <c r="H26" s="80" t="s">
        <v>1512</v>
      </c>
    </row>
    <row r="27" spans="1:8" x14ac:dyDescent="0.3">
      <c r="A27" s="80" t="s">
        <v>408</v>
      </c>
      <c r="B27" s="80">
        <v>9</v>
      </c>
      <c r="C27" s="80" t="s">
        <v>1508</v>
      </c>
      <c r="D27" s="80">
        <v>0.81799999999999995</v>
      </c>
      <c r="E27" s="80">
        <v>4.9000000000000002E-2</v>
      </c>
      <c r="F27" s="80">
        <v>-0.76900000000000002</v>
      </c>
      <c r="G27" s="80" t="s">
        <v>1375</v>
      </c>
      <c r="H27" s="80" t="s">
        <v>1512</v>
      </c>
    </row>
    <row r="28" spans="1:8" x14ac:dyDescent="0.3">
      <c r="A28" s="80" t="s">
        <v>408</v>
      </c>
      <c r="B28" s="80">
        <v>10</v>
      </c>
      <c r="C28" s="80" t="s">
        <v>1509</v>
      </c>
      <c r="D28" s="80">
        <v>0.88100000000000001</v>
      </c>
      <c r="E28" s="80">
        <v>5.2999999999999999E-2</v>
      </c>
      <c r="F28" s="80">
        <v>-0.82799999999999996</v>
      </c>
      <c r="G28" s="80" t="s">
        <v>1375</v>
      </c>
      <c r="H28" s="80" t="s">
        <v>1512</v>
      </c>
    </row>
    <row r="29" spans="1:8" x14ac:dyDescent="0.3">
      <c r="A29" s="80" t="s">
        <v>408</v>
      </c>
      <c r="B29" s="80">
        <v>11</v>
      </c>
      <c r="C29" s="80" t="s">
        <v>1510</v>
      </c>
      <c r="D29" s="80">
        <v>0.92400000000000004</v>
      </c>
      <c r="E29" s="80">
        <v>5.5E-2</v>
      </c>
      <c r="F29" s="80">
        <v>-0.86899999999999999</v>
      </c>
      <c r="G29" s="80" t="s">
        <v>1375</v>
      </c>
      <c r="H29" s="80" t="s">
        <v>1512</v>
      </c>
    </row>
    <row r="30" spans="1:8" x14ac:dyDescent="0.3">
      <c r="A30" s="80" t="s">
        <v>408</v>
      </c>
      <c r="B30" s="80">
        <v>12</v>
      </c>
      <c r="C30" s="80" t="s">
        <v>1511</v>
      </c>
      <c r="D30" s="80">
        <v>0.95299999999999996</v>
      </c>
      <c r="E30" s="80">
        <v>5.7000000000000002E-2</v>
      </c>
      <c r="F30" s="80">
        <v>-0.89500000000000002</v>
      </c>
      <c r="G30" s="80" t="s">
        <v>1375</v>
      </c>
      <c r="H30" s="80" t="s">
        <v>1512</v>
      </c>
    </row>
    <row r="31" spans="1:8" x14ac:dyDescent="0.3">
      <c r="A31" s="80" t="s">
        <v>413</v>
      </c>
      <c r="B31" s="80">
        <v>1</v>
      </c>
      <c r="C31" s="80" t="s">
        <v>1500</v>
      </c>
      <c r="D31" s="80">
        <v>7.5999999999999998E-2</v>
      </c>
      <c r="E31" s="80">
        <v>0</v>
      </c>
      <c r="F31" s="80">
        <v>-7.5999999999999998E-2</v>
      </c>
      <c r="G31" s="80" t="s">
        <v>1375</v>
      </c>
      <c r="H31" s="80" t="s">
        <v>1512</v>
      </c>
    </row>
    <row r="32" spans="1:8" x14ac:dyDescent="0.3">
      <c r="A32" s="80" t="s">
        <v>413</v>
      </c>
      <c r="B32" s="80">
        <v>2</v>
      </c>
      <c r="C32" s="80" t="s">
        <v>1501</v>
      </c>
      <c r="D32" s="80">
        <v>0.11899999999999999</v>
      </c>
      <c r="E32" s="80">
        <v>0</v>
      </c>
      <c r="F32" s="80">
        <v>-0.11899999999999999</v>
      </c>
      <c r="G32" s="80" t="s">
        <v>1375</v>
      </c>
      <c r="H32" s="80" t="s">
        <v>1512</v>
      </c>
    </row>
    <row r="33" spans="1:8" x14ac:dyDescent="0.3">
      <c r="A33" s="80" t="s">
        <v>413</v>
      </c>
      <c r="B33" s="80">
        <v>3</v>
      </c>
      <c r="C33" s="80" t="s">
        <v>1502</v>
      </c>
      <c r="D33" s="80">
        <v>0.182</v>
      </c>
      <c r="E33" s="80">
        <v>0</v>
      </c>
      <c r="F33" s="80">
        <v>-0.182</v>
      </c>
      <c r="G33" s="80" t="s">
        <v>1375</v>
      </c>
      <c r="H33" s="80" t="s">
        <v>1512</v>
      </c>
    </row>
    <row r="34" spans="1:8" x14ac:dyDescent="0.3">
      <c r="A34" s="80" t="s">
        <v>413</v>
      </c>
      <c r="B34" s="80">
        <v>4</v>
      </c>
      <c r="C34" s="80" t="s">
        <v>1503</v>
      </c>
      <c r="D34" s="80">
        <v>0.26900000000000002</v>
      </c>
      <c r="E34" s="80">
        <v>0</v>
      </c>
      <c r="F34" s="80">
        <v>-0.26900000000000002</v>
      </c>
      <c r="G34" s="80" t="s">
        <v>1375</v>
      </c>
      <c r="H34" s="80" t="s">
        <v>1512</v>
      </c>
    </row>
    <row r="35" spans="1:8" x14ac:dyDescent="0.3">
      <c r="A35" s="80" t="s">
        <v>413</v>
      </c>
      <c r="B35" s="80">
        <v>5</v>
      </c>
      <c r="C35" s="80" t="s">
        <v>1504</v>
      </c>
      <c r="D35" s="80">
        <v>0.378</v>
      </c>
      <c r="E35" s="80">
        <v>0</v>
      </c>
      <c r="F35" s="80">
        <v>-0.378</v>
      </c>
      <c r="G35" s="80" t="s">
        <v>1375</v>
      </c>
      <c r="H35" s="80" t="s">
        <v>1512</v>
      </c>
    </row>
    <row r="36" spans="1:8" x14ac:dyDescent="0.3">
      <c r="A36" s="80" t="s">
        <v>413</v>
      </c>
      <c r="B36" s="80">
        <v>6</v>
      </c>
      <c r="C36" s="80" t="s">
        <v>1505</v>
      </c>
      <c r="D36" s="80">
        <v>0.5</v>
      </c>
      <c r="E36" s="80">
        <v>0</v>
      </c>
      <c r="F36" s="80">
        <v>-0.5</v>
      </c>
      <c r="G36" s="80" t="s">
        <v>1375</v>
      </c>
      <c r="H36" s="80" t="s">
        <v>1512</v>
      </c>
    </row>
    <row r="37" spans="1:8" x14ac:dyDescent="0.3">
      <c r="A37" s="80" t="s">
        <v>413</v>
      </c>
      <c r="B37" s="80">
        <v>7</v>
      </c>
      <c r="C37" s="80" t="s">
        <v>1506</v>
      </c>
      <c r="D37" s="80">
        <v>0.622</v>
      </c>
      <c r="E37" s="80">
        <v>0</v>
      </c>
      <c r="F37" s="80">
        <v>-0.622</v>
      </c>
      <c r="G37" s="80" t="s">
        <v>1375</v>
      </c>
      <c r="H37" s="80" t="s">
        <v>1512</v>
      </c>
    </row>
    <row r="38" spans="1:8" x14ac:dyDescent="0.3">
      <c r="A38" s="80" t="s">
        <v>413</v>
      </c>
      <c r="B38" s="80">
        <v>8</v>
      </c>
      <c r="C38" s="80" t="s">
        <v>1507</v>
      </c>
      <c r="D38" s="80">
        <v>0.73099999999999998</v>
      </c>
      <c r="E38" s="80">
        <v>0</v>
      </c>
      <c r="F38" s="80">
        <v>-0.73099999999999998</v>
      </c>
      <c r="G38" s="80" t="s">
        <v>1375</v>
      </c>
      <c r="H38" s="80" t="s">
        <v>1512</v>
      </c>
    </row>
    <row r="39" spans="1:8" x14ac:dyDescent="0.3">
      <c r="A39" s="80" t="s">
        <v>413</v>
      </c>
      <c r="B39" s="80">
        <v>9</v>
      </c>
      <c r="C39" s="80" t="s">
        <v>1508</v>
      </c>
      <c r="D39" s="80">
        <v>0.81799999999999995</v>
      </c>
      <c r="E39" s="80">
        <v>0</v>
      </c>
      <c r="F39" s="80">
        <v>-0.81799999999999995</v>
      </c>
      <c r="G39" s="80" t="s">
        <v>1375</v>
      </c>
      <c r="H39" s="80" t="s">
        <v>1512</v>
      </c>
    </row>
    <row r="40" spans="1:8" x14ac:dyDescent="0.3">
      <c r="A40" s="80" t="s">
        <v>413</v>
      </c>
      <c r="B40" s="80">
        <v>10</v>
      </c>
      <c r="C40" s="80" t="s">
        <v>1509</v>
      </c>
      <c r="D40" s="80">
        <v>0.88100000000000001</v>
      </c>
      <c r="E40" s="80">
        <v>0</v>
      </c>
      <c r="F40" s="80">
        <v>-0.88100000000000001</v>
      </c>
      <c r="G40" s="80" t="s">
        <v>1375</v>
      </c>
      <c r="H40" s="80" t="s">
        <v>1512</v>
      </c>
    </row>
    <row r="41" spans="1:8" x14ac:dyDescent="0.3">
      <c r="A41" s="80" t="s">
        <v>413</v>
      </c>
      <c r="B41" s="80">
        <v>11</v>
      </c>
      <c r="C41" s="80" t="s">
        <v>1510</v>
      </c>
      <c r="D41" s="80">
        <v>0.92400000000000004</v>
      </c>
      <c r="E41" s="80">
        <v>0</v>
      </c>
      <c r="F41" s="80">
        <v>-0.92400000000000004</v>
      </c>
      <c r="G41" s="80" t="s">
        <v>1375</v>
      </c>
      <c r="H41" s="80" t="s">
        <v>1512</v>
      </c>
    </row>
    <row r="42" spans="1:8" x14ac:dyDescent="0.3">
      <c r="A42" s="80" t="s">
        <v>413</v>
      </c>
      <c r="B42" s="80">
        <v>12</v>
      </c>
      <c r="C42" s="80" t="s">
        <v>1511</v>
      </c>
      <c r="D42" s="80">
        <v>0.95299999999999996</v>
      </c>
      <c r="E42" s="80">
        <v>0</v>
      </c>
      <c r="F42" s="80">
        <v>-0.95299999999999996</v>
      </c>
      <c r="G42" s="80" t="s">
        <v>1375</v>
      </c>
      <c r="H42" s="80" t="s">
        <v>1512</v>
      </c>
    </row>
    <row r="43" spans="1:8" x14ac:dyDescent="0.3">
      <c r="A43" t="s">
        <v>418</v>
      </c>
      <c r="B43">
        <v>1</v>
      </c>
      <c r="C43" t="s">
        <v>1500</v>
      </c>
      <c r="D43">
        <v>7.5999999999999998E-2</v>
      </c>
      <c r="E43">
        <v>6.8000000000000005E-2</v>
      </c>
      <c r="F43">
        <v>-8.0000000000000002E-3</v>
      </c>
      <c r="G43" t="s">
        <v>1378</v>
      </c>
    </row>
    <row r="44" spans="1:8" x14ac:dyDescent="0.3">
      <c r="A44" t="s">
        <v>418</v>
      </c>
      <c r="B44">
        <v>2</v>
      </c>
      <c r="C44" t="s">
        <v>1501</v>
      </c>
      <c r="D44">
        <v>0.11899999999999999</v>
      </c>
      <c r="E44">
        <v>0.107</v>
      </c>
      <c r="F44">
        <v>-1.2E-2</v>
      </c>
      <c r="G44" t="s">
        <v>1378</v>
      </c>
    </row>
    <row r="45" spans="1:8" x14ac:dyDescent="0.3">
      <c r="A45" t="s">
        <v>418</v>
      </c>
      <c r="B45">
        <v>3</v>
      </c>
      <c r="C45" t="s">
        <v>1502</v>
      </c>
      <c r="D45">
        <v>0.182</v>
      </c>
      <c r="E45">
        <v>0.16400000000000001</v>
      </c>
      <c r="F45">
        <v>-1.7999999999999999E-2</v>
      </c>
      <c r="G45" t="s">
        <v>1378</v>
      </c>
    </row>
    <row r="46" spans="1:8" x14ac:dyDescent="0.3">
      <c r="A46" t="s">
        <v>418</v>
      </c>
      <c r="B46">
        <v>4</v>
      </c>
      <c r="C46" t="s">
        <v>1503</v>
      </c>
      <c r="D46">
        <v>0.26900000000000002</v>
      </c>
      <c r="E46">
        <v>0.24199999999999999</v>
      </c>
      <c r="F46">
        <v>-2.7E-2</v>
      </c>
      <c r="G46" t="s">
        <v>1378</v>
      </c>
    </row>
    <row r="47" spans="1:8" x14ac:dyDescent="0.3">
      <c r="A47" t="s">
        <v>418</v>
      </c>
      <c r="B47">
        <v>5</v>
      </c>
      <c r="C47" t="s">
        <v>1504</v>
      </c>
      <c r="D47">
        <v>0.378</v>
      </c>
      <c r="E47">
        <v>0.34</v>
      </c>
      <c r="F47">
        <v>-3.7999999999999999E-2</v>
      </c>
      <c r="G47" t="s">
        <v>1378</v>
      </c>
    </row>
    <row r="48" spans="1:8" x14ac:dyDescent="0.3">
      <c r="A48" t="s">
        <v>418</v>
      </c>
      <c r="B48">
        <v>6</v>
      </c>
      <c r="C48" t="s">
        <v>1505</v>
      </c>
      <c r="D48">
        <v>0.5</v>
      </c>
      <c r="E48">
        <v>0.45</v>
      </c>
      <c r="F48">
        <v>-0.05</v>
      </c>
      <c r="G48" t="s">
        <v>1378</v>
      </c>
    </row>
    <row r="49" spans="1:8" x14ac:dyDescent="0.3">
      <c r="A49" t="s">
        <v>418</v>
      </c>
      <c r="B49">
        <v>7</v>
      </c>
      <c r="C49" t="s">
        <v>1506</v>
      </c>
      <c r="D49">
        <v>0.622</v>
      </c>
      <c r="E49">
        <v>0.56000000000000005</v>
      </c>
      <c r="F49">
        <v>-6.2E-2</v>
      </c>
      <c r="G49" t="s">
        <v>1378</v>
      </c>
    </row>
    <row r="50" spans="1:8" x14ac:dyDescent="0.3">
      <c r="A50" t="s">
        <v>418</v>
      </c>
      <c r="B50">
        <v>8</v>
      </c>
      <c r="C50" t="s">
        <v>1507</v>
      </c>
      <c r="D50">
        <v>0.73099999999999998</v>
      </c>
      <c r="E50">
        <v>0.65800000000000003</v>
      </c>
      <c r="F50">
        <v>-7.2999999999999995E-2</v>
      </c>
      <c r="G50" t="s">
        <v>1378</v>
      </c>
    </row>
    <row r="51" spans="1:8" x14ac:dyDescent="0.3">
      <c r="A51" t="s">
        <v>418</v>
      </c>
      <c r="B51">
        <v>9</v>
      </c>
      <c r="C51" t="s">
        <v>1508</v>
      </c>
      <c r="D51">
        <v>0.81799999999999995</v>
      </c>
      <c r="E51">
        <v>0.73599999999999999</v>
      </c>
      <c r="F51">
        <v>-8.2000000000000003E-2</v>
      </c>
      <c r="G51" t="s">
        <v>1378</v>
      </c>
    </row>
    <row r="52" spans="1:8" x14ac:dyDescent="0.3">
      <c r="A52" t="s">
        <v>418</v>
      </c>
      <c r="B52">
        <v>10</v>
      </c>
      <c r="C52" t="s">
        <v>1509</v>
      </c>
      <c r="D52">
        <v>0.88100000000000001</v>
      </c>
      <c r="E52">
        <v>0.79300000000000004</v>
      </c>
      <c r="F52">
        <v>-8.7999999999999995E-2</v>
      </c>
      <c r="G52" t="s">
        <v>1378</v>
      </c>
    </row>
    <row r="53" spans="1:8" x14ac:dyDescent="0.3">
      <c r="A53" t="s">
        <v>418</v>
      </c>
      <c r="B53">
        <v>11</v>
      </c>
      <c r="C53" t="s">
        <v>1510</v>
      </c>
      <c r="D53">
        <v>0.92400000000000004</v>
      </c>
      <c r="E53">
        <v>0.83199999999999996</v>
      </c>
      <c r="F53">
        <v>-9.1999999999999998E-2</v>
      </c>
      <c r="G53" t="s">
        <v>1378</v>
      </c>
    </row>
    <row r="54" spans="1:8" x14ac:dyDescent="0.3">
      <c r="A54" t="s">
        <v>418</v>
      </c>
      <c r="B54">
        <v>12</v>
      </c>
      <c r="C54" t="s">
        <v>1511</v>
      </c>
      <c r="D54">
        <v>0.95299999999999996</v>
      </c>
      <c r="E54">
        <v>0.85699999999999998</v>
      </c>
      <c r="F54">
        <v>-9.5000000000000001E-2</v>
      </c>
      <c r="G54" t="s">
        <v>1378</v>
      </c>
    </row>
    <row r="55" spans="1:8" x14ac:dyDescent="0.3">
      <c r="A55" s="84" t="s">
        <v>424</v>
      </c>
      <c r="B55" s="84">
        <v>1</v>
      </c>
      <c r="C55" s="84" t="s">
        <v>1500</v>
      </c>
      <c r="D55" s="84">
        <v>7.5999999999999998E-2</v>
      </c>
      <c r="E55" s="84">
        <v>5.7000000000000002E-2</v>
      </c>
      <c r="F55" s="84">
        <v>-1.9E-2</v>
      </c>
      <c r="G55" s="84" t="s">
        <v>1371</v>
      </c>
      <c r="H55" s="84"/>
    </row>
    <row r="56" spans="1:8" x14ac:dyDescent="0.3">
      <c r="A56" s="84" t="s">
        <v>424</v>
      </c>
      <c r="B56" s="84">
        <v>2</v>
      </c>
      <c r="C56" s="84" t="s">
        <v>1501</v>
      </c>
      <c r="D56" s="84">
        <v>0.11899999999999999</v>
      </c>
      <c r="E56" s="84">
        <v>8.8999999999999996E-2</v>
      </c>
      <c r="F56" s="84">
        <v>-0.03</v>
      </c>
      <c r="G56" s="84" t="s">
        <v>1371</v>
      </c>
      <c r="H56" s="84"/>
    </row>
    <row r="57" spans="1:8" x14ac:dyDescent="0.3">
      <c r="A57" s="84" t="s">
        <v>424</v>
      </c>
      <c r="B57" s="84">
        <v>3</v>
      </c>
      <c r="C57" s="84" t="s">
        <v>1502</v>
      </c>
      <c r="D57" s="84">
        <v>0.182</v>
      </c>
      <c r="E57" s="84">
        <v>0.13700000000000001</v>
      </c>
      <c r="F57" s="84">
        <v>-4.5999999999999999E-2</v>
      </c>
      <c r="G57" s="84" t="s">
        <v>1371</v>
      </c>
      <c r="H57" s="84"/>
    </row>
    <row r="58" spans="1:8" x14ac:dyDescent="0.3">
      <c r="A58" s="84" t="s">
        <v>424</v>
      </c>
      <c r="B58" s="84">
        <v>4</v>
      </c>
      <c r="C58" s="84" t="s">
        <v>1503</v>
      </c>
      <c r="D58" s="84">
        <v>0.26900000000000002</v>
      </c>
      <c r="E58" s="84">
        <v>0.20200000000000001</v>
      </c>
      <c r="F58" s="84">
        <v>-6.7000000000000004E-2</v>
      </c>
      <c r="G58" s="84" t="s">
        <v>1371</v>
      </c>
      <c r="H58" s="84"/>
    </row>
    <row r="59" spans="1:8" x14ac:dyDescent="0.3">
      <c r="A59" s="84" t="s">
        <v>424</v>
      </c>
      <c r="B59" s="84">
        <v>5</v>
      </c>
      <c r="C59" s="84" t="s">
        <v>1504</v>
      </c>
      <c r="D59" s="84">
        <v>0.378</v>
      </c>
      <c r="E59" s="84">
        <v>0.28299999999999997</v>
      </c>
      <c r="F59" s="84">
        <v>-9.4E-2</v>
      </c>
      <c r="G59" s="84" t="s">
        <v>1371</v>
      </c>
      <c r="H59" s="84"/>
    </row>
    <row r="60" spans="1:8" x14ac:dyDescent="0.3">
      <c r="A60" s="84" t="s">
        <v>424</v>
      </c>
      <c r="B60" s="84">
        <v>6</v>
      </c>
      <c r="C60" s="84" t="s">
        <v>1505</v>
      </c>
      <c r="D60" s="84">
        <v>0.5</v>
      </c>
      <c r="E60" s="84">
        <v>0.375</v>
      </c>
      <c r="F60" s="84">
        <v>-0.125</v>
      </c>
      <c r="G60" s="84" t="s">
        <v>1371</v>
      </c>
      <c r="H60" s="84"/>
    </row>
    <row r="61" spans="1:8" x14ac:dyDescent="0.3">
      <c r="A61" s="84" t="s">
        <v>424</v>
      </c>
      <c r="B61" s="84">
        <v>7</v>
      </c>
      <c r="C61" s="84" t="s">
        <v>1506</v>
      </c>
      <c r="D61" s="84">
        <v>0.622</v>
      </c>
      <c r="E61" s="84">
        <v>0.46700000000000003</v>
      </c>
      <c r="F61" s="84">
        <v>-0.156</v>
      </c>
      <c r="G61" s="84" t="s">
        <v>1371</v>
      </c>
      <c r="H61" s="84"/>
    </row>
    <row r="62" spans="1:8" x14ac:dyDescent="0.3">
      <c r="A62" s="84" t="s">
        <v>424</v>
      </c>
      <c r="B62" s="84">
        <v>8</v>
      </c>
      <c r="C62" s="84" t="s">
        <v>1507</v>
      </c>
      <c r="D62" s="84">
        <v>0.73099999999999998</v>
      </c>
      <c r="E62" s="84">
        <v>0.54800000000000004</v>
      </c>
      <c r="F62" s="84">
        <v>-0.183</v>
      </c>
      <c r="G62" s="84" t="s">
        <v>1371</v>
      </c>
      <c r="H62" s="84"/>
    </row>
    <row r="63" spans="1:8" x14ac:dyDescent="0.3">
      <c r="A63" s="84" t="s">
        <v>424</v>
      </c>
      <c r="B63" s="84">
        <v>9</v>
      </c>
      <c r="C63" s="84" t="s">
        <v>1508</v>
      </c>
      <c r="D63" s="84">
        <v>0.81799999999999995</v>
      </c>
      <c r="E63" s="84">
        <v>0.61299999999999999</v>
      </c>
      <c r="F63" s="84">
        <v>-0.20399999999999999</v>
      </c>
      <c r="G63" s="84" t="s">
        <v>1371</v>
      </c>
      <c r="H63" s="84"/>
    </row>
    <row r="64" spans="1:8" x14ac:dyDescent="0.3">
      <c r="A64" s="84" t="s">
        <v>424</v>
      </c>
      <c r="B64" s="84">
        <v>10</v>
      </c>
      <c r="C64" s="84" t="s">
        <v>1509</v>
      </c>
      <c r="D64" s="84">
        <v>0.88100000000000001</v>
      </c>
      <c r="E64" s="84">
        <v>0.66100000000000003</v>
      </c>
      <c r="F64" s="84">
        <v>-0.22</v>
      </c>
      <c r="G64" s="84" t="s">
        <v>1371</v>
      </c>
      <c r="H64" s="84"/>
    </row>
    <row r="65" spans="1:8" x14ac:dyDescent="0.3">
      <c r="A65" s="84" t="s">
        <v>424</v>
      </c>
      <c r="B65" s="84">
        <v>11</v>
      </c>
      <c r="C65" s="84" t="s">
        <v>1510</v>
      </c>
      <c r="D65" s="84">
        <v>0.92400000000000004</v>
      </c>
      <c r="E65" s="84">
        <v>0.69299999999999995</v>
      </c>
      <c r="F65" s="84">
        <v>-0.23100000000000001</v>
      </c>
      <c r="G65" s="84" t="s">
        <v>1371</v>
      </c>
      <c r="H65" s="84"/>
    </row>
    <row r="66" spans="1:8" x14ac:dyDescent="0.3">
      <c r="A66" s="84" t="s">
        <v>424</v>
      </c>
      <c r="B66" s="84">
        <v>12</v>
      </c>
      <c r="C66" s="84" t="s">
        <v>1511</v>
      </c>
      <c r="D66" s="84">
        <v>0.95299999999999996</v>
      </c>
      <c r="E66" s="84">
        <v>0.71399999999999997</v>
      </c>
      <c r="F66" s="84">
        <v>-0.23799999999999999</v>
      </c>
      <c r="G66" s="84" t="s">
        <v>1371</v>
      </c>
      <c r="H66" s="84"/>
    </row>
    <row r="67" spans="1:8" x14ac:dyDescent="0.3">
      <c r="A67" s="80" t="s">
        <v>430</v>
      </c>
      <c r="B67" s="80">
        <v>1</v>
      </c>
      <c r="C67" s="80" t="s">
        <v>1500</v>
      </c>
      <c r="D67" s="80">
        <v>7.5999999999999998E-2</v>
      </c>
      <c r="E67" s="80">
        <v>6.0000000000000001E-3</v>
      </c>
      <c r="F67" s="80">
        <v>-7.0000000000000007E-2</v>
      </c>
      <c r="G67" s="80" t="s">
        <v>1375</v>
      </c>
      <c r="H67" s="80" t="s">
        <v>1512</v>
      </c>
    </row>
    <row r="68" spans="1:8" x14ac:dyDescent="0.3">
      <c r="A68" s="80" t="s">
        <v>430</v>
      </c>
      <c r="B68" s="80">
        <v>2</v>
      </c>
      <c r="C68" s="80" t="s">
        <v>1501</v>
      </c>
      <c r="D68" s="80">
        <v>0.11899999999999999</v>
      </c>
      <c r="E68" s="80">
        <v>0.01</v>
      </c>
      <c r="F68" s="80">
        <v>-0.11</v>
      </c>
      <c r="G68" s="80" t="s">
        <v>1375</v>
      </c>
      <c r="H68" s="80" t="s">
        <v>1512</v>
      </c>
    </row>
    <row r="69" spans="1:8" x14ac:dyDescent="0.3">
      <c r="A69" s="80" t="s">
        <v>430</v>
      </c>
      <c r="B69" s="80">
        <v>3</v>
      </c>
      <c r="C69" s="80" t="s">
        <v>1502</v>
      </c>
      <c r="D69" s="80">
        <v>0.182</v>
      </c>
      <c r="E69" s="80">
        <v>1.4999999999999999E-2</v>
      </c>
      <c r="F69" s="80">
        <v>-0.16800000000000001</v>
      </c>
      <c r="G69" s="80" t="s">
        <v>1375</v>
      </c>
      <c r="H69" s="80" t="s">
        <v>1512</v>
      </c>
    </row>
    <row r="70" spans="1:8" x14ac:dyDescent="0.3">
      <c r="A70" s="80" t="s">
        <v>430</v>
      </c>
      <c r="B70" s="80">
        <v>4</v>
      </c>
      <c r="C70" s="80" t="s">
        <v>1503</v>
      </c>
      <c r="D70" s="80">
        <v>0.26900000000000002</v>
      </c>
      <c r="E70" s="80">
        <v>2.1999999999999999E-2</v>
      </c>
      <c r="F70" s="80">
        <v>-0.247</v>
      </c>
      <c r="G70" s="80" t="s">
        <v>1375</v>
      </c>
      <c r="H70" s="80" t="s">
        <v>1512</v>
      </c>
    </row>
    <row r="71" spans="1:8" x14ac:dyDescent="0.3">
      <c r="A71" s="80" t="s">
        <v>430</v>
      </c>
      <c r="B71" s="80">
        <v>5</v>
      </c>
      <c r="C71" s="80" t="s">
        <v>1504</v>
      </c>
      <c r="D71" s="80">
        <v>0.378</v>
      </c>
      <c r="E71" s="80">
        <v>0.03</v>
      </c>
      <c r="F71" s="80">
        <v>-0.34699999999999998</v>
      </c>
      <c r="G71" s="80" t="s">
        <v>1375</v>
      </c>
      <c r="H71" s="80" t="s">
        <v>1512</v>
      </c>
    </row>
    <row r="72" spans="1:8" x14ac:dyDescent="0.3">
      <c r="A72" s="80" t="s">
        <v>430</v>
      </c>
      <c r="B72" s="80">
        <v>6</v>
      </c>
      <c r="C72" s="80" t="s">
        <v>1505</v>
      </c>
      <c r="D72" s="80">
        <v>0.5</v>
      </c>
      <c r="E72" s="80">
        <v>0.04</v>
      </c>
      <c r="F72" s="80">
        <v>-0.46</v>
      </c>
      <c r="G72" s="80" t="s">
        <v>1375</v>
      </c>
      <c r="H72" s="80" t="s">
        <v>1512</v>
      </c>
    </row>
    <row r="73" spans="1:8" x14ac:dyDescent="0.3">
      <c r="A73" s="80" t="s">
        <v>430</v>
      </c>
      <c r="B73" s="80">
        <v>7</v>
      </c>
      <c r="C73" s="80" t="s">
        <v>1506</v>
      </c>
      <c r="D73" s="80">
        <v>0.622</v>
      </c>
      <c r="E73" s="80">
        <v>0.05</v>
      </c>
      <c r="F73" s="80">
        <v>-0.57299999999999995</v>
      </c>
      <c r="G73" s="80" t="s">
        <v>1375</v>
      </c>
      <c r="H73" s="80" t="s">
        <v>1512</v>
      </c>
    </row>
    <row r="74" spans="1:8" x14ac:dyDescent="0.3">
      <c r="A74" s="80" t="s">
        <v>430</v>
      </c>
      <c r="B74" s="80">
        <v>8</v>
      </c>
      <c r="C74" s="80" t="s">
        <v>1507</v>
      </c>
      <c r="D74" s="80">
        <v>0.73099999999999998</v>
      </c>
      <c r="E74" s="80">
        <v>5.8000000000000003E-2</v>
      </c>
      <c r="F74" s="80">
        <v>-0.67300000000000004</v>
      </c>
      <c r="G74" s="80" t="s">
        <v>1375</v>
      </c>
      <c r="H74" s="80" t="s">
        <v>1512</v>
      </c>
    </row>
    <row r="75" spans="1:8" x14ac:dyDescent="0.3">
      <c r="A75" s="80" t="s">
        <v>430</v>
      </c>
      <c r="B75" s="80">
        <v>9</v>
      </c>
      <c r="C75" s="80" t="s">
        <v>1508</v>
      </c>
      <c r="D75" s="80">
        <v>0.81799999999999995</v>
      </c>
      <c r="E75" s="80">
        <v>6.5000000000000002E-2</v>
      </c>
      <c r="F75" s="80">
        <v>-0.752</v>
      </c>
      <c r="G75" s="80" t="s">
        <v>1375</v>
      </c>
      <c r="H75" s="80" t="s">
        <v>1512</v>
      </c>
    </row>
    <row r="76" spans="1:8" x14ac:dyDescent="0.3">
      <c r="A76" s="80" t="s">
        <v>430</v>
      </c>
      <c r="B76" s="80">
        <v>10</v>
      </c>
      <c r="C76" s="80" t="s">
        <v>1509</v>
      </c>
      <c r="D76" s="80">
        <v>0.88100000000000001</v>
      </c>
      <c r="E76" s="80">
        <v>7.0000000000000007E-2</v>
      </c>
      <c r="F76" s="80">
        <v>-0.81</v>
      </c>
      <c r="G76" s="80" t="s">
        <v>1375</v>
      </c>
      <c r="H76" s="80" t="s">
        <v>1512</v>
      </c>
    </row>
    <row r="77" spans="1:8" x14ac:dyDescent="0.3">
      <c r="A77" s="80" t="s">
        <v>430</v>
      </c>
      <c r="B77" s="80">
        <v>11</v>
      </c>
      <c r="C77" s="80" t="s">
        <v>1510</v>
      </c>
      <c r="D77" s="80">
        <v>0.92400000000000004</v>
      </c>
      <c r="E77" s="80">
        <v>7.3999999999999996E-2</v>
      </c>
      <c r="F77" s="80">
        <v>-0.85</v>
      </c>
      <c r="G77" s="80" t="s">
        <v>1375</v>
      </c>
      <c r="H77" s="80" t="s">
        <v>1512</v>
      </c>
    </row>
    <row r="78" spans="1:8" x14ac:dyDescent="0.3">
      <c r="A78" s="80" t="s">
        <v>430</v>
      </c>
      <c r="B78" s="80">
        <v>12</v>
      </c>
      <c r="C78" s="80" t="s">
        <v>1511</v>
      </c>
      <c r="D78" s="80">
        <v>0.95299999999999996</v>
      </c>
      <c r="E78" s="80">
        <v>7.5999999999999998E-2</v>
      </c>
      <c r="F78" s="80">
        <v>-0.876</v>
      </c>
      <c r="G78" s="80" t="s">
        <v>1375</v>
      </c>
      <c r="H78" s="80" t="s">
        <v>1512</v>
      </c>
    </row>
    <row r="79" spans="1:8" x14ac:dyDescent="0.3">
      <c r="A79" s="84" t="s">
        <v>436</v>
      </c>
      <c r="B79" s="84">
        <v>1</v>
      </c>
      <c r="C79" s="84" t="s">
        <v>1500</v>
      </c>
      <c r="D79" s="84">
        <v>7.5999999999999998E-2</v>
      </c>
      <c r="E79" s="84">
        <v>5.8999999999999997E-2</v>
      </c>
      <c r="F79" s="84">
        <v>-1.7000000000000001E-2</v>
      </c>
      <c r="G79" s="84" t="s">
        <v>1371</v>
      </c>
      <c r="H79" s="84"/>
    </row>
    <row r="80" spans="1:8" x14ac:dyDescent="0.3">
      <c r="A80" s="84" t="s">
        <v>436</v>
      </c>
      <c r="B80" s="84">
        <v>2</v>
      </c>
      <c r="C80" s="84" t="s">
        <v>1501</v>
      </c>
      <c r="D80" s="84">
        <v>0.11899999999999999</v>
      </c>
      <c r="E80" s="84">
        <v>9.2999999999999999E-2</v>
      </c>
      <c r="F80" s="84">
        <v>-2.5999999999999999E-2</v>
      </c>
      <c r="G80" s="84" t="s">
        <v>1371</v>
      </c>
      <c r="H80" s="84"/>
    </row>
    <row r="81" spans="1:8" x14ac:dyDescent="0.3">
      <c r="A81" s="84" t="s">
        <v>436</v>
      </c>
      <c r="B81" s="84">
        <v>3</v>
      </c>
      <c r="C81" s="84" t="s">
        <v>1502</v>
      </c>
      <c r="D81" s="84">
        <v>0.182</v>
      </c>
      <c r="E81" s="84">
        <v>0.14199999999999999</v>
      </c>
      <c r="F81" s="84">
        <v>-0.04</v>
      </c>
      <c r="G81" s="84" t="s">
        <v>1371</v>
      </c>
      <c r="H81" s="84"/>
    </row>
    <row r="82" spans="1:8" x14ac:dyDescent="0.3">
      <c r="A82" s="84" t="s">
        <v>436</v>
      </c>
      <c r="B82" s="84">
        <v>4</v>
      </c>
      <c r="C82" s="84" t="s">
        <v>1503</v>
      </c>
      <c r="D82" s="84">
        <v>0.26900000000000002</v>
      </c>
      <c r="E82" s="84">
        <v>0.21</v>
      </c>
      <c r="F82" s="84">
        <v>-5.8999999999999997E-2</v>
      </c>
      <c r="G82" s="84" t="s">
        <v>1371</v>
      </c>
      <c r="H82" s="84"/>
    </row>
    <row r="83" spans="1:8" x14ac:dyDescent="0.3">
      <c r="A83" s="84" t="s">
        <v>436</v>
      </c>
      <c r="B83" s="84">
        <v>5</v>
      </c>
      <c r="C83" s="84" t="s">
        <v>1504</v>
      </c>
      <c r="D83" s="84">
        <v>0.378</v>
      </c>
      <c r="E83" s="84">
        <v>0.29399999999999998</v>
      </c>
      <c r="F83" s="84">
        <v>-8.3000000000000004E-2</v>
      </c>
      <c r="G83" s="84" t="s">
        <v>1371</v>
      </c>
      <c r="H83" s="84"/>
    </row>
    <row r="84" spans="1:8" x14ac:dyDescent="0.3">
      <c r="A84" s="84" t="s">
        <v>436</v>
      </c>
      <c r="B84" s="84">
        <v>6</v>
      </c>
      <c r="C84" s="84" t="s">
        <v>1505</v>
      </c>
      <c r="D84" s="84">
        <v>0.5</v>
      </c>
      <c r="E84" s="84">
        <v>0.39</v>
      </c>
      <c r="F84" s="84">
        <v>-0.11</v>
      </c>
      <c r="G84" s="84" t="s">
        <v>1371</v>
      </c>
      <c r="H84" s="84"/>
    </row>
    <row r="85" spans="1:8" x14ac:dyDescent="0.3">
      <c r="A85" s="84" t="s">
        <v>436</v>
      </c>
      <c r="B85" s="84">
        <v>7</v>
      </c>
      <c r="C85" s="84" t="s">
        <v>1506</v>
      </c>
      <c r="D85" s="84">
        <v>0.622</v>
      </c>
      <c r="E85" s="84">
        <v>0.48599999999999999</v>
      </c>
      <c r="F85" s="84">
        <v>-0.13700000000000001</v>
      </c>
      <c r="G85" s="84" t="s">
        <v>1371</v>
      </c>
      <c r="H85" s="84"/>
    </row>
    <row r="86" spans="1:8" x14ac:dyDescent="0.3">
      <c r="A86" s="84" t="s">
        <v>436</v>
      </c>
      <c r="B86" s="84">
        <v>8</v>
      </c>
      <c r="C86" s="84" t="s">
        <v>1507</v>
      </c>
      <c r="D86" s="84">
        <v>0.73099999999999998</v>
      </c>
      <c r="E86" s="84">
        <v>0.56999999999999995</v>
      </c>
      <c r="F86" s="84">
        <v>-0.161</v>
      </c>
      <c r="G86" s="84" t="s">
        <v>1371</v>
      </c>
      <c r="H86" s="84"/>
    </row>
    <row r="87" spans="1:8" x14ac:dyDescent="0.3">
      <c r="A87" s="84" t="s">
        <v>436</v>
      </c>
      <c r="B87" s="84">
        <v>9</v>
      </c>
      <c r="C87" s="84" t="s">
        <v>1508</v>
      </c>
      <c r="D87" s="84">
        <v>0.81799999999999995</v>
      </c>
      <c r="E87" s="84">
        <v>0.63800000000000001</v>
      </c>
      <c r="F87" s="84">
        <v>-0.18</v>
      </c>
      <c r="G87" s="84" t="s">
        <v>1371</v>
      </c>
      <c r="H87" s="84"/>
    </row>
    <row r="88" spans="1:8" x14ac:dyDescent="0.3">
      <c r="A88" s="84" t="s">
        <v>436</v>
      </c>
      <c r="B88" s="84">
        <v>10</v>
      </c>
      <c r="C88" s="84" t="s">
        <v>1509</v>
      </c>
      <c r="D88" s="84">
        <v>0.88100000000000001</v>
      </c>
      <c r="E88" s="84">
        <v>0.68700000000000006</v>
      </c>
      <c r="F88" s="84">
        <v>-0.19400000000000001</v>
      </c>
      <c r="G88" s="84" t="s">
        <v>1371</v>
      </c>
      <c r="H88" s="84"/>
    </row>
    <row r="89" spans="1:8" x14ac:dyDescent="0.3">
      <c r="A89" s="84" t="s">
        <v>436</v>
      </c>
      <c r="B89" s="84">
        <v>11</v>
      </c>
      <c r="C89" s="84" t="s">
        <v>1510</v>
      </c>
      <c r="D89" s="84">
        <v>0.92400000000000004</v>
      </c>
      <c r="E89" s="84">
        <v>0.72099999999999997</v>
      </c>
      <c r="F89" s="84">
        <v>-0.20300000000000001</v>
      </c>
      <c r="G89" s="84" t="s">
        <v>1371</v>
      </c>
      <c r="H89" s="84"/>
    </row>
    <row r="90" spans="1:8" x14ac:dyDescent="0.3">
      <c r="A90" s="84" t="s">
        <v>436</v>
      </c>
      <c r="B90" s="84">
        <v>12</v>
      </c>
      <c r="C90" s="84" t="s">
        <v>1511</v>
      </c>
      <c r="D90" s="84">
        <v>0.95299999999999996</v>
      </c>
      <c r="E90" s="84">
        <v>0.74299999999999999</v>
      </c>
      <c r="F90" s="84">
        <v>-0.21</v>
      </c>
      <c r="G90" s="84" t="s">
        <v>1371</v>
      </c>
      <c r="H90" s="84"/>
    </row>
    <row r="91" spans="1:8" x14ac:dyDescent="0.3">
      <c r="A91" s="80" t="s">
        <v>441</v>
      </c>
      <c r="B91" s="80">
        <v>1</v>
      </c>
      <c r="C91" s="80" t="s">
        <v>1500</v>
      </c>
      <c r="D91" s="80">
        <v>7.5999999999999998E-2</v>
      </c>
      <c r="E91" s="80">
        <v>0</v>
      </c>
      <c r="F91" s="80">
        <v>-7.5999999999999998E-2</v>
      </c>
      <c r="G91" s="80" t="s">
        <v>1375</v>
      </c>
      <c r="H91" s="80" t="s">
        <v>1512</v>
      </c>
    </row>
    <row r="92" spans="1:8" x14ac:dyDescent="0.3">
      <c r="A92" s="80" t="s">
        <v>441</v>
      </c>
      <c r="B92" s="80">
        <v>2</v>
      </c>
      <c r="C92" s="80" t="s">
        <v>1501</v>
      </c>
      <c r="D92" s="80">
        <v>0.11899999999999999</v>
      </c>
      <c r="E92" s="80">
        <v>0</v>
      </c>
      <c r="F92" s="80">
        <v>-0.11899999999999999</v>
      </c>
      <c r="G92" s="80" t="s">
        <v>1375</v>
      </c>
      <c r="H92" s="80" t="s">
        <v>1512</v>
      </c>
    </row>
    <row r="93" spans="1:8" x14ac:dyDescent="0.3">
      <c r="A93" s="80" t="s">
        <v>441</v>
      </c>
      <c r="B93" s="80">
        <v>3</v>
      </c>
      <c r="C93" s="80" t="s">
        <v>1502</v>
      </c>
      <c r="D93" s="80">
        <v>0.182</v>
      </c>
      <c r="E93" s="80">
        <v>0</v>
      </c>
      <c r="F93" s="80">
        <v>-0.182</v>
      </c>
      <c r="G93" s="80" t="s">
        <v>1375</v>
      </c>
      <c r="H93" s="80" t="s">
        <v>1512</v>
      </c>
    </row>
    <row r="94" spans="1:8" x14ac:dyDescent="0.3">
      <c r="A94" s="80" t="s">
        <v>441</v>
      </c>
      <c r="B94" s="80">
        <v>4</v>
      </c>
      <c r="C94" s="80" t="s">
        <v>1503</v>
      </c>
      <c r="D94" s="80">
        <v>0.26900000000000002</v>
      </c>
      <c r="E94" s="80">
        <v>0</v>
      </c>
      <c r="F94" s="80">
        <v>-0.26900000000000002</v>
      </c>
      <c r="G94" s="80" t="s">
        <v>1375</v>
      </c>
      <c r="H94" s="80" t="s">
        <v>1512</v>
      </c>
    </row>
    <row r="95" spans="1:8" x14ac:dyDescent="0.3">
      <c r="A95" s="80" t="s">
        <v>441</v>
      </c>
      <c r="B95" s="80">
        <v>5</v>
      </c>
      <c r="C95" s="80" t="s">
        <v>1504</v>
      </c>
      <c r="D95" s="80">
        <v>0.378</v>
      </c>
      <c r="E95" s="80">
        <v>0</v>
      </c>
      <c r="F95" s="80">
        <v>-0.378</v>
      </c>
      <c r="G95" s="80" t="s">
        <v>1375</v>
      </c>
      <c r="H95" s="80" t="s">
        <v>1512</v>
      </c>
    </row>
    <row r="96" spans="1:8" x14ac:dyDescent="0.3">
      <c r="A96" s="80" t="s">
        <v>441</v>
      </c>
      <c r="B96" s="80">
        <v>6</v>
      </c>
      <c r="C96" s="80" t="s">
        <v>1505</v>
      </c>
      <c r="D96" s="80">
        <v>0.5</v>
      </c>
      <c r="E96" s="80">
        <v>0</v>
      </c>
      <c r="F96" s="80">
        <v>-0.5</v>
      </c>
      <c r="G96" s="80" t="s">
        <v>1375</v>
      </c>
      <c r="H96" s="80" t="s">
        <v>1512</v>
      </c>
    </row>
    <row r="97" spans="1:8" x14ac:dyDescent="0.3">
      <c r="A97" s="80" t="s">
        <v>441</v>
      </c>
      <c r="B97" s="80">
        <v>7</v>
      </c>
      <c r="C97" s="80" t="s">
        <v>1506</v>
      </c>
      <c r="D97" s="80">
        <v>0.622</v>
      </c>
      <c r="E97" s="80">
        <v>0</v>
      </c>
      <c r="F97" s="80">
        <v>-0.622</v>
      </c>
      <c r="G97" s="80" t="s">
        <v>1375</v>
      </c>
      <c r="H97" s="80" t="s">
        <v>1512</v>
      </c>
    </row>
    <row r="98" spans="1:8" x14ac:dyDescent="0.3">
      <c r="A98" s="80" t="s">
        <v>441</v>
      </c>
      <c r="B98" s="80">
        <v>8</v>
      </c>
      <c r="C98" s="80" t="s">
        <v>1507</v>
      </c>
      <c r="D98" s="80">
        <v>0.73099999999999998</v>
      </c>
      <c r="E98" s="80">
        <v>0</v>
      </c>
      <c r="F98" s="80">
        <v>-0.73099999999999998</v>
      </c>
      <c r="G98" s="80" t="s">
        <v>1375</v>
      </c>
      <c r="H98" s="80" t="s">
        <v>1512</v>
      </c>
    </row>
    <row r="99" spans="1:8" x14ac:dyDescent="0.3">
      <c r="A99" s="80" t="s">
        <v>441</v>
      </c>
      <c r="B99" s="80">
        <v>9</v>
      </c>
      <c r="C99" s="80" t="s">
        <v>1508</v>
      </c>
      <c r="D99" s="80">
        <v>0.81799999999999995</v>
      </c>
      <c r="E99" s="80">
        <v>0</v>
      </c>
      <c r="F99" s="80">
        <v>-0.81799999999999995</v>
      </c>
      <c r="G99" s="80" t="s">
        <v>1375</v>
      </c>
      <c r="H99" s="80" t="s">
        <v>1512</v>
      </c>
    </row>
    <row r="100" spans="1:8" x14ac:dyDescent="0.3">
      <c r="A100" s="80" t="s">
        <v>441</v>
      </c>
      <c r="B100" s="80">
        <v>10</v>
      </c>
      <c r="C100" s="80" t="s">
        <v>1509</v>
      </c>
      <c r="D100" s="80">
        <v>0.88100000000000001</v>
      </c>
      <c r="E100" s="80">
        <v>0</v>
      </c>
      <c r="F100" s="80">
        <v>-0.88100000000000001</v>
      </c>
      <c r="G100" s="80" t="s">
        <v>1375</v>
      </c>
      <c r="H100" s="80" t="s">
        <v>1512</v>
      </c>
    </row>
    <row r="101" spans="1:8" x14ac:dyDescent="0.3">
      <c r="A101" s="80" t="s">
        <v>441</v>
      </c>
      <c r="B101" s="80">
        <v>11</v>
      </c>
      <c r="C101" s="80" t="s">
        <v>1510</v>
      </c>
      <c r="D101" s="80">
        <v>0.92400000000000004</v>
      </c>
      <c r="E101" s="80">
        <v>0</v>
      </c>
      <c r="F101" s="80">
        <v>-0.92400000000000004</v>
      </c>
      <c r="G101" s="80" t="s">
        <v>1375</v>
      </c>
      <c r="H101" s="80" t="s">
        <v>1512</v>
      </c>
    </row>
    <row r="102" spans="1:8" x14ac:dyDescent="0.3">
      <c r="A102" s="80" t="s">
        <v>441</v>
      </c>
      <c r="B102" s="80">
        <v>12</v>
      </c>
      <c r="C102" s="80" t="s">
        <v>1511</v>
      </c>
      <c r="D102" s="80">
        <v>0.95299999999999996</v>
      </c>
      <c r="E102" s="80">
        <v>0</v>
      </c>
      <c r="F102" s="80">
        <v>-0.95299999999999996</v>
      </c>
      <c r="G102" s="80" t="s">
        <v>1375</v>
      </c>
      <c r="H102" s="80" t="s">
        <v>1512</v>
      </c>
    </row>
    <row r="103" spans="1:8" x14ac:dyDescent="0.3">
      <c r="A103" s="80" t="s">
        <v>447</v>
      </c>
      <c r="B103" s="80">
        <v>1</v>
      </c>
      <c r="C103" s="80" t="s">
        <v>1500</v>
      </c>
      <c r="D103" s="80">
        <v>7.5999999999999998E-2</v>
      </c>
      <c r="E103" s="80">
        <v>8.0000000000000002E-3</v>
      </c>
      <c r="F103" s="80">
        <v>-6.8000000000000005E-2</v>
      </c>
      <c r="G103" s="80" t="s">
        <v>1375</v>
      </c>
      <c r="H103" s="80" t="s">
        <v>1512</v>
      </c>
    </row>
    <row r="104" spans="1:8" x14ac:dyDescent="0.3">
      <c r="A104" s="80" t="s">
        <v>447</v>
      </c>
      <c r="B104" s="80">
        <v>2</v>
      </c>
      <c r="C104" s="80" t="s">
        <v>1501</v>
      </c>
      <c r="D104" s="80">
        <v>0.11899999999999999</v>
      </c>
      <c r="E104" s="80">
        <v>1.2E-2</v>
      </c>
      <c r="F104" s="80">
        <v>-0.107</v>
      </c>
      <c r="G104" s="80" t="s">
        <v>1375</v>
      </c>
      <c r="H104" s="80" t="s">
        <v>1512</v>
      </c>
    </row>
    <row r="105" spans="1:8" x14ac:dyDescent="0.3">
      <c r="A105" s="80" t="s">
        <v>447</v>
      </c>
      <c r="B105" s="80">
        <v>3</v>
      </c>
      <c r="C105" s="80" t="s">
        <v>1502</v>
      </c>
      <c r="D105" s="80">
        <v>0.182</v>
      </c>
      <c r="E105" s="80">
        <v>1.7999999999999999E-2</v>
      </c>
      <c r="F105" s="80">
        <v>-0.16400000000000001</v>
      </c>
      <c r="G105" s="80" t="s">
        <v>1375</v>
      </c>
      <c r="H105" s="80" t="s">
        <v>1512</v>
      </c>
    </row>
    <row r="106" spans="1:8" x14ac:dyDescent="0.3">
      <c r="A106" s="80" t="s">
        <v>447</v>
      </c>
      <c r="B106" s="80">
        <v>4</v>
      </c>
      <c r="C106" s="80" t="s">
        <v>1503</v>
      </c>
      <c r="D106" s="80">
        <v>0.26900000000000002</v>
      </c>
      <c r="E106" s="80">
        <v>2.7E-2</v>
      </c>
      <c r="F106" s="80">
        <v>-0.24199999999999999</v>
      </c>
      <c r="G106" s="80" t="s">
        <v>1375</v>
      </c>
      <c r="H106" s="80" t="s">
        <v>1512</v>
      </c>
    </row>
    <row r="107" spans="1:8" x14ac:dyDescent="0.3">
      <c r="A107" s="80" t="s">
        <v>447</v>
      </c>
      <c r="B107" s="80">
        <v>5</v>
      </c>
      <c r="C107" s="80" t="s">
        <v>1504</v>
      </c>
      <c r="D107" s="80">
        <v>0.378</v>
      </c>
      <c r="E107" s="80">
        <v>3.7999999999999999E-2</v>
      </c>
      <c r="F107" s="80">
        <v>-0.34</v>
      </c>
      <c r="G107" s="80" t="s">
        <v>1375</v>
      </c>
      <c r="H107" s="80" t="s">
        <v>1512</v>
      </c>
    </row>
    <row r="108" spans="1:8" x14ac:dyDescent="0.3">
      <c r="A108" s="80" t="s">
        <v>447</v>
      </c>
      <c r="B108" s="80">
        <v>6</v>
      </c>
      <c r="C108" s="80" t="s">
        <v>1505</v>
      </c>
      <c r="D108" s="80">
        <v>0.5</v>
      </c>
      <c r="E108" s="80">
        <v>0.05</v>
      </c>
      <c r="F108" s="80">
        <v>-0.45</v>
      </c>
      <c r="G108" s="80" t="s">
        <v>1375</v>
      </c>
      <c r="H108" s="80" t="s">
        <v>1512</v>
      </c>
    </row>
    <row r="109" spans="1:8" x14ac:dyDescent="0.3">
      <c r="A109" s="80" t="s">
        <v>447</v>
      </c>
      <c r="B109" s="80">
        <v>7</v>
      </c>
      <c r="C109" s="80" t="s">
        <v>1506</v>
      </c>
      <c r="D109" s="80">
        <v>0.622</v>
      </c>
      <c r="E109" s="80">
        <v>6.2E-2</v>
      </c>
      <c r="F109" s="80">
        <v>-0.56000000000000005</v>
      </c>
      <c r="G109" s="80" t="s">
        <v>1375</v>
      </c>
      <c r="H109" s="80" t="s">
        <v>1512</v>
      </c>
    </row>
    <row r="110" spans="1:8" x14ac:dyDescent="0.3">
      <c r="A110" s="80" t="s">
        <v>447</v>
      </c>
      <c r="B110" s="80">
        <v>8</v>
      </c>
      <c r="C110" s="80" t="s">
        <v>1507</v>
      </c>
      <c r="D110" s="80">
        <v>0.73099999999999998</v>
      </c>
      <c r="E110" s="80">
        <v>7.2999999999999995E-2</v>
      </c>
      <c r="F110" s="80">
        <v>-0.65800000000000003</v>
      </c>
      <c r="G110" s="80" t="s">
        <v>1375</v>
      </c>
      <c r="H110" s="80" t="s">
        <v>1512</v>
      </c>
    </row>
    <row r="111" spans="1:8" x14ac:dyDescent="0.3">
      <c r="A111" s="80" t="s">
        <v>447</v>
      </c>
      <c r="B111" s="80">
        <v>9</v>
      </c>
      <c r="C111" s="80" t="s">
        <v>1508</v>
      </c>
      <c r="D111" s="80">
        <v>0.81799999999999995</v>
      </c>
      <c r="E111" s="80">
        <v>8.2000000000000003E-2</v>
      </c>
      <c r="F111" s="80">
        <v>-0.73599999999999999</v>
      </c>
      <c r="G111" s="80" t="s">
        <v>1375</v>
      </c>
      <c r="H111" s="80" t="s">
        <v>1512</v>
      </c>
    </row>
    <row r="112" spans="1:8" x14ac:dyDescent="0.3">
      <c r="A112" s="80" t="s">
        <v>447</v>
      </c>
      <c r="B112" s="80">
        <v>10</v>
      </c>
      <c r="C112" s="80" t="s">
        <v>1509</v>
      </c>
      <c r="D112" s="80">
        <v>0.88100000000000001</v>
      </c>
      <c r="E112" s="80">
        <v>8.7999999999999995E-2</v>
      </c>
      <c r="F112" s="80">
        <v>-0.79300000000000004</v>
      </c>
      <c r="G112" s="80" t="s">
        <v>1375</v>
      </c>
      <c r="H112" s="80" t="s">
        <v>1512</v>
      </c>
    </row>
    <row r="113" spans="1:8" x14ac:dyDescent="0.3">
      <c r="A113" s="80" t="s">
        <v>447</v>
      </c>
      <c r="B113" s="80">
        <v>11</v>
      </c>
      <c r="C113" s="80" t="s">
        <v>1510</v>
      </c>
      <c r="D113" s="80">
        <v>0.92400000000000004</v>
      </c>
      <c r="E113" s="80">
        <v>9.1999999999999998E-2</v>
      </c>
      <c r="F113" s="80">
        <v>-0.83199999999999996</v>
      </c>
      <c r="G113" s="80" t="s">
        <v>1375</v>
      </c>
      <c r="H113" s="80" t="s">
        <v>1512</v>
      </c>
    </row>
    <row r="114" spans="1:8" x14ac:dyDescent="0.3">
      <c r="A114" s="80" t="s">
        <v>447</v>
      </c>
      <c r="B114" s="80">
        <v>12</v>
      </c>
      <c r="C114" s="80" t="s">
        <v>1511</v>
      </c>
      <c r="D114" s="80">
        <v>0.95299999999999996</v>
      </c>
      <c r="E114" s="80">
        <v>9.5000000000000001E-2</v>
      </c>
      <c r="F114" s="80">
        <v>-0.85699999999999998</v>
      </c>
      <c r="G114" s="80" t="s">
        <v>1375</v>
      </c>
      <c r="H114" s="80" t="s">
        <v>1512</v>
      </c>
    </row>
    <row r="115" spans="1:8" x14ac:dyDescent="0.3">
      <c r="A115" t="s">
        <v>451</v>
      </c>
      <c r="B115">
        <v>1</v>
      </c>
      <c r="C115" t="s">
        <v>1500</v>
      </c>
      <c r="D115">
        <v>7.5999999999999998E-2</v>
      </c>
      <c r="E115">
        <v>7.5999999999999998E-2</v>
      </c>
      <c r="F115">
        <v>0</v>
      </c>
      <c r="G115" t="s">
        <v>1378</v>
      </c>
    </row>
    <row r="116" spans="1:8" x14ac:dyDescent="0.3">
      <c r="A116" t="s">
        <v>451</v>
      </c>
      <c r="B116">
        <v>2</v>
      </c>
      <c r="C116" t="s">
        <v>1501</v>
      </c>
      <c r="D116">
        <v>0.11899999999999999</v>
      </c>
      <c r="E116">
        <v>0.11899999999999999</v>
      </c>
      <c r="F116">
        <v>0</v>
      </c>
      <c r="G116" t="s">
        <v>1378</v>
      </c>
    </row>
    <row r="117" spans="1:8" x14ac:dyDescent="0.3">
      <c r="A117" t="s">
        <v>451</v>
      </c>
      <c r="B117">
        <v>3</v>
      </c>
      <c r="C117" t="s">
        <v>1502</v>
      </c>
      <c r="D117">
        <v>0.182</v>
      </c>
      <c r="E117">
        <v>0.182</v>
      </c>
      <c r="F117">
        <v>0</v>
      </c>
      <c r="G117" t="s">
        <v>1378</v>
      </c>
    </row>
    <row r="118" spans="1:8" x14ac:dyDescent="0.3">
      <c r="A118" t="s">
        <v>451</v>
      </c>
      <c r="B118">
        <v>4</v>
      </c>
      <c r="C118" t="s">
        <v>1503</v>
      </c>
      <c r="D118">
        <v>0.26900000000000002</v>
      </c>
      <c r="E118">
        <v>0.26900000000000002</v>
      </c>
      <c r="F118">
        <v>0</v>
      </c>
      <c r="G118" t="s">
        <v>1378</v>
      </c>
    </row>
    <row r="119" spans="1:8" x14ac:dyDescent="0.3">
      <c r="A119" t="s">
        <v>451</v>
      </c>
      <c r="B119">
        <v>5</v>
      </c>
      <c r="C119" t="s">
        <v>1504</v>
      </c>
      <c r="D119">
        <v>0.378</v>
      </c>
      <c r="E119">
        <v>0.378</v>
      </c>
      <c r="F119">
        <v>0</v>
      </c>
      <c r="G119" t="s">
        <v>1378</v>
      </c>
    </row>
    <row r="120" spans="1:8" x14ac:dyDescent="0.3">
      <c r="A120" t="s">
        <v>451</v>
      </c>
      <c r="B120">
        <v>6</v>
      </c>
      <c r="C120" t="s">
        <v>1505</v>
      </c>
      <c r="D120">
        <v>0.5</v>
      </c>
      <c r="E120">
        <v>0.5</v>
      </c>
      <c r="F120">
        <v>0</v>
      </c>
      <c r="G120" t="s">
        <v>1378</v>
      </c>
    </row>
    <row r="121" spans="1:8" x14ac:dyDescent="0.3">
      <c r="A121" t="s">
        <v>451</v>
      </c>
      <c r="B121">
        <v>7</v>
      </c>
      <c r="C121" t="s">
        <v>1506</v>
      </c>
      <c r="D121">
        <v>0.622</v>
      </c>
      <c r="E121">
        <v>0.622</v>
      </c>
      <c r="F121">
        <v>0</v>
      </c>
      <c r="G121" t="s">
        <v>1378</v>
      </c>
    </row>
    <row r="122" spans="1:8" x14ac:dyDescent="0.3">
      <c r="A122" t="s">
        <v>451</v>
      </c>
      <c r="B122">
        <v>8</v>
      </c>
      <c r="C122" t="s">
        <v>1507</v>
      </c>
      <c r="D122">
        <v>0.73099999999999998</v>
      </c>
      <c r="E122">
        <v>0.73099999999999998</v>
      </c>
      <c r="F122">
        <v>0</v>
      </c>
      <c r="G122" t="s">
        <v>1378</v>
      </c>
    </row>
    <row r="123" spans="1:8" x14ac:dyDescent="0.3">
      <c r="A123" t="s">
        <v>451</v>
      </c>
      <c r="B123">
        <v>9</v>
      </c>
      <c r="C123" t="s">
        <v>1508</v>
      </c>
      <c r="D123">
        <v>0.81799999999999995</v>
      </c>
      <c r="E123">
        <v>0.81799999999999995</v>
      </c>
      <c r="F123">
        <v>0</v>
      </c>
      <c r="G123" t="s">
        <v>1378</v>
      </c>
    </row>
    <row r="124" spans="1:8" x14ac:dyDescent="0.3">
      <c r="A124" t="s">
        <v>451</v>
      </c>
      <c r="B124">
        <v>10</v>
      </c>
      <c r="C124" t="s">
        <v>1509</v>
      </c>
      <c r="D124">
        <v>0.88100000000000001</v>
      </c>
      <c r="E124">
        <v>0.88100000000000001</v>
      </c>
      <c r="F124">
        <v>0</v>
      </c>
      <c r="G124" t="s">
        <v>1378</v>
      </c>
    </row>
    <row r="125" spans="1:8" x14ac:dyDescent="0.3">
      <c r="A125" t="s">
        <v>451</v>
      </c>
      <c r="B125">
        <v>11</v>
      </c>
      <c r="C125" t="s">
        <v>1510</v>
      </c>
      <c r="D125">
        <v>0.92400000000000004</v>
      </c>
      <c r="E125">
        <v>0.92400000000000004</v>
      </c>
      <c r="F125">
        <v>0</v>
      </c>
      <c r="G125" t="s">
        <v>1378</v>
      </c>
    </row>
    <row r="126" spans="1:8" x14ac:dyDescent="0.3">
      <c r="A126" t="s">
        <v>451</v>
      </c>
      <c r="B126">
        <v>12</v>
      </c>
      <c r="C126" t="s">
        <v>1511</v>
      </c>
      <c r="D126">
        <v>0.95299999999999996</v>
      </c>
      <c r="E126">
        <v>0.95299999999999996</v>
      </c>
      <c r="F126">
        <v>0</v>
      </c>
      <c r="G126" t="s">
        <v>1378</v>
      </c>
    </row>
    <row r="127" spans="1:8" x14ac:dyDescent="0.3">
      <c r="A127" s="84" t="s">
        <v>457</v>
      </c>
      <c r="B127" s="84">
        <v>1</v>
      </c>
      <c r="C127" s="84" t="s">
        <v>1500</v>
      </c>
      <c r="D127" s="84">
        <v>7.5999999999999998E-2</v>
      </c>
      <c r="E127" s="84">
        <v>5.2999999999999999E-2</v>
      </c>
      <c r="F127" s="84">
        <v>-2.3E-2</v>
      </c>
      <c r="G127" s="84" t="s">
        <v>1371</v>
      </c>
      <c r="H127" s="84"/>
    </row>
    <row r="128" spans="1:8" x14ac:dyDescent="0.3">
      <c r="A128" s="84" t="s">
        <v>457</v>
      </c>
      <c r="B128" s="84">
        <v>2</v>
      </c>
      <c r="C128" s="84" t="s">
        <v>1501</v>
      </c>
      <c r="D128" s="84">
        <v>0.11899999999999999</v>
      </c>
      <c r="E128" s="84">
        <v>8.3000000000000004E-2</v>
      </c>
      <c r="F128" s="84">
        <v>-3.5999999999999997E-2</v>
      </c>
      <c r="G128" s="84" t="s">
        <v>1371</v>
      </c>
      <c r="H128" s="84"/>
    </row>
    <row r="129" spans="1:8" x14ac:dyDescent="0.3">
      <c r="A129" s="84" t="s">
        <v>457</v>
      </c>
      <c r="B129" s="84">
        <v>3</v>
      </c>
      <c r="C129" s="84" t="s">
        <v>1502</v>
      </c>
      <c r="D129" s="84">
        <v>0.182</v>
      </c>
      <c r="E129" s="84">
        <v>0.128</v>
      </c>
      <c r="F129" s="84">
        <v>-5.5E-2</v>
      </c>
      <c r="G129" s="84" t="s">
        <v>1371</v>
      </c>
      <c r="H129" s="84"/>
    </row>
    <row r="130" spans="1:8" x14ac:dyDescent="0.3">
      <c r="A130" s="84" t="s">
        <v>457</v>
      </c>
      <c r="B130" s="84">
        <v>4</v>
      </c>
      <c r="C130" s="84" t="s">
        <v>1503</v>
      </c>
      <c r="D130" s="84">
        <v>0.26900000000000002</v>
      </c>
      <c r="E130" s="84">
        <v>0.188</v>
      </c>
      <c r="F130" s="84">
        <v>-8.1000000000000003E-2</v>
      </c>
      <c r="G130" s="84" t="s">
        <v>1371</v>
      </c>
      <c r="H130" s="84"/>
    </row>
    <row r="131" spans="1:8" x14ac:dyDescent="0.3">
      <c r="A131" s="84" t="s">
        <v>457</v>
      </c>
      <c r="B131" s="84">
        <v>5</v>
      </c>
      <c r="C131" s="84" t="s">
        <v>1504</v>
      </c>
      <c r="D131" s="84">
        <v>0.378</v>
      </c>
      <c r="E131" s="84">
        <v>0.26400000000000001</v>
      </c>
      <c r="F131" s="84">
        <v>-0.113</v>
      </c>
      <c r="G131" s="84" t="s">
        <v>1371</v>
      </c>
      <c r="H131" s="84"/>
    </row>
    <row r="132" spans="1:8" x14ac:dyDescent="0.3">
      <c r="A132" s="84" t="s">
        <v>457</v>
      </c>
      <c r="B132" s="84">
        <v>6</v>
      </c>
      <c r="C132" s="84" t="s">
        <v>1505</v>
      </c>
      <c r="D132" s="84">
        <v>0.5</v>
      </c>
      <c r="E132" s="84">
        <v>0.35</v>
      </c>
      <c r="F132" s="84">
        <v>-0.15</v>
      </c>
      <c r="G132" s="84" t="s">
        <v>1371</v>
      </c>
      <c r="H132" s="84"/>
    </row>
    <row r="133" spans="1:8" x14ac:dyDescent="0.3">
      <c r="A133" s="84" t="s">
        <v>457</v>
      </c>
      <c r="B133" s="84">
        <v>7</v>
      </c>
      <c r="C133" s="84" t="s">
        <v>1506</v>
      </c>
      <c r="D133" s="84">
        <v>0.622</v>
      </c>
      <c r="E133" s="84">
        <v>0.436</v>
      </c>
      <c r="F133" s="84">
        <v>-0.187</v>
      </c>
      <c r="G133" s="84" t="s">
        <v>1371</v>
      </c>
      <c r="H133" s="84"/>
    </row>
    <row r="134" spans="1:8" x14ac:dyDescent="0.3">
      <c r="A134" s="84" t="s">
        <v>457</v>
      </c>
      <c r="B134" s="84">
        <v>8</v>
      </c>
      <c r="C134" s="84" t="s">
        <v>1507</v>
      </c>
      <c r="D134" s="84">
        <v>0.73099999999999998</v>
      </c>
      <c r="E134" s="84">
        <v>0.51200000000000001</v>
      </c>
      <c r="F134" s="84">
        <v>-0.219</v>
      </c>
      <c r="G134" s="84" t="s">
        <v>1371</v>
      </c>
      <c r="H134" s="84"/>
    </row>
    <row r="135" spans="1:8" x14ac:dyDescent="0.3">
      <c r="A135" s="84" t="s">
        <v>457</v>
      </c>
      <c r="B135" s="84">
        <v>9</v>
      </c>
      <c r="C135" s="84" t="s">
        <v>1508</v>
      </c>
      <c r="D135" s="84">
        <v>0.81799999999999995</v>
      </c>
      <c r="E135" s="84">
        <v>0.57199999999999995</v>
      </c>
      <c r="F135" s="84">
        <v>-0.245</v>
      </c>
      <c r="G135" s="84" t="s">
        <v>1371</v>
      </c>
      <c r="H135" s="84"/>
    </row>
    <row r="136" spans="1:8" x14ac:dyDescent="0.3">
      <c r="A136" s="84" t="s">
        <v>457</v>
      </c>
      <c r="B136" s="84">
        <v>10</v>
      </c>
      <c r="C136" s="84" t="s">
        <v>1509</v>
      </c>
      <c r="D136" s="84">
        <v>0.88100000000000001</v>
      </c>
      <c r="E136" s="84">
        <v>0.61699999999999999</v>
      </c>
      <c r="F136" s="84">
        <v>-0.26400000000000001</v>
      </c>
      <c r="G136" s="84" t="s">
        <v>1371</v>
      </c>
      <c r="H136" s="84"/>
    </row>
    <row r="137" spans="1:8" x14ac:dyDescent="0.3">
      <c r="A137" s="84" t="s">
        <v>457</v>
      </c>
      <c r="B137" s="84">
        <v>11</v>
      </c>
      <c r="C137" s="84" t="s">
        <v>1510</v>
      </c>
      <c r="D137" s="84">
        <v>0.92400000000000004</v>
      </c>
      <c r="E137" s="84">
        <v>0.64700000000000002</v>
      </c>
      <c r="F137" s="84">
        <v>-0.27700000000000002</v>
      </c>
      <c r="G137" s="84" t="s">
        <v>1371</v>
      </c>
      <c r="H137" s="84"/>
    </row>
    <row r="138" spans="1:8" x14ac:dyDescent="0.3">
      <c r="A138" s="84" t="s">
        <v>457</v>
      </c>
      <c r="B138" s="84">
        <v>12</v>
      </c>
      <c r="C138" s="84" t="s">
        <v>1511</v>
      </c>
      <c r="D138" s="84">
        <v>0.95299999999999996</v>
      </c>
      <c r="E138" s="84">
        <v>0.66700000000000004</v>
      </c>
      <c r="F138" s="84">
        <v>-0.28599999999999998</v>
      </c>
      <c r="G138" s="84" t="s">
        <v>1371</v>
      </c>
      <c r="H138" s="84"/>
    </row>
    <row r="139" spans="1:8" x14ac:dyDescent="0.3">
      <c r="A139" s="80" t="s">
        <v>463</v>
      </c>
      <c r="B139" s="80">
        <v>1</v>
      </c>
      <c r="C139" s="80" t="s">
        <v>1500</v>
      </c>
      <c r="D139" s="80">
        <v>7.5999999999999998E-2</v>
      </c>
      <c r="E139" s="80">
        <v>6.0000000000000001E-3</v>
      </c>
      <c r="F139" s="80">
        <v>-7.0000000000000007E-2</v>
      </c>
      <c r="G139" s="80" t="s">
        <v>1375</v>
      </c>
      <c r="H139" s="80" t="s">
        <v>1512</v>
      </c>
    </row>
    <row r="140" spans="1:8" x14ac:dyDescent="0.3">
      <c r="A140" s="80" t="s">
        <v>463</v>
      </c>
      <c r="B140" s="80">
        <v>2</v>
      </c>
      <c r="C140" s="80" t="s">
        <v>1501</v>
      </c>
      <c r="D140" s="80">
        <v>0.11899999999999999</v>
      </c>
      <c r="E140" s="80">
        <v>0.01</v>
      </c>
      <c r="F140" s="80">
        <v>-0.11</v>
      </c>
      <c r="G140" s="80" t="s">
        <v>1375</v>
      </c>
      <c r="H140" s="80" t="s">
        <v>1512</v>
      </c>
    </row>
    <row r="141" spans="1:8" x14ac:dyDescent="0.3">
      <c r="A141" s="80" t="s">
        <v>463</v>
      </c>
      <c r="B141" s="80">
        <v>3</v>
      </c>
      <c r="C141" s="80" t="s">
        <v>1502</v>
      </c>
      <c r="D141" s="80">
        <v>0.182</v>
      </c>
      <c r="E141" s="80">
        <v>1.4999999999999999E-2</v>
      </c>
      <c r="F141" s="80">
        <v>-0.16800000000000001</v>
      </c>
      <c r="G141" s="80" t="s">
        <v>1375</v>
      </c>
      <c r="H141" s="80" t="s">
        <v>1512</v>
      </c>
    </row>
    <row r="142" spans="1:8" x14ac:dyDescent="0.3">
      <c r="A142" s="80" t="s">
        <v>463</v>
      </c>
      <c r="B142" s="80">
        <v>4</v>
      </c>
      <c r="C142" s="80" t="s">
        <v>1503</v>
      </c>
      <c r="D142" s="80">
        <v>0.26900000000000002</v>
      </c>
      <c r="E142" s="80">
        <v>2.1999999999999999E-2</v>
      </c>
      <c r="F142" s="80">
        <v>-0.247</v>
      </c>
      <c r="G142" s="80" t="s">
        <v>1375</v>
      </c>
      <c r="H142" s="80" t="s">
        <v>1512</v>
      </c>
    </row>
    <row r="143" spans="1:8" x14ac:dyDescent="0.3">
      <c r="A143" s="80" t="s">
        <v>463</v>
      </c>
      <c r="B143" s="80">
        <v>5</v>
      </c>
      <c r="C143" s="80" t="s">
        <v>1504</v>
      </c>
      <c r="D143" s="80">
        <v>0.378</v>
      </c>
      <c r="E143" s="80">
        <v>0.03</v>
      </c>
      <c r="F143" s="80">
        <v>-0.34699999999999998</v>
      </c>
      <c r="G143" s="80" t="s">
        <v>1375</v>
      </c>
      <c r="H143" s="80" t="s">
        <v>1512</v>
      </c>
    </row>
    <row r="144" spans="1:8" x14ac:dyDescent="0.3">
      <c r="A144" s="80" t="s">
        <v>463</v>
      </c>
      <c r="B144" s="80">
        <v>6</v>
      </c>
      <c r="C144" s="80" t="s">
        <v>1505</v>
      </c>
      <c r="D144" s="80">
        <v>0.5</v>
      </c>
      <c r="E144" s="80">
        <v>0.04</v>
      </c>
      <c r="F144" s="80">
        <v>-0.46</v>
      </c>
      <c r="G144" s="80" t="s">
        <v>1375</v>
      </c>
      <c r="H144" s="80" t="s">
        <v>1512</v>
      </c>
    </row>
    <row r="145" spans="1:8" x14ac:dyDescent="0.3">
      <c r="A145" s="80" t="s">
        <v>463</v>
      </c>
      <c r="B145" s="80">
        <v>7</v>
      </c>
      <c r="C145" s="80" t="s">
        <v>1506</v>
      </c>
      <c r="D145" s="80">
        <v>0.622</v>
      </c>
      <c r="E145" s="80">
        <v>0.05</v>
      </c>
      <c r="F145" s="80">
        <v>-0.57299999999999995</v>
      </c>
      <c r="G145" s="80" t="s">
        <v>1375</v>
      </c>
      <c r="H145" s="80" t="s">
        <v>1512</v>
      </c>
    </row>
    <row r="146" spans="1:8" x14ac:dyDescent="0.3">
      <c r="A146" s="80" t="s">
        <v>463</v>
      </c>
      <c r="B146" s="80">
        <v>8</v>
      </c>
      <c r="C146" s="80" t="s">
        <v>1507</v>
      </c>
      <c r="D146" s="80">
        <v>0.73099999999999998</v>
      </c>
      <c r="E146" s="80">
        <v>5.8000000000000003E-2</v>
      </c>
      <c r="F146" s="80">
        <v>-0.67300000000000004</v>
      </c>
      <c r="G146" s="80" t="s">
        <v>1375</v>
      </c>
      <c r="H146" s="80" t="s">
        <v>1512</v>
      </c>
    </row>
    <row r="147" spans="1:8" x14ac:dyDescent="0.3">
      <c r="A147" s="80" t="s">
        <v>463</v>
      </c>
      <c r="B147" s="80">
        <v>9</v>
      </c>
      <c r="C147" s="80" t="s">
        <v>1508</v>
      </c>
      <c r="D147" s="80">
        <v>0.81799999999999995</v>
      </c>
      <c r="E147" s="80">
        <v>6.5000000000000002E-2</v>
      </c>
      <c r="F147" s="80">
        <v>-0.752</v>
      </c>
      <c r="G147" s="80" t="s">
        <v>1375</v>
      </c>
      <c r="H147" s="80" t="s">
        <v>1512</v>
      </c>
    </row>
    <row r="148" spans="1:8" x14ac:dyDescent="0.3">
      <c r="A148" s="80" t="s">
        <v>463</v>
      </c>
      <c r="B148" s="80">
        <v>10</v>
      </c>
      <c r="C148" s="80" t="s">
        <v>1509</v>
      </c>
      <c r="D148" s="80">
        <v>0.88100000000000001</v>
      </c>
      <c r="E148" s="80">
        <v>7.0000000000000007E-2</v>
      </c>
      <c r="F148" s="80">
        <v>-0.81</v>
      </c>
      <c r="G148" s="80" t="s">
        <v>1375</v>
      </c>
      <c r="H148" s="80" t="s">
        <v>1512</v>
      </c>
    </row>
    <row r="149" spans="1:8" x14ac:dyDescent="0.3">
      <c r="A149" s="80" t="s">
        <v>463</v>
      </c>
      <c r="B149" s="80">
        <v>11</v>
      </c>
      <c r="C149" s="80" t="s">
        <v>1510</v>
      </c>
      <c r="D149" s="80">
        <v>0.92400000000000004</v>
      </c>
      <c r="E149" s="80">
        <v>7.3999999999999996E-2</v>
      </c>
      <c r="F149" s="80">
        <v>-0.85</v>
      </c>
      <c r="G149" s="80" t="s">
        <v>1375</v>
      </c>
      <c r="H149" s="80" t="s">
        <v>1512</v>
      </c>
    </row>
    <row r="150" spans="1:8" x14ac:dyDescent="0.3">
      <c r="A150" s="80" t="s">
        <v>463</v>
      </c>
      <c r="B150" s="80">
        <v>12</v>
      </c>
      <c r="C150" s="80" t="s">
        <v>1511</v>
      </c>
      <c r="D150" s="80">
        <v>0.95299999999999996</v>
      </c>
      <c r="E150" s="80">
        <v>7.5999999999999998E-2</v>
      </c>
      <c r="F150" s="80">
        <v>-0.876</v>
      </c>
      <c r="G150" s="80" t="s">
        <v>1375</v>
      </c>
      <c r="H150" s="80" t="s">
        <v>1512</v>
      </c>
    </row>
    <row r="151" spans="1:8" x14ac:dyDescent="0.3">
      <c r="A151" t="s">
        <v>470</v>
      </c>
      <c r="B151">
        <v>1</v>
      </c>
      <c r="C151" t="s">
        <v>1500</v>
      </c>
      <c r="D151">
        <v>7.5999999999999998E-2</v>
      </c>
      <c r="E151">
        <v>7.5999999999999998E-2</v>
      </c>
      <c r="F151">
        <v>0</v>
      </c>
      <c r="G151" t="s">
        <v>1378</v>
      </c>
    </row>
    <row r="152" spans="1:8" x14ac:dyDescent="0.3">
      <c r="A152" t="s">
        <v>470</v>
      </c>
      <c r="B152">
        <v>2</v>
      </c>
      <c r="C152" t="s">
        <v>1501</v>
      </c>
      <c r="D152">
        <v>0.11899999999999999</v>
      </c>
      <c r="E152">
        <v>0.11899999999999999</v>
      </c>
      <c r="F152">
        <v>0</v>
      </c>
      <c r="G152" t="s">
        <v>1378</v>
      </c>
    </row>
    <row r="153" spans="1:8" x14ac:dyDescent="0.3">
      <c r="A153" t="s">
        <v>470</v>
      </c>
      <c r="B153">
        <v>3</v>
      </c>
      <c r="C153" t="s">
        <v>1502</v>
      </c>
      <c r="D153">
        <v>0.182</v>
      </c>
      <c r="E153">
        <v>0.182</v>
      </c>
      <c r="F153">
        <v>0</v>
      </c>
      <c r="G153" t="s">
        <v>1378</v>
      </c>
    </row>
    <row r="154" spans="1:8" x14ac:dyDescent="0.3">
      <c r="A154" t="s">
        <v>470</v>
      </c>
      <c r="B154">
        <v>4</v>
      </c>
      <c r="C154" t="s">
        <v>1503</v>
      </c>
      <c r="D154">
        <v>0.26900000000000002</v>
      </c>
      <c r="E154">
        <v>0.26900000000000002</v>
      </c>
      <c r="F154">
        <v>0</v>
      </c>
      <c r="G154" t="s">
        <v>1378</v>
      </c>
    </row>
    <row r="155" spans="1:8" x14ac:dyDescent="0.3">
      <c r="A155" t="s">
        <v>470</v>
      </c>
      <c r="B155">
        <v>5</v>
      </c>
      <c r="C155" t="s">
        <v>1504</v>
      </c>
      <c r="D155">
        <v>0.378</v>
      </c>
      <c r="E155">
        <v>0.378</v>
      </c>
      <c r="F155">
        <v>0</v>
      </c>
      <c r="G155" t="s">
        <v>1378</v>
      </c>
    </row>
    <row r="156" spans="1:8" x14ac:dyDescent="0.3">
      <c r="A156" t="s">
        <v>470</v>
      </c>
      <c r="B156">
        <v>6</v>
      </c>
      <c r="C156" t="s">
        <v>1505</v>
      </c>
      <c r="D156">
        <v>0.5</v>
      </c>
      <c r="E156">
        <v>0.5</v>
      </c>
      <c r="F156">
        <v>0</v>
      </c>
      <c r="G156" t="s">
        <v>1378</v>
      </c>
    </row>
    <row r="157" spans="1:8" x14ac:dyDescent="0.3">
      <c r="A157" t="s">
        <v>470</v>
      </c>
      <c r="B157">
        <v>7</v>
      </c>
      <c r="C157" t="s">
        <v>1506</v>
      </c>
      <c r="D157">
        <v>0.622</v>
      </c>
      <c r="E157">
        <v>0.622</v>
      </c>
      <c r="F157">
        <v>0</v>
      </c>
      <c r="G157" t="s">
        <v>1378</v>
      </c>
    </row>
    <row r="158" spans="1:8" x14ac:dyDescent="0.3">
      <c r="A158" t="s">
        <v>470</v>
      </c>
      <c r="B158">
        <v>8</v>
      </c>
      <c r="C158" t="s">
        <v>1507</v>
      </c>
      <c r="D158">
        <v>0.73099999999999998</v>
      </c>
      <c r="E158">
        <v>0.73099999999999998</v>
      </c>
      <c r="F158">
        <v>0</v>
      </c>
      <c r="G158" t="s">
        <v>1378</v>
      </c>
    </row>
    <row r="159" spans="1:8" x14ac:dyDescent="0.3">
      <c r="A159" t="s">
        <v>470</v>
      </c>
      <c r="B159">
        <v>9</v>
      </c>
      <c r="C159" t="s">
        <v>1508</v>
      </c>
      <c r="D159">
        <v>0.81799999999999995</v>
      </c>
      <c r="E159">
        <v>0.81799999999999995</v>
      </c>
      <c r="F159">
        <v>0</v>
      </c>
      <c r="G159" t="s">
        <v>1378</v>
      </c>
    </row>
    <row r="160" spans="1:8" x14ac:dyDescent="0.3">
      <c r="A160" t="s">
        <v>470</v>
      </c>
      <c r="B160">
        <v>10</v>
      </c>
      <c r="C160" t="s">
        <v>1509</v>
      </c>
      <c r="D160">
        <v>0.88100000000000001</v>
      </c>
      <c r="E160">
        <v>0.88100000000000001</v>
      </c>
      <c r="F160">
        <v>0</v>
      </c>
      <c r="G160" t="s">
        <v>1378</v>
      </c>
    </row>
    <row r="161" spans="1:8" x14ac:dyDescent="0.3">
      <c r="A161" t="s">
        <v>470</v>
      </c>
      <c r="B161">
        <v>11</v>
      </c>
      <c r="C161" t="s">
        <v>1510</v>
      </c>
      <c r="D161">
        <v>0.92400000000000004</v>
      </c>
      <c r="E161">
        <v>0.92400000000000004</v>
      </c>
      <c r="F161">
        <v>0</v>
      </c>
      <c r="G161" t="s">
        <v>1378</v>
      </c>
    </row>
    <row r="162" spans="1:8" x14ac:dyDescent="0.3">
      <c r="A162" t="s">
        <v>470</v>
      </c>
      <c r="B162">
        <v>12</v>
      </c>
      <c r="C162" t="s">
        <v>1511</v>
      </c>
      <c r="D162">
        <v>0.95299999999999996</v>
      </c>
      <c r="E162">
        <v>0.95299999999999996</v>
      </c>
      <c r="F162">
        <v>0</v>
      </c>
      <c r="G162" t="s">
        <v>1378</v>
      </c>
    </row>
    <row r="163" spans="1:8" x14ac:dyDescent="0.3">
      <c r="A163" s="84" t="s">
        <v>474</v>
      </c>
      <c r="B163" s="84">
        <v>1</v>
      </c>
      <c r="C163" s="84" t="s">
        <v>1500</v>
      </c>
      <c r="D163" s="84">
        <v>7.5999999999999998E-2</v>
      </c>
      <c r="E163" s="84">
        <v>5.2999999999999999E-2</v>
      </c>
      <c r="F163" s="84">
        <v>-2.3E-2</v>
      </c>
      <c r="G163" s="84" t="s">
        <v>1371</v>
      </c>
      <c r="H163" s="84"/>
    </row>
    <row r="164" spans="1:8" x14ac:dyDescent="0.3">
      <c r="A164" s="84" t="s">
        <v>474</v>
      </c>
      <c r="B164" s="84">
        <v>2</v>
      </c>
      <c r="C164" s="84" t="s">
        <v>1501</v>
      </c>
      <c r="D164" s="84">
        <v>0.11899999999999999</v>
      </c>
      <c r="E164" s="84">
        <v>8.3000000000000004E-2</v>
      </c>
      <c r="F164" s="84">
        <v>-3.5999999999999997E-2</v>
      </c>
      <c r="G164" s="84" t="s">
        <v>1371</v>
      </c>
      <c r="H164" s="84"/>
    </row>
    <row r="165" spans="1:8" x14ac:dyDescent="0.3">
      <c r="A165" s="84" t="s">
        <v>474</v>
      </c>
      <c r="B165" s="84">
        <v>3</v>
      </c>
      <c r="C165" s="84" t="s">
        <v>1502</v>
      </c>
      <c r="D165" s="84">
        <v>0.182</v>
      </c>
      <c r="E165" s="84">
        <v>0.128</v>
      </c>
      <c r="F165" s="84">
        <v>-5.5E-2</v>
      </c>
      <c r="G165" s="84" t="s">
        <v>1371</v>
      </c>
      <c r="H165" s="84"/>
    </row>
    <row r="166" spans="1:8" x14ac:dyDescent="0.3">
      <c r="A166" s="84" t="s">
        <v>474</v>
      </c>
      <c r="B166" s="84">
        <v>4</v>
      </c>
      <c r="C166" s="84" t="s">
        <v>1503</v>
      </c>
      <c r="D166" s="84">
        <v>0.26900000000000002</v>
      </c>
      <c r="E166" s="84">
        <v>0.188</v>
      </c>
      <c r="F166" s="84">
        <v>-8.1000000000000003E-2</v>
      </c>
      <c r="G166" s="84" t="s">
        <v>1371</v>
      </c>
      <c r="H166" s="84"/>
    </row>
    <row r="167" spans="1:8" x14ac:dyDescent="0.3">
      <c r="A167" s="84" t="s">
        <v>474</v>
      </c>
      <c r="B167" s="84">
        <v>5</v>
      </c>
      <c r="C167" s="84" t="s">
        <v>1504</v>
      </c>
      <c r="D167" s="84">
        <v>0.378</v>
      </c>
      <c r="E167" s="84">
        <v>0.26400000000000001</v>
      </c>
      <c r="F167" s="84">
        <v>-0.113</v>
      </c>
      <c r="G167" s="84" t="s">
        <v>1371</v>
      </c>
      <c r="H167" s="84"/>
    </row>
    <row r="168" spans="1:8" x14ac:dyDescent="0.3">
      <c r="A168" s="84" t="s">
        <v>474</v>
      </c>
      <c r="B168" s="84">
        <v>6</v>
      </c>
      <c r="C168" s="84" t="s">
        <v>1505</v>
      </c>
      <c r="D168" s="84">
        <v>0.5</v>
      </c>
      <c r="E168" s="84">
        <v>0.35</v>
      </c>
      <c r="F168" s="84">
        <v>-0.15</v>
      </c>
      <c r="G168" s="84" t="s">
        <v>1371</v>
      </c>
      <c r="H168" s="84"/>
    </row>
    <row r="169" spans="1:8" x14ac:dyDescent="0.3">
      <c r="A169" s="84" t="s">
        <v>474</v>
      </c>
      <c r="B169" s="84">
        <v>7</v>
      </c>
      <c r="C169" s="84" t="s">
        <v>1506</v>
      </c>
      <c r="D169" s="84">
        <v>0.622</v>
      </c>
      <c r="E169" s="84">
        <v>0.436</v>
      </c>
      <c r="F169" s="84">
        <v>-0.187</v>
      </c>
      <c r="G169" s="84" t="s">
        <v>1371</v>
      </c>
      <c r="H169" s="84"/>
    </row>
    <row r="170" spans="1:8" x14ac:dyDescent="0.3">
      <c r="A170" s="84" t="s">
        <v>474</v>
      </c>
      <c r="B170" s="84">
        <v>8</v>
      </c>
      <c r="C170" s="84" t="s">
        <v>1507</v>
      </c>
      <c r="D170" s="84">
        <v>0.73099999999999998</v>
      </c>
      <c r="E170" s="84">
        <v>0.51200000000000001</v>
      </c>
      <c r="F170" s="84">
        <v>-0.219</v>
      </c>
      <c r="G170" s="84" t="s">
        <v>1371</v>
      </c>
      <c r="H170" s="84"/>
    </row>
    <row r="171" spans="1:8" x14ac:dyDescent="0.3">
      <c r="A171" s="84" t="s">
        <v>474</v>
      </c>
      <c r="B171" s="84">
        <v>9</v>
      </c>
      <c r="C171" s="84" t="s">
        <v>1508</v>
      </c>
      <c r="D171" s="84">
        <v>0.81799999999999995</v>
      </c>
      <c r="E171" s="84">
        <v>0.57199999999999995</v>
      </c>
      <c r="F171" s="84">
        <v>-0.245</v>
      </c>
      <c r="G171" s="84" t="s">
        <v>1371</v>
      </c>
      <c r="H171" s="84"/>
    </row>
    <row r="172" spans="1:8" x14ac:dyDescent="0.3">
      <c r="A172" s="84" t="s">
        <v>474</v>
      </c>
      <c r="B172" s="84">
        <v>10</v>
      </c>
      <c r="C172" s="84" t="s">
        <v>1509</v>
      </c>
      <c r="D172" s="84">
        <v>0.88100000000000001</v>
      </c>
      <c r="E172" s="84">
        <v>0.61699999999999999</v>
      </c>
      <c r="F172" s="84">
        <v>-0.26400000000000001</v>
      </c>
      <c r="G172" s="84" t="s">
        <v>1371</v>
      </c>
      <c r="H172" s="84"/>
    </row>
    <row r="173" spans="1:8" x14ac:dyDescent="0.3">
      <c r="A173" s="84" t="s">
        <v>474</v>
      </c>
      <c r="B173" s="84">
        <v>11</v>
      </c>
      <c r="C173" s="84" t="s">
        <v>1510</v>
      </c>
      <c r="D173" s="84">
        <v>0.92400000000000004</v>
      </c>
      <c r="E173" s="84">
        <v>0.64700000000000002</v>
      </c>
      <c r="F173" s="84">
        <v>-0.27700000000000002</v>
      </c>
      <c r="G173" s="84" t="s">
        <v>1371</v>
      </c>
      <c r="H173" s="84"/>
    </row>
    <row r="174" spans="1:8" x14ac:dyDescent="0.3">
      <c r="A174" s="84" t="s">
        <v>474</v>
      </c>
      <c r="B174" s="84">
        <v>12</v>
      </c>
      <c r="C174" s="84" t="s">
        <v>1511</v>
      </c>
      <c r="D174" s="84">
        <v>0.95299999999999996</v>
      </c>
      <c r="E174" s="84">
        <v>0.66700000000000004</v>
      </c>
      <c r="F174" s="84">
        <v>-0.28599999999999998</v>
      </c>
      <c r="G174" s="84" t="s">
        <v>1371</v>
      </c>
      <c r="H174" s="84"/>
    </row>
    <row r="175" spans="1:8" x14ac:dyDescent="0.3">
      <c r="A175" t="s">
        <v>478</v>
      </c>
      <c r="B175">
        <v>1</v>
      </c>
      <c r="C175" t="s">
        <v>1500</v>
      </c>
      <c r="D175">
        <v>7.5999999999999998E-2</v>
      </c>
      <c r="E175">
        <v>7.5999999999999998E-2</v>
      </c>
      <c r="F175">
        <v>0</v>
      </c>
      <c r="G175" t="s">
        <v>1378</v>
      </c>
    </row>
    <row r="176" spans="1:8" x14ac:dyDescent="0.3">
      <c r="A176" t="s">
        <v>478</v>
      </c>
      <c r="B176">
        <v>2</v>
      </c>
      <c r="C176" t="s">
        <v>1501</v>
      </c>
      <c r="D176">
        <v>0.11899999999999999</v>
      </c>
      <c r="E176">
        <v>0.11899999999999999</v>
      </c>
      <c r="F176">
        <v>0</v>
      </c>
      <c r="G176" t="s">
        <v>1378</v>
      </c>
    </row>
    <row r="177" spans="1:8" x14ac:dyDescent="0.3">
      <c r="A177" t="s">
        <v>478</v>
      </c>
      <c r="B177">
        <v>3</v>
      </c>
      <c r="C177" t="s">
        <v>1502</v>
      </c>
      <c r="D177">
        <v>0.182</v>
      </c>
      <c r="E177">
        <v>0.182</v>
      </c>
      <c r="F177">
        <v>0</v>
      </c>
      <c r="G177" t="s">
        <v>1378</v>
      </c>
    </row>
    <row r="178" spans="1:8" x14ac:dyDescent="0.3">
      <c r="A178" t="s">
        <v>478</v>
      </c>
      <c r="B178">
        <v>4</v>
      </c>
      <c r="C178" t="s">
        <v>1503</v>
      </c>
      <c r="D178">
        <v>0.26900000000000002</v>
      </c>
      <c r="E178">
        <v>0.26900000000000002</v>
      </c>
      <c r="F178">
        <v>0</v>
      </c>
      <c r="G178" t="s">
        <v>1378</v>
      </c>
    </row>
    <row r="179" spans="1:8" x14ac:dyDescent="0.3">
      <c r="A179" t="s">
        <v>478</v>
      </c>
      <c r="B179">
        <v>5</v>
      </c>
      <c r="C179" t="s">
        <v>1504</v>
      </c>
      <c r="D179">
        <v>0.378</v>
      </c>
      <c r="E179">
        <v>0.378</v>
      </c>
      <c r="F179">
        <v>0</v>
      </c>
      <c r="G179" t="s">
        <v>1378</v>
      </c>
    </row>
    <row r="180" spans="1:8" x14ac:dyDescent="0.3">
      <c r="A180" t="s">
        <v>478</v>
      </c>
      <c r="B180">
        <v>6</v>
      </c>
      <c r="C180" t="s">
        <v>1505</v>
      </c>
      <c r="D180">
        <v>0.5</v>
      </c>
      <c r="E180">
        <v>0.5</v>
      </c>
      <c r="F180">
        <v>0</v>
      </c>
      <c r="G180" t="s">
        <v>1378</v>
      </c>
    </row>
    <row r="181" spans="1:8" x14ac:dyDescent="0.3">
      <c r="A181" t="s">
        <v>478</v>
      </c>
      <c r="B181">
        <v>7</v>
      </c>
      <c r="C181" t="s">
        <v>1506</v>
      </c>
      <c r="D181">
        <v>0.622</v>
      </c>
      <c r="E181">
        <v>0.622</v>
      </c>
      <c r="F181">
        <v>0</v>
      </c>
      <c r="G181" t="s">
        <v>1378</v>
      </c>
    </row>
    <row r="182" spans="1:8" x14ac:dyDescent="0.3">
      <c r="A182" t="s">
        <v>478</v>
      </c>
      <c r="B182">
        <v>8</v>
      </c>
      <c r="C182" t="s">
        <v>1507</v>
      </c>
      <c r="D182">
        <v>0.73099999999999998</v>
      </c>
      <c r="E182">
        <v>0.73099999999999998</v>
      </c>
      <c r="F182">
        <v>0</v>
      </c>
      <c r="G182" t="s">
        <v>1378</v>
      </c>
    </row>
    <row r="183" spans="1:8" x14ac:dyDescent="0.3">
      <c r="A183" t="s">
        <v>478</v>
      </c>
      <c r="B183">
        <v>9</v>
      </c>
      <c r="C183" t="s">
        <v>1508</v>
      </c>
      <c r="D183">
        <v>0.81799999999999995</v>
      </c>
      <c r="E183">
        <v>0.81799999999999995</v>
      </c>
      <c r="F183">
        <v>0</v>
      </c>
      <c r="G183" t="s">
        <v>1378</v>
      </c>
    </row>
    <row r="184" spans="1:8" x14ac:dyDescent="0.3">
      <c r="A184" t="s">
        <v>478</v>
      </c>
      <c r="B184">
        <v>10</v>
      </c>
      <c r="C184" t="s">
        <v>1509</v>
      </c>
      <c r="D184">
        <v>0.88100000000000001</v>
      </c>
      <c r="E184">
        <v>0.88100000000000001</v>
      </c>
      <c r="F184">
        <v>0</v>
      </c>
      <c r="G184" t="s">
        <v>1378</v>
      </c>
    </row>
    <row r="185" spans="1:8" x14ac:dyDescent="0.3">
      <c r="A185" t="s">
        <v>478</v>
      </c>
      <c r="B185">
        <v>11</v>
      </c>
      <c r="C185" t="s">
        <v>1510</v>
      </c>
      <c r="D185">
        <v>0.92400000000000004</v>
      </c>
      <c r="E185">
        <v>0.92400000000000004</v>
      </c>
      <c r="F185">
        <v>0</v>
      </c>
      <c r="G185" t="s">
        <v>1378</v>
      </c>
    </row>
    <row r="186" spans="1:8" x14ac:dyDescent="0.3">
      <c r="A186" t="s">
        <v>478</v>
      </c>
      <c r="B186">
        <v>12</v>
      </c>
      <c r="C186" t="s">
        <v>1511</v>
      </c>
      <c r="D186">
        <v>0.95299999999999996</v>
      </c>
      <c r="E186">
        <v>0.95299999999999996</v>
      </c>
      <c r="F186">
        <v>0</v>
      </c>
      <c r="G186" t="s">
        <v>1378</v>
      </c>
    </row>
    <row r="187" spans="1:8" x14ac:dyDescent="0.3">
      <c r="A187" s="84" t="s">
        <v>482</v>
      </c>
      <c r="B187" s="84">
        <v>1</v>
      </c>
      <c r="C187" s="84" t="s">
        <v>1500</v>
      </c>
      <c r="D187" s="84">
        <v>7.5999999999999998E-2</v>
      </c>
      <c r="E187" s="84">
        <v>6.0999999999999999E-2</v>
      </c>
      <c r="F187" s="84">
        <v>-1.4999999999999999E-2</v>
      </c>
      <c r="G187" s="84" t="s">
        <v>1371</v>
      </c>
      <c r="H187" s="84"/>
    </row>
    <row r="188" spans="1:8" x14ac:dyDescent="0.3">
      <c r="A188" s="84" t="s">
        <v>482</v>
      </c>
      <c r="B188" s="84">
        <v>2</v>
      </c>
      <c r="C188" s="84" t="s">
        <v>1501</v>
      </c>
      <c r="D188" s="84">
        <v>0.11899999999999999</v>
      </c>
      <c r="E188" s="84">
        <v>9.5000000000000001E-2</v>
      </c>
      <c r="F188" s="84">
        <v>-2.4E-2</v>
      </c>
      <c r="G188" s="84" t="s">
        <v>1371</v>
      </c>
      <c r="H188" s="84"/>
    </row>
    <row r="189" spans="1:8" x14ac:dyDescent="0.3">
      <c r="A189" s="84" t="s">
        <v>482</v>
      </c>
      <c r="B189" s="84">
        <v>3</v>
      </c>
      <c r="C189" s="84" t="s">
        <v>1502</v>
      </c>
      <c r="D189" s="84">
        <v>0.182</v>
      </c>
      <c r="E189" s="84">
        <v>0.14599999999999999</v>
      </c>
      <c r="F189" s="84">
        <v>-3.5999999999999997E-2</v>
      </c>
      <c r="G189" s="84" t="s">
        <v>1371</v>
      </c>
      <c r="H189" s="84"/>
    </row>
    <row r="190" spans="1:8" x14ac:dyDescent="0.3">
      <c r="A190" s="84" t="s">
        <v>482</v>
      </c>
      <c r="B190" s="84">
        <v>4</v>
      </c>
      <c r="C190" s="84" t="s">
        <v>1503</v>
      </c>
      <c r="D190" s="84">
        <v>0.26900000000000002</v>
      </c>
      <c r="E190" s="84">
        <v>0.215</v>
      </c>
      <c r="F190" s="84">
        <v>-5.3999999999999999E-2</v>
      </c>
      <c r="G190" s="84" t="s">
        <v>1371</v>
      </c>
      <c r="H190" s="84"/>
    </row>
    <row r="191" spans="1:8" x14ac:dyDescent="0.3">
      <c r="A191" s="84" t="s">
        <v>482</v>
      </c>
      <c r="B191" s="84">
        <v>5</v>
      </c>
      <c r="C191" s="84" t="s">
        <v>1504</v>
      </c>
      <c r="D191" s="84">
        <v>0.378</v>
      </c>
      <c r="E191" s="84">
        <v>0.30199999999999999</v>
      </c>
      <c r="F191" s="84">
        <v>-7.5999999999999998E-2</v>
      </c>
      <c r="G191" s="84" t="s">
        <v>1371</v>
      </c>
      <c r="H191" s="84"/>
    </row>
    <row r="192" spans="1:8" x14ac:dyDescent="0.3">
      <c r="A192" s="84" t="s">
        <v>482</v>
      </c>
      <c r="B192" s="84">
        <v>6</v>
      </c>
      <c r="C192" s="84" t="s">
        <v>1505</v>
      </c>
      <c r="D192" s="84">
        <v>0.5</v>
      </c>
      <c r="E192" s="84">
        <v>0.4</v>
      </c>
      <c r="F192" s="84">
        <v>-0.1</v>
      </c>
      <c r="G192" s="84" t="s">
        <v>1371</v>
      </c>
      <c r="H192" s="84"/>
    </row>
    <row r="193" spans="1:8" x14ac:dyDescent="0.3">
      <c r="A193" s="84" t="s">
        <v>482</v>
      </c>
      <c r="B193" s="84">
        <v>7</v>
      </c>
      <c r="C193" s="84" t="s">
        <v>1506</v>
      </c>
      <c r="D193" s="84">
        <v>0.622</v>
      </c>
      <c r="E193" s="84">
        <v>0.498</v>
      </c>
      <c r="F193" s="84">
        <v>-0.124</v>
      </c>
      <c r="G193" s="84" t="s">
        <v>1371</v>
      </c>
      <c r="H193" s="84"/>
    </row>
    <row r="194" spans="1:8" x14ac:dyDescent="0.3">
      <c r="A194" s="84" t="s">
        <v>482</v>
      </c>
      <c r="B194" s="84">
        <v>8</v>
      </c>
      <c r="C194" s="84" t="s">
        <v>1507</v>
      </c>
      <c r="D194" s="84">
        <v>0.73099999999999998</v>
      </c>
      <c r="E194" s="84">
        <v>0.58499999999999996</v>
      </c>
      <c r="F194" s="84">
        <v>-0.14599999999999999</v>
      </c>
      <c r="G194" s="84" t="s">
        <v>1371</v>
      </c>
      <c r="H194" s="84"/>
    </row>
    <row r="195" spans="1:8" x14ac:dyDescent="0.3">
      <c r="A195" s="84" t="s">
        <v>482</v>
      </c>
      <c r="B195" s="84">
        <v>9</v>
      </c>
      <c r="C195" s="84" t="s">
        <v>1508</v>
      </c>
      <c r="D195" s="84">
        <v>0.81799999999999995</v>
      </c>
      <c r="E195" s="84">
        <v>0.65400000000000003</v>
      </c>
      <c r="F195" s="84">
        <v>-0.16400000000000001</v>
      </c>
      <c r="G195" s="84" t="s">
        <v>1371</v>
      </c>
      <c r="H195" s="84"/>
    </row>
    <row r="196" spans="1:8" x14ac:dyDescent="0.3">
      <c r="A196" s="84" t="s">
        <v>482</v>
      </c>
      <c r="B196" s="84">
        <v>10</v>
      </c>
      <c r="C196" s="84" t="s">
        <v>1509</v>
      </c>
      <c r="D196" s="84">
        <v>0.88100000000000001</v>
      </c>
      <c r="E196" s="84">
        <v>0.70499999999999996</v>
      </c>
      <c r="F196" s="84">
        <v>-0.17599999999999999</v>
      </c>
      <c r="G196" s="84" t="s">
        <v>1371</v>
      </c>
      <c r="H196" s="84"/>
    </row>
    <row r="197" spans="1:8" x14ac:dyDescent="0.3">
      <c r="A197" s="84" t="s">
        <v>482</v>
      </c>
      <c r="B197" s="84">
        <v>11</v>
      </c>
      <c r="C197" s="84" t="s">
        <v>1510</v>
      </c>
      <c r="D197" s="84">
        <v>0.92400000000000004</v>
      </c>
      <c r="E197" s="84">
        <v>0.73899999999999999</v>
      </c>
      <c r="F197" s="84">
        <v>-0.185</v>
      </c>
      <c r="G197" s="84" t="s">
        <v>1371</v>
      </c>
      <c r="H197" s="84"/>
    </row>
    <row r="198" spans="1:8" x14ac:dyDescent="0.3">
      <c r="A198" s="84" t="s">
        <v>482</v>
      </c>
      <c r="B198" s="84">
        <v>12</v>
      </c>
      <c r="C198" s="84" t="s">
        <v>1511</v>
      </c>
      <c r="D198" s="84">
        <v>0.95299999999999996</v>
      </c>
      <c r="E198" s="84">
        <v>0.76200000000000001</v>
      </c>
      <c r="F198" s="84">
        <v>-0.191</v>
      </c>
      <c r="G198" s="84" t="s">
        <v>1371</v>
      </c>
      <c r="H198" s="84"/>
    </row>
    <row r="199" spans="1:8" x14ac:dyDescent="0.3">
      <c r="A199" t="s">
        <v>488</v>
      </c>
      <c r="B199">
        <v>1</v>
      </c>
      <c r="C199" t="s">
        <v>1500</v>
      </c>
      <c r="D199">
        <v>7.5999999999999998E-2</v>
      </c>
      <c r="E199">
        <v>6.8000000000000005E-2</v>
      </c>
      <c r="F199">
        <v>-8.0000000000000002E-3</v>
      </c>
      <c r="G199" t="s">
        <v>1378</v>
      </c>
    </row>
    <row r="200" spans="1:8" x14ac:dyDescent="0.3">
      <c r="A200" t="s">
        <v>488</v>
      </c>
      <c r="B200">
        <v>2</v>
      </c>
      <c r="C200" t="s">
        <v>1501</v>
      </c>
      <c r="D200">
        <v>0.11899999999999999</v>
      </c>
      <c r="E200">
        <v>0.107</v>
      </c>
      <c r="F200">
        <v>-1.2E-2</v>
      </c>
      <c r="G200" t="s">
        <v>1378</v>
      </c>
    </row>
    <row r="201" spans="1:8" x14ac:dyDescent="0.3">
      <c r="A201" t="s">
        <v>488</v>
      </c>
      <c r="B201">
        <v>3</v>
      </c>
      <c r="C201" t="s">
        <v>1502</v>
      </c>
      <c r="D201">
        <v>0.182</v>
      </c>
      <c r="E201">
        <v>0.16400000000000001</v>
      </c>
      <c r="F201">
        <v>-1.7999999999999999E-2</v>
      </c>
      <c r="G201" t="s">
        <v>1378</v>
      </c>
    </row>
    <row r="202" spans="1:8" x14ac:dyDescent="0.3">
      <c r="A202" t="s">
        <v>488</v>
      </c>
      <c r="B202">
        <v>4</v>
      </c>
      <c r="C202" t="s">
        <v>1503</v>
      </c>
      <c r="D202">
        <v>0.26900000000000002</v>
      </c>
      <c r="E202">
        <v>0.24199999999999999</v>
      </c>
      <c r="F202">
        <v>-2.7E-2</v>
      </c>
      <c r="G202" t="s">
        <v>1378</v>
      </c>
    </row>
    <row r="203" spans="1:8" x14ac:dyDescent="0.3">
      <c r="A203" t="s">
        <v>488</v>
      </c>
      <c r="B203">
        <v>5</v>
      </c>
      <c r="C203" t="s">
        <v>1504</v>
      </c>
      <c r="D203">
        <v>0.378</v>
      </c>
      <c r="E203">
        <v>0.34</v>
      </c>
      <c r="F203">
        <v>-3.7999999999999999E-2</v>
      </c>
      <c r="G203" t="s">
        <v>1378</v>
      </c>
    </row>
    <row r="204" spans="1:8" x14ac:dyDescent="0.3">
      <c r="A204" t="s">
        <v>488</v>
      </c>
      <c r="B204">
        <v>6</v>
      </c>
      <c r="C204" t="s">
        <v>1505</v>
      </c>
      <c r="D204">
        <v>0.5</v>
      </c>
      <c r="E204">
        <v>0.45</v>
      </c>
      <c r="F204">
        <v>-0.05</v>
      </c>
      <c r="G204" t="s">
        <v>1378</v>
      </c>
    </row>
    <row r="205" spans="1:8" x14ac:dyDescent="0.3">
      <c r="A205" t="s">
        <v>488</v>
      </c>
      <c r="B205">
        <v>7</v>
      </c>
      <c r="C205" t="s">
        <v>1506</v>
      </c>
      <c r="D205">
        <v>0.622</v>
      </c>
      <c r="E205">
        <v>0.56000000000000005</v>
      </c>
      <c r="F205">
        <v>-6.2E-2</v>
      </c>
      <c r="G205" t="s">
        <v>1378</v>
      </c>
    </row>
    <row r="206" spans="1:8" x14ac:dyDescent="0.3">
      <c r="A206" t="s">
        <v>488</v>
      </c>
      <c r="B206">
        <v>8</v>
      </c>
      <c r="C206" t="s">
        <v>1507</v>
      </c>
      <c r="D206">
        <v>0.73099999999999998</v>
      </c>
      <c r="E206">
        <v>0.65800000000000003</v>
      </c>
      <c r="F206">
        <v>-7.2999999999999995E-2</v>
      </c>
      <c r="G206" t="s">
        <v>1378</v>
      </c>
    </row>
    <row r="207" spans="1:8" x14ac:dyDescent="0.3">
      <c r="A207" t="s">
        <v>488</v>
      </c>
      <c r="B207">
        <v>9</v>
      </c>
      <c r="C207" t="s">
        <v>1508</v>
      </c>
      <c r="D207">
        <v>0.81799999999999995</v>
      </c>
      <c r="E207">
        <v>0.73599999999999999</v>
      </c>
      <c r="F207">
        <v>-8.2000000000000003E-2</v>
      </c>
      <c r="G207" t="s">
        <v>1378</v>
      </c>
    </row>
    <row r="208" spans="1:8" x14ac:dyDescent="0.3">
      <c r="A208" t="s">
        <v>488</v>
      </c>
      <c r="B208">
        <v>10</v>
      </c>
      <c r="C208" t="s">
        <v>1509</v>
      </c>
      <c r="D208">
        <v>0.88100000000000001</v>
      </c>
      <c r="E208">
        <v>0.79300000000000004</v>
      </c>
      <c r="F208">
        <v>-8.7999999999999995E-2</v>
      </c>
      <c r="G208" t="s">
        <v>1378</v>
      </c>
    </row>
    <row r="209" spans="1:8" x14ac:dyDescent="0.3">
      <c r="A209" t="s">
        <v>488</v>
      </c>
      <c r="B209">
        <v>11</v>
      </c>
      <c r="C209" t="s">
        <v>1510</v>
      </c>
      <c r="D209">
        <v>0.92400000000000004</v>
      </c>
      <c r="E209">
        <v>0.83199999999999996</v>
      </c>
      <c r="F209">
        <v>-9.1999999999999998E-2</v>
      </c>
      <c r="G209" t="s">
        <v>1378</v>
      </c>
    </row>
    <row r="210" spans="1:8" x14ac:dyDescent="0.3">
      <c r="A210" t="s">
        <v>488</v>
      </c>
      <c r="B210">
        <v>12</v>
      </c>
      <c r="C210" t="s">
        <v>1511</v>
      </c>
      <c r="D210">
        <v>0.95299999999999996</v>
      </c>
      <c r="E210">
        <v>0.85699999999999998</v>
      </c>
      <c r="F210">
        <v>-9.5000000000000001E-2</v>
      </c>
      <c r="G210" t="s">
        <v>1378</v>
      </c>
    </row>
    <row r="211" spans="1:8" x14ac:dyDescent="0.3">
      <c r="A211" s="80" t="s">
        <v>491</v>
      </c>
      <c r="B211" s="80">
        <v>1</v>
      </c>
      <c r="C211" s="80" t="s">
        <v>1500</v>
      </c>
      <c r="D211" s="80">
        <v>7.5999999999999998E-2</v>
      </c>
      <c r="E211" s="80">
        <v>0</v>
      </c>
      <c r="F211" s="80">
        <v>-7.5999999999999998E-2</v>
      </c>
      <c r="G211" s="80" t="s">
        <v>1375</v>
      </c>
      <c r="H211" s="80" t="s">
        <v>1512</v>
      </c>
    </row>
    <row r="212" spans="1:8" x14ac:dyDescent="0.3">
      <c r="A212" s="80" t="s">
        <v>491</v>
      </c>
      <c r="B212" s="80">
        <v>2</v>
      </c>
      <c r="C212" s="80" t="s">
        <v>1501</v>
      </c>
      <c r="D212" s="80">
        <v>0.11899999999999999</v>
      </c>
      <c r="E212" s="80">
        <v>0</v>
      </c>
      <c r="F212" s="80">
        <v>-0.11899999999999999</v>
      </c>
      <c r="G212" s="80" t="s">
        <v>1375</v>
      </c>
      <c r="H212" s="80" t="s">
        <v>1512</v>
      </c>
    </row>
    <row r="213" spans="1:8" x14ac:dyDescent="0.3">
      <c r="A213" s="80" t="s">
        <v>491</v>
      </c>
      <c r="B213" s="80">
        <v>3</v>
      </c>
      <c r="C213" s="80" t="s">
        <v>1502</v>
      </c>
      <c r="D213" s="80">
        <v>0.182</v>
      </c>
      <c r="E213" s="80">
        <v>0</v>
      </c>
      <c r="F213" s="80">
        <v>-0.182</v>
      </c>
      <c r="G213" s="80" t="s">
        <v>1375</v>
      </c>
      <c r="H213" s="80" t="s">
        <v>1512</v>
      </c>
    </row>
    <row r="214" spans="1:8" x14ac:dyDescent="0.3">
      <c r="A214" s="80" t="s">
        <v>491</v>
      </c>
      <c r="B214" s="80">
        <v>4</v>
      </c>
      <c r="C214" s="80" t="s">
        <v>1503</v>
      </c>
      <c r="D214" s="80">
        <v>0.26900000000000002</v>
      </c>
      <c r="E214" s="80">
        <v>0</v>
      </c>
      <c r="F214" s="80">
        <v>-0.26900000000000002</v>
      </c>
      <c r="G214" s="80" t="s">
        <v>1375</v>
      </c>
      <c r="H214" s="80" t="s">
        <v>1512</v>
      </c>
    </row>
    <row r="215" spans="1:8" x14ac:dyDescent="0.3">
      <c r="A215" s="80" t="s">
        <v>491</v>
      </c>
      <c r="B215" s="80">
        <v>5</v>
      </c>
      <c r="C215" s="80" t="s">
        <v>1504</v>
      </c>
      <c r="D215" s="80">
        <v>0.378</v>
      </c>
      <c r="E215" s="80">
        <v>0</v>
      </c>
      <c r="F215" s="80">
        <v>-0.378</v>
      </c>
      <c r="G215" s="80" t="s">
        <v>1375</v>
      </c>
      <c r="H215" s="80" t="s">
        <v>1512</v>
      </c>
    </row>
    <row r="216" spans="1:8" x14ac:dyDescent="0.3">
      <c r="A216" s="80" t="s">
        <v>491</v>
      </c>
      <c r="B216" s="80">
        <v>6</v>
      </c>
      <c r="C216" s="80" t="s">
        <v>1505</v>
      </c>
      <c r="D216" s="80">
        <v>0.5</v>
      </c>
      <c r="E216" s="80">
        <v>0</v>
      </c>
      <c r="F216" s="80">
        <v>-0.5</v>
      </c>
      <c r="G216" s="80" t="s">
        <v>1375</v>
      </c>
      <c r="H216" s="80" t="s">
        <v>1512</v>
      </c>
    </row>
    <row r="217" spans="1:8" x14ac:dyDescent="0.3">
      <c r="A217" s="80" t="s">
        <v>491</v>
      </c>
      <c r="B217" s="80">
        <v>7</v>
      </c>
      <c r="C217" s="80" t="s">
        <v>1506</v>
      </c>
      <c r="D217" s="80">
        <v>0.622</v>
      </c>
      <c r="E217" s="80">
        <v>0</v>
      </c>
      <c r="F217" s="80">
        <v>-0.622</v>
      </c>
      <c r="G217" s="80" t="s">
        <v>1375</v>
      </c>
      <c r="H217" s="80" t="s">
        <v>1512</v>
      </c>
    </row>
    <row r="218" spans="1:8" x14ac:dyDescent="0.3">
      <c r="A218" s="80" t="s">
        <v>491</v>
      </c>
      <c r="B218" s="80">
        <v>8</v>
      </c>
      <c r="C218" s="80" t="s">
        <v>1507</v>
      </c>
      <c r="D218" s="80">
        <v>0.73099999999999998</v>
      </c>
      <c r="E218" s="80">
        <v>0</v>
      </c>
      <c r="F218" s="80">
        <v>-0.73099999999999998</v>
      </c>
      <c r="G218" s="80" t="s">
        <v>1375</v>
      </c>
      <c r="H218" s="80" t="s">
        <v>1512</v>
      </c>
    </row>
    <row r="219" spans="1:8" x14ac:dyDescent="0.3">
      <c r="A219" s="80" t="s">
        <v>491</v>
      </c>
      <c r="B219" s="80">
        <v>9</v>
      </c>
      <c r="C219" s="80" t="s">
        <v>1508</v>
      </c>
      <c r="D219" s="80">
        <v>0.81799999999999995</v>
      </c>
      <c r="E219" s="80">
        <v>0</v>
      </c>
      <c r="F219" s="80">
        <v>-0.81799999999999995</v>
      </c>
      <c r="G219" s="80" t="s">
        <v>1375</v>
      </c>
      <c r="H219" s="80" t="s">
        <v>1512</v>
      </c>
    </row>
    <row r="220" spans="1:8" x14ac:dyDescent="0.3">
      <c r="A220" s="80" t="s">
        <v>491</v>
      </c>
      <c r="B220" s="80">
        <v>10</v>
      </c>
      <c r="C220" s="80" t="s">
        <v>1509</v>
      </c>
      <c r="D220" s="80">
        <v>0.88100000000000001</v>
      </c>
      <c r="E220" s="80">
        <v>0</v>
      </c>
      <c r="F220" s="80">
        <v>-0.88100000000000001</v>
      </c>
      <c r="G220" s="80" t="s">
        <v>1375</v>
      </c>
      <c r="H220" s="80" t="s">
        <v>1512</v>
      </c>
    </row>
    <row r="221" spans="1:8" x14ac:dyDescent="0.3">
      <c r="A221" s="80" t="s">
        <v>491</v>
      </c>
      <c r="B221" s="80">
        <v>11</v>
      </c>
      <c r="C221" s="80" t="s">
        <v>1510</v>
      </c>
      <c r="D221" s="80">
        <v>0.92400000000000004</v>
      </c>
      <c r="E221" s="80">
        <v>0</v>
      </c>
      <c r="F221" s="80">
        <v>-0.92400000000000004</v>
      </c>
      <c r="G221" s="80" t="s">
        <v>1375</v>
      </c>
      <c r="H221" s="80" t="s">
        <v>1512</v>
      </c>
    </row>
    <row r="222" spans="1:8" x14ac:dyDescent="0.3">
      <c r="A222" s="80" t="s">
        <v>491</v>
      </c>
      <c r="B222" s="80">
        <v>12</v>
      </c>
      <c r="C222" s="80" t="s">
        <v>1511</v>
      </c>
      <c r="D222" s="80">
        <v>0.95299999999999996</v>
      </c>
      <c r="E222" s="80">
        <v>0</v>
      </c>
      <c r="F222" s="80">
        <v>-0.95299999999999996</v>
      </c>
      <c r="G222" s="80" t="s">
        <v>1375</v>
      </c>
      <c r="H222" s="80" t="s">
        <v>1512</v>
      </c>
    </row>
    <row r="223" spans="1:8" x14ac:dyDescent="0.3">
      <c r="A223" s="84" t="s">
        <v>496</v>
      </c>
      <c r="B223" s="84">
        <v>1</v>
      </c>
      <c r="C223" s="84" t="s">
        <v>1500</v>
      </c>
      <c r="D223" s="84">
        <v>7.5999999999999998E-2</v>
      </c>
      <c r="E223" s="84">
        <v>6.0999999999999999E-2</v>
      </c>
      <c r="F223" s="84">
        <v>-1.4999999999999999E-2</v>
      </c>
      <c r="G223" s="84" t="s">
        <v>1371</v>
      </c>
      <c r="H223" s="84"/>
    </row>
    <row r="224" spans="1:8" x14ac:dyDescent="0.3">
      <c r="A224" s="84" t="s">
        <v>496</v>
      </c>
      <c r="B224" s="84">
        <v>2</v>
      </c>
      <c r="C224" s="84" t="s">
        <v>1501</v>
      </c>
      <c r="D224" s="84">
        <v>0.11899999999999999</v>
      </c>
      <c r="E224" s="84">
        <v>9.5000000000000001E-2</v>
      </c>
      <c r="F224" s="84">
        <v>-2.4E-2</v>
      </c>
      <c r="G224" s="84" t="s">
        <v>1371</v>
      </c>
      <c r="H224" s="84"/>
    </row>
    <row r="225" spans="1:8" x14ac:dyDescent="0.3">
      <c r="A225" s="84" t="s">
        <v>496</v>
      </c>
      <c r="B225" s="84">
        <v>3</v>
      </c>
      <c r="C225" s="84" t="s">
        <v>1502</v>
      </c>
      <c r="D225" s="84">
        <v>0.182</v>
      </c>
      <c r="E225" s="84">
        <v>0.14599999999999999</v>
      </c>
      <c r="F225" s="84">
        <v>-3.5999999999999997E-2</v>
      </c>
      <c r="G225" s="84" t="s">
        <v>1371</v>
      </c>
      <c r="H225" s="84"/>
    </row>
    <row r="226" spans="1:8" x14ac:dyDescent="0.3">
      <c r="A226" s="84" t="s">
        <v>496</v>
      </c>
      <c r="B226" s="84">
        <v>4</v>
      </c>
      <c r="C226" s="84" t="s">
        <v>1503</v>
      </c>
      <c r="D226" s="84">
        <v>0.26900000000000002</v>
      </c>
      <c r="E226" s="84">
        <v>0.215</v>
      </c>
      <c r="F226" s="84">
        <v>-5.3999999999999999E-2</v>
      </c>
      <c r="G226" s="84" t="s">
        <v>1371</v>
      </c>
      <c r="H226" s="84"/>
    </row>
    <row r="227" spans="1:8" x14ac:dyDescent="0.3">
      <c r="A227" s="84" t="s">
        <v>496</v>
      </c>
      <c r="B227" s="84">
        <v>5</v>
      </c>
      <c r="C227" s="84" t="s">
        <v>1504</v>
      </c>
      <c r="D227" s="84">
        <v>0.378</v>
      </c>
      <c r="E227" s="84">
        <v>0.30199999999999999</v>
      </c>
      <c r="F227" s="84">
        <v>-7.5999999999999998E-2</v>
      </c>
      <c r="G227" s="84" t="s">
        <v>1371</v>
      </c>
      <c r="H227" s="84"/>
    </row>
    <row r="228" spans="1:8" x14ac:dyDescent="0.3">
      <c r="A228" s="84" t="s">
        <v>496</v>
      </c>
      <c r="B228" s="84">
        <v>6</v>
      </c>
      <c r="C228" s="84" t="s">
        <v>1505</v>
      </c>
      <c r="D228" s="84">
        <v>0.5</v>
      </c>
      <c r="E228" s="84">
        <v>0.4</v>
      </c>
      <c r="F228" s="84">
        <v>-0.1</v>
      </c>
      <c r="G228" s="84" t="s">
        <v>1371</v>
      </c>
      <c r="H228" s="84"/>
    </row>
    <row r="229" spans="1:8" x14ac:dyDescent="0.3">
      <c r="A229" s="84" t="s">
        <v>496</v>
      </c>
      <c r="B229" s="84">
        <v>7</v>
      </c>
      <c r="C229" s="84" t="s">
        <v>1506</v>
      </c>
      <c r="D229" s="84">
        <v>0.622</v>
      </c>
      <c r="E229" s="84">
        <v>0.498</v>
      </c>
      <c r="F229" s="84">
        <v>-0.124</v>
      </c>
      <c r="G229" s="84" t="s">
        <v>1371</v>
      </c>
      <c r="H229" s="84"/>
    </row>
    <row r="230" spans="1:8" x14ac:dyDescent="0.3">
      <c r="A230" s="84" t="s">
        <v>496</v>
      </c>
      <c r="B230" s="84">
        <v>8</v>
      </c>
      <c r="C230" s="84" t="s">
        <v>1507</v>
      </c>
      <c r="D230" s="84">
        <v>0.73099999999999998</v>
      </c>
      <c r="E230" s="84">
        <v>0.58499999999999996</v>
      </c>
      <c r="F230" s="84">
        <v>-0.14599999999999999</v>
      </c>
      <c r="G230" s="84" t="s">
        <v>1371</v>
      </c>
      <c r="H230" s="84"/>
    </row>
    <row r="231" spans="1:8" x14ac:dyDescent="0.3">
      <c r="A231" s="84" t="s">
        <v>496</v>
      </c>
      <c r="B231" s="84">
        <v>9</v>
      </c>
      <c r="C231" s="84" t="s">
        <v>1508</v>
      </c>
      <c r="D231" s="84">
        <v>0.81799999999999995</v>
      </c>
      <c r="E231" s="84">
        <v>0.65400000000000003</v>
      </c>
      <c r="F231" s="84">
        <v>-0.16400000000000001</v>
      </c>
      <c r="G231" s="84" t="s">
        <v>1371</v>
      </c>
      <c r="H231" s="84"/>
    </row>
    <row r="232" spans="1:8" x14ac:dyDescent="0.3">
      <c r="A232" s="84" t="s">
        <v>496</v>
      </c>
      <c r="B232" s="84">
        <v>10</v>
      </c>
      <c r="C232" s="84" t="s">
        <v>1509</v>
      </c>
      <c r="D232" s="84">
        <v>0.88100000000000001</v>
      </c>
      <c r="E232" s="84">
        <v>0.70499999999999996</v>
      </c>
      <c r="F232" s="84">
        <v>-0.17599999999999999</v>
      </c>
      <c r="G232" s="84" t="s">
        <v>1371</v>
      </c>
      <c r="H232" s="84"/>
    </row>
    <row r="233" spans="1:8" x14ac:dyDescent="0.3">
      <c r="A233" s="84" t="s">
        <v>496</v>
      </c>
      <c r="B233" s="84">
        <v>11</v>
      </c>
      <c r="C233" s="84" t="s">
        <v>1510</v>
      </c>
      <c r="D233" s="84">
        <v>0.92400000000000004</v>
      </c>
      <c r="E233" s="84">
        <v>0.73899999999999999</v>
      </c>
      <c r="F233" s="84">
        <v>-0.185</v>
      </c>
      <c r="G233" s="84" t="s">
        <v>1371</v>
      </c>
      <c r="H233" s="84"/>
    </row>
    <row r="234" spans="1:8" x14ac:dyDescent="0.3">
      <c r="A234" s="84" t="s">
        <v>496</v>
      </c>
      <c r="B234" s="84">
        <v>12</v>
      </c>
      <c r="C234" s="84" t="s">
        <v>1511</v>
      </c>
      <c r="D234" s="84">
        <v>0.95299999999999996</v>
      </c>
      <c r="E234" s="84">
        <v>0.76200000000000001</v>
      </c>
      <c r="F234" s="84">
        <v>-0.191</v>
      </c>
      <c r="G234" s="84" t="s">
        <v>1371</v>
      </c>
      <c r="H234" s="84"/>
    </row>
    <row r="235" spans="1:8" x14ac:dyDescent="0.3">
      <c r="A235" s="80" t="s">
        <v>500</v>
      </c>
      <c r="B235" s="80">
        <v>1</v>
      </c>
      <c r="C235" s="80" t="s">
        <v>1500</v>
      </c>
      <c r="D235" s="80">
        <v>7.5999999999999998E-2</v>
      </c>
      <c r="E235" s="80">
        <v>1.4999999999999999E-2</v>
      </c>
      <c r="F235" s="80">
        <v>-6.0999999999999999E-2</v>
      </c>
      <c r="G235" s="80" t="s">
        <v>1375</v>
      </c>
      <c r="H235" s="80" t="s">
        <v>1512</v>
      </c>
    </row>
    <row r="236" spans="1:8" x14ac:dyDescent="0.3">
      <c r="A236" s="80" t="s">
        <v>500</v>
      </c>
      <c r="B236" s="80">
        <v>2</v>
      </c>
      <c r="C236" s="80" t="s">
        <v>1501</v>
      </c>
      <c r="D236" s="80">
        <v>0.11899999999999999</v>
      </c>
      <c r="E236" s="80">
        <v>2.4E-2</v>
      </c>
      <c r="F236" s="80">
        <v>-9.5000000000000001E-2</v>
      </c>
      <c r="G236" s="80" t="s">
        <v>1375</v>
      </c>
      <c r="H236" s="80" t="s">
        <v>1512</v>
      </c>
    </row>
    <row r="237" spans="1:8" x14ac:dyDescent="0.3">
      <c r="A237" s="80" t="s">
        <v>500</v>
      </c>
      <c r="B237" s="80">
        <v>3</v>
      </c>
      <c r="C237" s="80" t="s">
        <v>1502</v>
      </c>
      <c r="D237" s="80">
        <v>0.182</v>
      </c>
      <c r="E237" s="80">
        <v>3.5999999999999997E-2</v>
      </c>
      <c r="F237" s="80">
        <v>-0.14599999999999999</v>
      </c>
      <c r="G237" s="80" t="s">
        <v>1375</v>
      </c>
      <c r="H237" s="80" t="s">
        <v>1512</v>
      </c>
    </row>
    <row r="238" spans="1:8" x14ac:dyDescent="0.3">
      <c r="A238" s="80" t="s">
        <v>500</v>
      </c>
      <c r="B238" s="80">
        <v>4</v>
      </c>
      <c r="C238" s="80" t="s">
        <v>1503</v>
      </c>
      <c r="D238" s="80">
        <v>0.26900000000000002</v>
      </c>
      <c r="E238" s="80">
        <v>5.3999999999999999E-2</v>
      </c>
      <c r="F238" s="80">
        <v>-0.215</v>
      </c>
      <c r="G238" s="80" t="s">
        <v>1375</v>
      </c>
      <c r="H238" s="80" t="s">
        <v>1512</v>
      </c>
    </row>
    <row r="239" spans="1:8" x14ac:dyDescent="0.3">
      <c r="A239" s="80" t="s">
        <v>500</v>
      </c>
      <c r="B239" s="80">
        <v>5</v>
      </c>
      <c r="C239" s="80" t="s">
        <v>1504</v>
      </c>
      <c r="D239" s="80">
        <v>0.378</v>
      </c>
      <c r="E239" s="80">
        <v>7.5999999999999998E-2</v>
      </c>
      <c r="F239" s="80">
        <v>-0.30199999999999999</v>
      </c>
      <c r="G239" s="80" t="s">
        <v>1375</v>
      </c>
      <c r="H239" s="80" t="s">
        <v>1512</v>
      </c>
    </row>
    <row r="240" spans="1:8" x14ac:dyDescent="0.3">
      <c r="A240" s="80" t="s">
        <v>500</v>
      </c>
      <c r="B240" s="80">
        <v>6</v>
      </c>
      <c r="C240" s="80" t="s">
        <v>1505</v>
      </c>
      <c r="D240" s="80">
        <v>0.5</v>
      </c>
      <c r="E240" s="80">
        <v>0.1</v>
      </c>
      <c r="F240" s="80">
        <v>-0.4</v>
      </c>
      <c r="G240" s="80" t="s">
        <v>1375</v>
      </c>
      <c r="H240" s="80" t="s">
        <v>1512</v>
      </c>
    </row>
    <row r="241" spans="1:8" x14ac:dyDescent="0.3">
      <c r="A241" s="80" t="s">
        <v>500</v>
      </c>
      <c r="B241" s="80">
        <v>7</v>
      </c>
      <c r="C241" s="80" t="s">
        <v>1506</v>
      </c>
      <c r="D241" s="80">
        <v>0.622</v>
      </c>
      <c r="E241" s="80">
        <v>0.124</v>
      </c>
      <c r="F241" s="80">
        <v>-0.498</v>
      </c>
      <c r="G241" s="80" t="s">
        <v>1375</v>
      </c>
      <c r="H241" s="80" t="s">
        <v>1512</v>
      </c>
    </row>
    <row r="242" spans="1:8" x14ac:dyDescent="0.3">
      <c r="A242" s="80" t="s">
        <v>500</v>
      </c>
      <c r="B242" s="80">
        <v>8</v>
      </c>
      <c r="C242" s="80" t="s">
        <v>1507</v>
      </c>
      <c r="D242" s="80">
        <v>0.73099999999999998</v>
      </c>
      <c r="E242" s="80">
        <v>0.14599999999999999</v>
      </c>
      <c r="F242" s="80">
        <v>-0.58499999999999996</v>
      </c>
      <c r="G242" s="80" t="s">
        <v>1375</v>
      </c>
      <c r="H242" s="80" t="s">
        <v>1512</v>
      </c>
    </row>
    <row r="243" spans="1:8" x14ac:dyDescent="0.3">
      <c r="A243" s="80" t="s">
        <v>500</v>
      </c>
      <c r="B243" s="80">
        <v>9</v>
      </c>
      <c r="C243" s="80" t="s">
        <v>1508</v>
      </c>
      <c r="D243" s="80">
        <v>0.81799999999999995</v>
      </c>
      <c r="E243" s="80">
        <v>0.16400000000000001</v>
      </c>
      <c r="F243" s="80">
        <v>-0.65400000000000003</v>
      </c>
      <c r="G243" s="80" t="s">
        <v>1375</v>
      </c>
      <c r="H243" s="80" t="s">
        <v>1512</v>
      </c>
    </row>
    <row r="244" spans="1:8" x14ac:dyDescent="0.3">
      <c r="A244" s="80" t="s">
        <v>500</v>
      </c>
      <c r="B244" s="80">
        <v>10</v>
      </c>
      <c r="C244" s="80" t="s">
        <v>1509</v>
      </c>
      <c r="D244" s="80">
        <v>0.88100000000000001</v>
      </c>
      <c r="E244" s="80">
        <v>0.17599999999999999</v>
      </c>
      <c r="F244" s="80">
        <v>-0.70499999999999996</v>
      </c>
      <c r="G244" s="80" t="s">
        <v>1375</v>
      </c>
      <c r="H244" s="80" t="s">
        <v>1512</v>
      </c>
    </row>
    <row r="245" spans="1:8" x14ac:dyDescent="0.3">
      <c r="A245" s="80" t="s">
        <v>500</v>
      </c>
      <c r="B245" s="80">
        <v>11</v>
      </c>
      <c r="C245" s="80" t="s">
        <v>1510</v>
      </c>
      <c r="D245" s="80">
        <v>0.92400000000000004</v>
      </c>
      <c r="E245" s="80">
        <v>0.185</v>
      </c>
      <c r="F245" s="80">
        <v>-0.73899999999999999</v>
      </c>
      <c r="G245" s="80" t="s">
        <v>1375</v>
      </c>
      <c r="H245" s="80" t="s">
        <v>1512</v>
      </c>
    </row>
    <row r="246" spans="1:8" x14ac:dyDescent="0.3">
      <c r="A246" s="80" t="s">
        <v>500</v>
      </c>
      <c r="B246" s="80">
        <v>12</v>
      </c>
      <c r="C246" s="80" t="s">
        <v>1511</v>
      </c>
      <c r="D246" s="80">
        <v>0.95299999999999996</v>
      </c>
      <c r="E246" s="80">
        <v>0.191</v>
      </c>
      <c r="F246" s="80">
        <v>-0.76200000000000001</v>
      </c>
      <c r="G246" s="80" t="s">
        <v>1375</v>
      </c>
      <c r="H246" s="80" t="s">
        <v>1512</v>
      </c>
    </row>
    <row r="248" spans="1:8" x14ac:dyDescent="0.3">
      <c r="A248" s="12" t="s">
        <v>1513</v>
      </c>
      <c r="B248" s="6"/>
      <c r="C248" s="6"/>
    </row>
    <row r="249" spans="1:8" x14ac:dyDescent="0.3">
      <c r="A249" s="6"/>
      <c r="B249" s="6" t="s">
        <v>1514</v>
      </c>
      <c r="C249" s="6">
        <v>0.5</v>
      </c>
    </row>
    <row r="250" spans="1:8" x14ac:dyDescent="0.3">
      <c r="A250" s="6"/>
      <c r="B250" s="6" t="s">
        <v>1515</v>
      </c>
      <c r="C250" s="6">
        <v>6</v>
      </c>
    </row>
    <row r="252" spans="1:8" x14ac:dyDescent="0.3">
      <c r="A252" s="493" t="s">
        <v>1516</v>
      </c>
      <c r="B252" s="493"/>
      <c r="C252" s="493"/>
      <c r="D252" s="493"/>
      <c r="E252" s="493"/>
      <c r="F252" s="493"/>
      <c r="G252" s="493"/>
      <c r="H252" s="493"/>
    </row>
    <row r="253" spans="1:8" x14ac:dyDescent="0.3">
      <c r="A253" s="5" t="s">
        <v>385</v>
      </c>
      <c r="B253" s="5" t="s">
        <v>1517</v>
      </c>
      <c r="C253" s="5" t="s">
        <v>1518</v>
      </c>
      <c r="D253" s="5" t="s">
        <v>43</v>
      </c>
      <c r="E253" s="5" t="s">
        <v>1519</v>
      </c>
    </row>
    <row r="254" spans="1:8" x14ac:dyDescent="0.3">
      <c r="A254" t="s">
        <v>401</v>
      </c>
      <c r="B254">
        <v>0.85</v>
      </c>
      <c r="C254">
        <v>0.95299999999999996</v>
      </c>
      <c r="D254" t="s">
        <v>1520</v>
      </c>
      <c r="E254" s="73">
        <v>0.89200000000000002</v>
      </c>
    </row>
    <row r="255" spans="1:8" x14ac:dyDescent="0.3">
      <c r="A255" t="s">
        <v>408</v>
      </c>
      <c r="B255">
        <v>0.06</v>
      </c>
      <c r="C255">
        <v>0.95299999999999996</v>
      </c>
      <c r="D255" t="s">
        <v>1521</v>
      </c>
      <c r="E255" s="73">
        <v>6.3E-2</v>
      </c>
    </row>
    <row r="256" spans="1:8" x14ac:dyDescent="0.3">
      <c r="A256" t="s">
        <v>413</v>
      </c>
      <c r="B256">
        <v>0</v>
      </c>
      <c r="C256">
        <v>0.95299999999999996</v>
      </c>
      <c r="D256" t="s">
        <v>1521</v>
      </c>
      <c r="E256" s="73">
        <v>0</v>
      </c>
    </row>
    <row r="257" spans="1:5" x14ac:dyDescent="0.3">
      <c r="A257" t="s">
        <v>418</v>
      </c>
      <c r="B257">
        <v>0.9</v>
      </c>
      <c r="C257">
        <v>0.95299999999999996</v>
      </c>
      <c r="D257" t="s">
        <v>1522</v>
      </c>
      <c r="E257" s="73">
        <v>0.94499999999999995</v>
      </c>
    </row>
    <row r="258" spans="1:5" x14ac:dyDescent="0.3">
      <c r="A258" t="s">
        <v>424</v>
      </c>
      <c r="B258">
        <v>0.75</v>
      </c>
      <c r="C258">
        <v>0.95299999999999996</v>
      </c>
      <c r="D258" t="s">
        <v>1520</v>
      </c>
      <c r="E258" s="73">
        <v>0.78700000000000003</v>
      </c>
    </row>
    <row r="259" spans="1:5" x14ac:dyDescent="0.3">
      <c r="A259" t="s">
        <v>430</v>
      </c>
      <c r="B259">
        <v>0.08</v>
      </c>
      <c r="C259">
        <v>0.95299999999999996</v>
      </c>
      <c r="D259" t="s">
        <v>1521</v>
      </c>
      <c r="E259" s="73">
        <v>8.4000000000000005E-2</v>
      </c>
    </row>
    <row r="260" spans="1:5" x14ac:dyDescent="0.3">
      <c r="A260" t="s">
        <v>436</v>
      </c>
      <c r="B260">
        <v>0.78</v>
      </c>
      <c r="C260">
        <v>0.95299999999999996</v>
      </c>
      <c r="D260" t="s">
        <v>1520</v>
      </c>
      <c r="E260" s="73">
        <v>0.81899999999999995</v>
      </c>
    </row>
    <row r="261" spans="1:5" x14ac:dyDescent="0.3">
      <c r="A261" t="s">
        <v>441</v>
      </c>
      <c r="B261">
        <v>0</v>
      </c>
      <c r="C261">
        <v>0.95299999999999996</v>
      </c>
      <c r="D261" t="s">
        <v>1521</v>
      </c>
      <c r="E261" s="73">
        <v>0</v>
      </c>
    </row>
    <row r="262" spans="1:5" x14ac:dyDescent="0.3">
      <c r="A262" t="s">
        <v>447</v>
      </c>
      <c r="B262">
        <v>0.1</v>
      </c>
      <c r="C262">
        <v>0.95299999999999996</v>
      </c>
      <c r="D262" t="s">
        <v>1521</v>
      </c>
      <c r="E262" s="73">
        <v>0.105</v>
      </c>
    </row>
    <row r="263" spans="1:5" x14ac:dyDescent="0.3">
      <c r="A263" t="s">
        <v>451</v>
      </c>
      <c r="B263">
        <v>1</v>
      </c>
      <c r="C263">
        <v>0.95299999999999996</v>
      </c>
      <c r="D263" t="s">
        <v>1522</v>
      </c>
      <c r="E263" s="73">
        <v>1.05</v>
      </c>
    </row>
    <row r="264" spans="1:5" x14ac:dyDescent="0.3">
      <c r="A264" t="s">
        <v>457</v>
      </c>
      <c r="B264">
        <v>0.7</v>
      </c>
      <c r="C264">
        <v>0.95299999999999996</v>
      </c>
      <c r="D264" t="s">
        <v>1520</v>
      </c>
      <c r="E264" s="73">
        <v>0.73499999999999999</v>
      </c>
    </row>
    <row r="265" spans="1:5" x14ac:dyDescent="0.3">
      <c r="A265" t="s">
        <v>463</v>
      </c>
      <c r="B265">
        <v>0.08</v>
      </c>
      <c r="C265">
        <v>0.95299999999999996</v>
      </c>
      <c r="D265" t="s">
        <v>1521</v>
      </c>
      <c r="E265" s="73">
        <v>8.4000000000000005E-2</v>
      </c>
    </row>
    <row r="266" spans="1:5" x14ac:dyDescent="0.3">
      <c r="A266" t="s">
        <v>470</v>
      </c>
      <c r="B266">
        <v>1</v>
      </c>
      <c r="C266">
        <v>0.95299999999999996</v>
      </c>
      <c r="D266" t="s">
        <v>1522</v>
      </c>
      <c r="E266" s="73">
        <v>1.05</v>
      </c>
    </row>
    <row r="267" spans="1:5" x14ac:dyDescent="0.3">
      <c r="A267" t="s">
        <v>474</v>
      </c>
      <c r="B267">
        <v>0.7</v>
      </c>
      <c r="C267">
        <v>0.95299999999999996</v>
      </c>
      <c r="D267" t="s">
        <v>1520</v>
      </c>
      <c r="E267" s="73">
        <v>0.73499999999999999</v>
      </c>
    </row>
    <row r="268" spans="1:5" x14ac:dyDescent="0.3">
      <c r="A268" t="s">
        <v>478</v>
      </c>
      <c r="B268">
        <v>1</v>
      </c>
      <c r="C268">
        <v>0.95299999999999996</v>
      </c>
      <c r="D268" t="s">
        <v>1522</v>
      </c>
      <c r="E268" s="73">
        <v>1.05</v>
      </c>
    </row>
    <row r="269" spans="1:5" x14ac:dyDescent="0.3">
      <c r="A269" t="s">
        <v>482</v>
      </c>
      <c r="B269">
        <v>0.8</v>
      </c>
      <c r="C269">
        <v>0.95299999999999996</v>
      </c>
      <c r="D269" t="s">
        <v>1520</v>
      </c>
      <c r="E269" s="73">
        <v>0.84</v>
      </c>
    </row>
    <row r="270" spans="1:5" x14ac:dyDescent="0.3">
      <c r="A270" t="s">
        <v>488</v>
      </c>
      <c r="B270">
        <v>0.9</v>
      </c>
      <c r="C270">
        <v>0.95299999999999996</v>
      </c>
      <c r="D270" t="s">
        <v>1522</v>
      </c>
      <c r="E270" s="73">
        <v>0.94499999999999995</v>
      </c>
    </row>
    <row r="271" spans="1:5" x14ac:dyDescent="0.3">
      <c r="A271" t="s">
        <v>491</v>
      </c>
      <c r="B271">
        <v>0</v>
      </c>
      <c r="C271">
        <v>0.95299999999999996</v>
      </c>
      <c r="D271" t="s">
        <v>1521</v>
      </c>
      <c r="E271" s="73">
        <v>0</v>
      </c>
    </row>
    <row r="272" spans="1:5" x14ac:dyDescent="0.3">
      <c r="A272" t="s">
        <v>496</v>
      </c>
      <c r="B272">
        <v>0.8</v>
      </c>
      <c r="C272">
        <v>0.95299999999999996</v>
      </c>
      <c r="D272" t="s">
        <v>1520</v>
      </c>
      <c r="E272" s="73">
        <v>0.84</v>
      </c>
    </row>
    <row r="273" spans="1:5" x14ac:dyDescent="0.3">
      <c r="A273" t="s">
        <v>500</v>
      </c>
      <c r="B273">
        <v>0.2</v>
      </c>
      <c r="C273">
        <v>0.95299999999999996</v>
      </c>
      <c r="D273" t="s">
        <v>1521</v>
      </c>
      <c r="E273" s="73">
        <v>0.21</v>
      </c>
    </row>
  </sheetData>
  <mergeCells count="4">
    <mergeCell ref="A2:H2"/>
    <mergeCell ref="A1:H1"/>
    <mergeCell ref="A3:H3"/>
    <mergeCell ref="A252:H252"/>
  </mergeCells>
  <hyperlinks>
    <hyperlink ref="A1" location="'H01_PARAMETROS_GENERALES'!A1" tooltip="Volver a H01_PARAMETROS_GENERALES" display="🔙 Volver al Índice" xr:uid="{7F47ACEF-C48D-4A76-8A19-4E6DFE9D8C6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BE13-EBCC-422B-8E39-E864538D8BE1}">
  <dimension ref="A1:N35"/>
  <sheetViews>
    <sheetView workbookViewId="0">
      <pane ySplit="6" topLeftCell="A7" activePane="bottomLeft" state="frozen"/>
      <selection pane="bottomLeft" activeCell="D30" sqref="D30"/>
    </sheetView>
  </sheetViews>
  <sheetFormatPr baseColWidth="10" defaultRowHeight="14.4" x14ac:dyDescent="0.3"/>
  <cols>
    <col min="1" max="1" width="14.77734375" customWidth="1"/>
    <col min="2" max="2" width="25.88671875" customWidth="1"/>
    <col min="3" max="3" width="14.77734375" customWidth="1"/>
    <col min="4" max="12" width="13.88671875" customWidth="1"/>
    <col min="13" max="13" width="25.88671875" customWidth="1"/>
    <col min="14" max="14" width="29.6640625" customWidth="1"/>
  </cols>
  <sheetData>
    <row r="1" spans="1:14" x14ac:dyDescent="0.3">
      <c r="A1" s="466" t="s">
        <v>2717</v>
      </c>
      <c r="B1" s="466"/>
      <c r="C1" s="466"/>
      <c r="D1" s="466"/>
      <c r="E1" s="466"/>
      <c r="F1" s="466"/>
      <c r="G1" s="466"/>
      <c r="H1" s="466"/>
      <c r="I1" s="466"/>
      <c r="J1" s="466"/>
      <c r="K1" s="466"/>
      <c r="L1" s="466"/>
      <c r="M1" s="466"/>
      <c r="N1" s="466"/>
    </row>
    <row r="2" spans="1:14" x14ac:dyDescent="0.3">
      <c r="A2" s="483" t="s">
        <v>1523</v>
      </c>
      <c r="B2" s="483"/>
      <c r="C2" s="483"/>
      <c r="D2" s="483"/>
      <c r="E2" s="483"/>
      <c r="F2" s="483"/>
      <c r="G2" s="483"/>
      <c r="H2" s="483"/>
      <c r="I2" s="483"/>
      <c r="J2" s="483"/>
      <c r="K2" s="483"/>
      <c r="L2" s="483"/>
      <c r="M2" s="483"/>
      <c r="N2" s="483"/>
    </row>
    <row r="3" spans="1:14" x14ac:dyDescent="0.3">
      <c r="A3" s="65" t="s">
        <v>1524</v>
      </c>
    </row>
    <row r="4" spans="1:14" x14ac:dyDescent="0.3">
      <c r="A4" t="s">
        <v>144</v>
      </c>
    </row>
    <row r="6" spans="1:14" x14ac:dyDescent="0.3">
      <c r="A6" s="5" t="s">
        <v>385</v>
      </c>
      <c r="B6" s="5" t="s">
        <v>1525</v>
      </c>
      <c r="C6" s="5" t="s">
        <v>1526</v>
      </c>
      <c r="D6" s="5" t="s">
        <v>1527</v>
      </c>
      <c r="E6" s="5" t="s">
        <v>1528</v>
      </c>
      <c r="F6" s="5" t="s">
        <v>1529</v>
      </c>
      <c r="G6" s="5" t="s">
        <v>1530</v>
      </c>
      <c r="H6" s="5" t="s">
        <v>1531</v>
      </c>
      <c r="I6" s="5" t="s">
        <v>1532</v>
      </c>
      <c r="J6" s="5" t="s">
        <v>1533</v>
      </c>
      <c r="K6" s="5" t="s">
        <v>1534</v>
      </c>
      <c r="L6" s="5" t="s">
        <v>1535</v>
      </c>
      <c r="M6" s="5" t="s">
        <v>1536</v>
      </c>
      <c r="N6" s="5" t="s">
        <v>1537</v>
      </c>
    </row>
    <row r="7" spans="1:14" x14ac:dyDescent="0.3">
      <c r="A7" s="7" t="s">
        <v>401</v>
      </c>
      <c r="B7" s="7" t="s">
        <v>1040</v>
      </c>
      <c r="C7" s="7" t="s">
        <v>406</v>
      </c>
      <c r="D7" s="7">
        <v>0.128</v>
      </c>
      <c r="E7" s="7">
        <v>1</v>
      </c>
      <c r="F7" s="7">
        <v>3.3780000000000001</v>
      </c>
      <c r="G7" s="7">
        <v>0.38300000000000001</v>
      </c>
      <c r="H7" s="7">
        <v>1</v>
      </c>
      <c r="I7" s="7">
        <v>10.132999999999999</v>
      </c>
      <c r="J7" s="7">
        <v>0.85</v>
      </c>
      <c r="K7" s="7">
        <v>1</v>
      </c>
      <c r="L7" s="7">
        <v>22.518000000000001</v>
      </c>
      <c r="M7" s="7" t="s">
        <v>1538</v>
      </c>
      <c r="N7" s="7" t="s">
        <v>1539</v>
      </c>
    </row>
    <row r="8" spans="1:14" x14ac:dyDescent="0.3">
      <c r="A8" s="6" t="s">
        <v>408</v>
      </c>
      <c r="B8" s="6" t="s">
        <v>298</v>
      </c>
      <c r="C8" s="6" t="s">
        <v>411</v>
      </c>
      <c r="D8" s="6">
        <v>8.9999999999999993E-3</v>
      </c>
      <c r="E8" s="6">
        <v>1</v>
      </c>
      <c r="F8" s="6">
        <v>0.17399999999999999</v>
      </c>
      <c r="G8" s="6">
        <v>2.7E-2</v>
      </c>
      <c r="H8" s="6">
        <v>1</v>
      </c>
      <c r="I8" s="6">
        <v>0.52200000000000002</v>
      </c>
      <c r="J8" s="6">
        <v>0.06</v>
      </c>
      <c r="K8" s="6">
        <v>1</v>
      </c>
      <c r="L8" s="6">
        <v>1.159</v>
      </c>
      <c r="M8" s="6" t="s">
        <v>1538</v>
      </c>
      <c r="N8" s="6" t="s">
        <v>1540</v>
      </c>
    </row>
    <row r="9" spans="1:14" x14ac:dyDescent="0.3">
      <c r="A9" s="7" t="s">
        <v>413</v>
      </c>
      <c r="B9" s="7" t="s">
        <v>1020</v>
      </c>
      <c r="C9" s="7" t="s">
        <v>411</v>
      </c>
      <c r="D9" s="7">
        <v>0</v>
      </c>
      <c r="E9" s="7">
        <v>0</v>
      </c>
      <c r="F9" s="7">
        <v>0</v>
      </c>
      <c r="G9" s="7">
        <v>0</v>
      </c>
      <c r="H9" s="7">
        <v>0</v>
      </c>
      <c r="I9" s="7">
        <v>0</v>
      </c>
      <c r="J9" s="7">
        <v>0</v>
      </c>
      <c r="K9" s="7">
        <v>0</v>
      </c>
      <c r="L9" s="7">
        <v>0</v>
      </c>
      <c r="M9" s="7" t="s">
        <v>1541</v>
      </c>
      <c r="N9" s="7" t="s">
        <v>1540</v>
      </c>
    </row>
    <row r="10" spans="1:14" x14ac:dyDescent="0.3">
      <c r="A10" s="6" t="s">
        <v>418</v>
      </c>
      <c r="B10" s="6" t="s">
        <v>1046</v>
      </c>
      <c r="C10" s="6" t="s">
        <v>422</v>
      </c>
      <c r="D10" s="6">
        <v>0.13500000000000001</v>
      </c>
      <c r="E10" s="6">
        <v>1</v>
      </c>
      <c r="F10" s="6">
        <v>0.89800000000000002</v>
      </c>
      <c r="G10" s="6">
        <v>0.40500000000000003</v>
      </c>
      <c r="H10" s="6">
        <v>1</v>
      </c>
      <c r="I10" s="6">
        <v>2.6930000000000001</v>
      </c>
      <c r="J10" s="6">
        <v>0.9</v>
      </c>
      <c r="K10" s="6">
        <v>1</v>
      </c>
      <c r="L10" s="6">
        <v>5.984</v>
      </c>
      <c r="M10" s="6" t="s">
        <v>1538</v>
      </c>
      <c r="N10" s="6" t="s">
        <v>1539</v>
      </c>
    </row>
    <row r="11" spans="1:14" x14ac:dyDescent="0.3">
      <c r="A11" s="7" t="s">
        <v>424</v>
      </c>
      <c r="B11" s="7" t="s">
        <v>1049</v>
      </c>
      <c r="C11" s="7" t="s">
        <v>406</v>
      </c>
      <c r="D11" s="7">
        <v>0.112</v>
      </c>
      <c r="E11" s="7">
        <v>1</v>
      </c>
      <c r="F11" s="7">
        <v>0.35099999999999998</v>
      </c>
      <c r="G11" s="7">
        <v>0.33800000000000002</v>
      </c>
      <c r="H11" s="7">
        <v>1</v>
      </c>
      <c r="I11" s="7">
        <v>1.052</v>
      </c>
      <c r="J11" s="7">
        <v>0.75</v>
      </c>
      <c r="K11" s="7">
        <v>1</v>
      </c>
      <c r="L11" s="7">
        <v>2.3370000000000002</v>
      </c>
      <c r="M11" s="7" t="s">
        <v>1538</v>
      </c>
      <c r="N11" s="7" t="s">
        <v>1542</v>
      </c>
    </row>
    <row r="12" spans="1:14" x14ac:dyDescent="0.3">
      <c r="A12" s="6" t="s">
        <v>430</v>
      </c>
      <c r="B12" s="6" t="s">
        <v>1051</v>
      </c>
      <c r="C12" s="6" t="s">
        <v>411</v>
      </c>
      <c r="D12" s="6">
        <v>1.2E-2</v>
      </c>
      <c r="E12" s="6">
        <v>0</v>
      </c>
      <c r="F12" s="6">
        <v>0</v>
      </c>
      <c r="G12" s="6">
        <v>3.5999999999999997E-2</v>
      </c>
      <c r="H12" s="6">
        <v>0</v>
      </c>
      <c r="I12" s="6">
        <v>0</v>
      </c>
      <c r="J12" s="6">
        <v>0.08</v>
      </c>
      <c r="K12" s="6">
        <v>0</v>
      </c>
      <c r="L12" s="6">
        <v>0</v>
      </c>
      <c r="M12" s="6" t="s">
        <v>1541</v>
      </c>
      <c r="N12" s="6" t="s">
        <v>1540</v>
      </c>
    </row>
    <row r="13" spans="1:14" x14ac:dyDescent="0.3">
      <c r="A13" s="7" t="s">
        <v>436</v>
      </c>
      <c r="B13" s="7" t="s">
        <v>1356</v>
      </c>
      <c r="C13" s="7" t="s">
        <v>406</v>
      </c>
      <c r="D13" s="7">
        <v>0.11700000000000001</v>
      </c>
      <c r="E13" s="7">
        <v>1</v>
      </c>
      <c r="F13" s="7">
        <v>0.187</v>
      </c>
      <c r="G13" s="7">
        <v>0.35099999999999998</v>
      </c>
      <c r="H13" s="7">
        <v>1</v>
      </c>
      <c r="I13" s="7">
        <v>0.56100000000000005</v>
      </c>
      <c r="J13" s="7">
        <v>0.78</v>
      </c>
      <c r="K13" s="7">
        <v>1</v>
      </c>
      <c r="L13" s="7">
        <v>1.2470000000000001</v>
      </c>
      <c r="M13" s="7" t="s">
        <v>1538</v>
      </c>
      <c r="N13" s="7" t="s">
        <v>1542</v>
      </c>
    </row>
    <row r="14" spans="1:14" x14ac:dyDescent="0.3">
      <c r="A14" s="6" t="s">
        <v>441</v>
      </c>
      <c r="B14" s="6" t="s">
        <v>443</v>
      </c>
      <c r="C14" s="6" t="s">
        <v>411</v>
      </c>
      <c r="D14" s="6">
        <v>0</v>
      </c>
      <c r="E14" s="6">
        <v>0</v>
      </c>
      <c r="F14" s="6">
        <v>0</v>
      </c>
      <c r="G14" s="6">
        <v>0</v>
      </c>
      <c r="H14" s="6">
        <v>0</v>
      </c>
      <c r="I14" s="6">
        <v>0</v>
      </c>
      <c r="J14" s="6">
        <v>0</v>
      </c>
      <c r="K14" s="6">
        <v>0</v>
      </c>
      <c r="L14" s="6">
        <v>0</v>
      </c>
      <c r="M14" s="6" t="s">
        <v>1541</v>
      </c>
      <c r="N14" s="6" t="s">
        <v>1540</v>
      </c>
    </row>
    <row r="15" spans="1:14" x14ac:dyDescent="0.3">
      <c r="A15" s="7" t="s">
        <v>447</v>
      </c>
      <c r="B15" s="7" t="s">
        <v>1056</v>
      </c>
      <c r="C15" s="7" t="s">
        <v>411</v>
      </c>
      <c r="D15" s="7">
        <v>1.4999999999999999E-2</v>
      </c>
      <c r="E15" s="7">
        <v>0</v>
      </c>
      <c r="F15" s="7">
        <v>0</v>
      </c>
      <c r="G15" s="7">
        <v>4.4999999999999998E-2</v>
      </c>
      <c r="H15" s="7">
        <v>0</v>
      </c>
      <c r="I15" s="7">
        <v>0</v>
      </c>
      <c r="J15" s="7">
        <v>0.1</v>
      </c>
      <c r="K15" s="7">
        <v>0</v>
      </c>
      <c r="L15" s="7">
        <v>0</v>
      </c>
      <c r="M15" s="7" t="s">
        <v>1541</v>
      </c>
      <c r="N15" s="7" t="s">
        <v>1540</v>
      </c>
    </row>
    <row r="16" spans="1:14" x14ac:dyDescent="0.3">
      <c r="A16" s="6" t="s">
        <v>451</v>
      </c>
      <c r="B16" s="6" t="s">
        <v>1058</v>
      </c>
      <c r="C16" s="6" t="s">
        <v>422</v>
      </c>
      <c r="D16" s="6">
        <v>0.15</v>
      </c>
      <c r="E16" s="6">
        <v>1</v>
      </c>
      <c r="F16" s="6">
        <v>7.0000000000000007E-2</v>
      </c>
      <c r="G16" s="6">
        <v>0.45</v>
      </c>
      <c r="H16" s="6">
        <v>1</v>
      </c>
      <c r="I16" s="6">
        <v>0.21</v>
      </c>
      <c r="J16" s="6">
        <v>1</v>
      </c>
      <c r="K16" s="6">
        <v>1</v>
      </c>
      <c r="L16" s="6">
        <v>0.46700000000000003</v>
      </c>
      <c r="M16" s="6" t="s">
        <v>1538</v>
      </c>
      <c r="N16" s="6" t="s">
        <v>1539</v>
      </c>
    </row>
    <row r="17" spans="1:14" x14ac:dyDescent="0.3">
      <c r="A17" s="7" t="s">
        <v>457</v>
      </c>
      <c r="B17" s="7" t="s">
        <v>1543</v>
      </c>
      <c r="C17" s="7" t="s">
        <v>406</v>
      </c>
      <c r="D17" s="7">
        <v>0.105</v>
      </c>
      <c r="E17" s="7">
        <v>1</v>
      </c>
      <c r="F17" s="7">
        <v>0.17699999999999999</v>
      </c>
      <c r="G17" s="7">
        <v>0.315</v>
      </c>
      <c r="H17" s="7">
        <v>1</v>
      </c>
      <c r="I17" s="7">
        <v>0.53</v>
      </c>
      <c r="J17" s="7">
        <v>0.7</v>
      </c>
      <c r="K17" s="7">
        <v>1</v>
      </c>
      <c r="L17" s="7">
        <v>1.1779999999999999</v>
      </c>
      <c r="M17" s="7" t="s">
        <v>1538</v>
      </c>
      <c r="N17" s="7" t="s">
        <v>1542</v>
      </c>
    </row>
    <row r="18" spans="1:14" x14ac:dyDescent="0.3">
      <c r="A18" s="6" t="s">
        <v>463</v>
      </c>
      <c r="B18" s="6" t="s">
        <v>1061</v>
      </c>
      <c r="C18" s="6" t="s">
        <v>468</v>
      </c>
      <c r="D18" s="6">
        <v>1.2E-2</v>
      </c>
      <c r="E18" s="6">
        <v>1</v>
      </c>
      <c r="F18" s="6">
        <v>7.0000000000000001E-3</v>
      </c>
      <c r="G18" s="6">
        <v>3.5999999999999997E-2</v>
      </c>
      <c r="H18" s="6">
        <v>1</v>
      </c>
      <c r="I18" s="6">
        <v>2.1000000000000001E-2</v>
      </c>
      <c r="J18" s="6">
        <v>0.08</v>
      </c>
      <c r="K18" s="6">
        <v>1</v>
      </c>
      <c r="L18" s="6">
        <v>4.7E-2</v>
      </c>
      <c r="M18" s="6" t="s">
        <v>1538</v>
      </c>
      <c r="N18" s="6" t="s">
        <v>1540</v>
      </c>
    </row>
    <row r="19" spans="1:14" x14ac:dyDescent="0.3">
      <c r="A19" s="7" t="s">
        <v>470</v>
      </c>
      <c r="B19" s="7" t="s">
        <v>1064</v>
      </c>
      <c r="C19" s="7" t="s">
        <v>422</v>
      </c>
      <c r="D19" s="7">
        <v>0.15</v>
      </c>
      <c r="E19" s="7">
        <v>1</v>
      </c>
      <c r="F19" s="7">
        <v>2.3E-2</v>
      </c>
      <c r="G19" s="7">
        <v>0.45</v>
      </c>
      <c r="H19" s="7">
        <v>1</v>
      </c>
      <c r="I19" s="7">
        <v>6.8000000000000005E-2</v>
      </c>
      <c r="J19" s="7">
        <v>1</v>
      </c>
      <c r="K19" s="7">
        <v>1</v>
      </c>
      <c r="L19" s="7">
        <v>0.151</v>
      </c>
      <c r="M19" s="7" t="s">
        <v>1538</v>
      </c>
      <c r="N19" s="7" t="s">
        <v>1539</v>
      </c>
    </row>
    <row r="20" spans="1:14" x14ac:dyDescent="0.3">
      <c r="A20" s="6" t="s">
        <v>474</v>
      </c>
      <c r="B20" s="6" t="s">
        <v>1066</v>
      </c>
      <c r="C20" s="6" t="s">
        <v>406</v>
      </c>
      <c r="D20" s="6">
        <v>0.105</v>
      </c>
      <c r="E20" s="6">
        <v>1</v>
      </c>
      <c r="F20" s="6">
        <v>0.13500000000000001</v>
      </c>
      <c r="G20" s="6">
        <v>0.315</v>
      </c>
      <c r="H20" s="6">
        <v>1</v>
      </c>
      <c r="I20" s="6">
        <v>0.40600000000000003</v>
      </c>
      <c r="J20" s="6">
        <v>0.7</v>
      </c>
      <c r="K20" s="6">
        <v>1</v>
      </c>
      <c r="L20" s="6">
        <v>0.90200000000000002</v>
      </c>
      <c r="M20" s="6" t="s">
        <v>1538</v>
      </c>
      <c r="N20" s="6" t="s">
        <v>1542</v>
      </c>
    </row>
    <row r="21" spans="1:14" x14ac:dyDescent="0.3">
      <c r="A21" s="7" t="s">
        <v>478</v>
      </c>
      <c r="B21" s="7" t="s">
        <v>1014</v>
      </c>
      <c r="C21" s="7" t="s">
        <v>422</v>
      </c>
      <c r="D21" s="7">
        <v>0.15</v>
      </c>
      <c r="E21" s="7">
        <v>1</v>
      </c>
      <c r="F21" s="7">
        <v>4.3999999999999997E-2</v>
      </c>
      <c r="G21" s="7">
        <v>0.45</v>
      </c>
      <c r="H21" s="7">
        <v>1</v>
      </c>
      <c r="I21" s="7">
        <v>0.13100000000000001</v>
      </c>
      <c r="J21" s="7">
        <v>1</v>
      </c>
      <c r="K21" s="7">
        <v>1</v>
      </c>
      <c r="L21" s="7">
        <v>0.29099999999999998</v>
      </c>
      <c r="M21" s="7" t="s">
        <v>1538</v>
      </c>
      <c r="N21" s="7" t="s">
        <v>1539</v>
      </c>
    </row>
    <row r="22" spans="1:14" x14ac:dyDescent="0.3">
      <c r="A22" s="6" t="s">
        <v>482</v>
      </c>
      <c r="B22" s="6" t="s">
        <v>1069</v>
      </c>
      <c r="C22" s="6" t="s">
        <v>406</v>
      </c>
      <c r="D22" s="6">
        <v>0.12</v>
      </c>
      <c r="E22" s="6">
        <v>1</v>
      </c>
      <c r="F22" s="6">
        <v>0.108</v>
      </c>
      <c r="G22" s="6">
        <v>0.36</v>
      </c>
      <c r="H22" s="6">
        <v>1</v>
      </c>
      <c r="I22" s="6">
        <v>0.32300000000000001</v>
      </c>
      <c r="J22" s="6">
        <v>0.8</v>
      </c>
      <c r="K22" s="6">
        <v>1</v>
      </c>
      <c r="L22" s="6">
        <v>0.71799999999999997</v>
      </c>
      <c r="M22" s="6" t="s">
        <v>1538</v>
      </c>
      <c r="N22" s="6" t="s">
        <v>1539</v>
      </c>
    </row>
    <row r="23" spans="1:14" x14ac:dyDescent="0.3">
      <c r="A23" s="7" t="s">
        <v>488</v>
      </c>
      <c r="B23" s="7" t="s">
        <v>1071</v>
      </c>
      <c r="C23" s="7" t="s">
        <v>422</v>
      </c>
      <c r="D23" s="7">
        <v>0.13500000000000001</v>
      </c>
      <c r="E23" s="7">
        <v>1</v>
      </c>
      <c r="F23" s="7">
        <v>0.23799999999999999</v>
      </c>
      <c r="G23" s="7">
        <v>0.40500000000000003</v>
      </c>
      <c r="H23" s="7">
        <v>1</v>
      </c>
      <c r="I23" s="7">
        <v>0.71499999999999997</v>
      </c>
      <c r="J23" s="7">
        <v>0.9</v>
      </c>
      <c r="K23" s="7">
        <v>1</v>
      </c>
      <c r="L23" s="7">
        <v>1.589</v>
      </c>
      <c r="M23" s="7" t="s">
        <v>1538</v>
      </c>
      <c r="N23" s="7" t="s">
        <v>1539</v>
      </c>
    </row>
    <row r="24" spans="1:14" x14ac:dyDescent="0.3">
      <c r="A24" s="6" t="s">
        <v>491</v>
      </c>
      <c r="B24" s="6" t="s">
        <v>1073</v>
      </c>
      <c r="C24" s="6" t="s">
        <v>468</v>
      </c>
      <c r="D24" s="6">
        <v>0</v>
      </c>
      <c r="E24" s="6">
        <v>0</v>
      </c>
      <c r="F24" s="6">
        <v>0</v>
      </c>
      <c r="G24" s="6">
        <v>0</v>
      </c>
      <c r="H24" s="6">
        <v>0</v>
      </c>
      <c r="I24" s="6">
        <v>0</v>
      </c>
      <c r="J24" s="6">
        <v>0</v>
      </c>
      <c r="K24" s="6">
        <v>0</v>
      </c>
      <c r="L24" s="6">
        <v>0</v>
      </c>
      <c r="M24" s="6" t="s">
        <v>1541</v>
      </c>
      <c r="N24" s="6" t="s">
        <v>1540</v>
      </c>
    </row>
    <row r="25" spans="1:14" x14ac:dyDescent="0.3">
      <c r="A25" s="7" t="s">
        <v>496</v>
      </c>
      <c r="B25" s="7" t="s">
        <v>1076</v>
      </c>
      <c r="C25" s="7" t="s">
        <v>422</v>
      </c>
      <c r="D25" s="7">
        <v>0.12</v>
      </c>
      <c r="E25" s="7">
        <v>1</v>
      </c>
      <c r="F25" s="7">
        <v>4.3999999999999997E-2</v>
      </c>
      <c r="G25" s="7">
        <v>0.36</v>
      </c>
      <c r="H25" s="7">
        <v>1</v>
      </c>
      <c r="I25" s="7">
        <v>0.13100000000000001</v>
      </c>
      <c r="J25" s="7">
        <v>0.8</v>
      </c>
      <c r="K25" s="7">
        <v>1</v>
      </c>
      <c r="L25" s="7">
        <v>0.29099999999999998</v>
      </c>
      <c r="M25" s="7" t="s">
        <v>1538</v>
      </c>
      <c r="N25" s="7" t="s">
        <v>1539</v>
      </c>
    </row>
    <row r="26" spans="1:14" x14ac:dyDescent="0.3">
      <c r="A26" s="6" t="s">
        <v>500</v>
      </c>
      <c r="B26" s="6" t="s">
        <v>1078</v>
      </c>
      <c r="C26" s="6" t="s">
        <v>411</v>
      </c>
      <c r="D26" s="6">
        <v>0.03</v>
      </c>
      <c r="E26" s="6">
        <v>1</v>
      </c>
      <c r="F26" s="6">
        <v>0.35299999999999998</v>
      </c>
      <c r="G26" s="6">
        <v>0.09</v>
      </c>
      <c r="H26" s="6">
        <v>1</v>
      </c>
      <c r="I26" s="6">
        <v>1.06</v>
      </c>
      <c r="J26" s="6">
        <v>0.2</v>
      </c>
      <c r="K26" s="6">
        <v>1</v>
      </c>
      <c r="L26" s="6">
        <v>2.3559999999999999</v>
      </c>
      <c r="M26" s="6" t="s">
        <v>1538</v>
      </c>
      <c r="N26" s="6" t="s">
        <v>1540</v>
      </c>
    </row>
    <row r="28" spans="1:14" x14ac:dyDescent="0.3">
      <c r="A28" s="5" t="s">
        <v>1544</v>
      </c>
    </row>
    <row r="29" spans="1:14" x14ac:dyDescent="0.3">
      <c r="A29" s="5" t="s">
        <v>1545</v>
      </c>
      <c r="B29" s="5" t="s">
        <v>256</v>
      </c>
      <c r="C29" s="5" t="s">
        <v>1546</v>
      </c>
      <c r="D29" s="5" t="s">
        <v>1096</v>
      </c>
      <c r="E29" s="5" t="s">
        <v>1547</v>
      </c>
    </row>
    <row r="30" spans="1:14" x14ac:dyDescent="0.3">
      <c r="A30" s="69" t="s">
        <v>1548</v>
      </c>
      <c r="B30" s="69" t="s">
        <v>699</v>
      </c>
      <c r="C30" s="83">
        <v>6.2E-2</v>
      </c>
      <c r="D30" s="69" t="s">
        <v>1110</v>
      </c>
      <c r="E30" s="69" t="s">
        <v>1549</v>
      </c>
    </row>
    <row r="31" spans="1:14" x14ac:dyDescent="0.3">
      <c r="A31" s="75" t="s">
        <v>1550</v>
      </c>
      <c r="B31" s="75" t="s">
        <v>1551</v>
      </c>
      <c r="C31" s="89">
        <v>0.186</v>
      </c>
      <c r="D31" s="75" t="s">
        <v>1110</v>
      </c>
      <c r="E31" s="75" t="s">
        <v>1552</v>
      </c>
    </row>
    <row r="32" spans="1:14" x14ac:dyDescent="0.3">
      <c r="A32" s="100" t="s">
        <v>1553</v>
      </c>
      <c r="B32" s="100" t="s">
        <v>831</v>
      </c>
      <c r="C32" s="101">
        <v>0.41199999999999998</v>
      </c>
      <c r="D32" s="100" t="s">
        <v>1104</v>
      </c>
      <c r="E32" s="100" t="s">
        <v>1554</v>
      </c>
    </row>
    <row r="34" spans="1:1" x14ac:dyDescent="0.3">
      <c r="A34" s="102" t="s">
        <v>1555</v>
      </c>
    </row>
    <row r="35" spans="1:1" x14ac:dyDescent="0.3">
      <c r="A35" s="64" t="s">
        <v>1556</v>
      </c>
    </row>
  </sheetData>
  <mergeCells count="2">
    <mergeCell ref="A2:N2"/>
    <mergeCell ref="A1:N1"/>
  </mergeCells>
  <hyperlinks>
    <hyperlink ref="A1" location="'H01_PARAMETROS_GENERALES'!A1" tooltip="Volver a H01_PARAMETROS_GENERALES" display="🔙 Volver al Índice" xr:uid="{82546917-60A2-47E6-AD0A-7F758B4F99A4}"/>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EED87-0CEB-4C80-B0AC-EBD274FF6719}">
  <dimension ref="A1:G74"/>
  <sheetViews>
    <sheetView workbookViewId="0">
      <pane ySplit="5" topLeftCell="A6" activePane="bottomLeft" state="frozen"/>
      <selection pane="bottomLeft" activeCell="D48" sqref="D48"/>
    </sheetView>
  </sheetViews>
  <sheetFormatPr baseColWidth="10" defaultRowHeight="14.4" x14ac:dyDescent="0.3"/>
  <cols>
    <col min="1" max="2" width="51.88671875" customWidth="1"/>
    <col min="3" max="3" width="22.21875" customWidth="1"/>
    <col min="4" max="7" width="27.77734375" customWidth="1"/>
  </cols>
  <sheetData>
    <row r="1" spans="1:7" x14ac:dyDescent="0.3">
      <c r="A1" s="496" t="s">
        <v>2717</v>
      </c>
      <c r="B1" s="496"/>
      <c r="C1" s="496"/>
      <c r="D1" s="496"/>
      <c r="E1" s="496"/>
      <c r="F1" s="496"/>
      <c r="G1" s="496"/>
    </row>
    <row r="2" spans="1:7" x14ac:dyDescent="0.3">
      <c r="A2" s="483" t="s">
        <v>1557</v>
      </c>
      <c r="B2" s="483"/>
      <c r="C2" s="483"/>
      <c r="D2" s="483"/>
      <c r="E2" s="483"/>
      <c r="F2" s="483"/>
      <c r="G2" s="483"/>
    </row>
    <row r="3" spans="1:7" x14ac:dyDescent="0.3">
      <c r="A3" s="65" t="s">
        <v>1558</v>
      </c>
    </row>
    <row r="4" spans="1:7" x14ac:dyDescent="0.3">
      <c r="A4" t="s">
        <v>144</v>
      </c>
    </row>
    <row r="6" spans="1:7" x14ac:dyDescent="0.3">
      <c r="A6" s="5" t="s">
        <v>1559</v>
      </c>
    </row>
    <row r="7" spans="1:7" ht="18" x14ac:dyDescent="0.35">
      <c r="A7" s="103" t="s">
        <v>1560</v>
      </c>
      <c r="B7" s="357">
        <f>H14_CALCULO_ICPI!B32/100</f>
        <v>0.41236255973405345</v>
      </c>
    </row>
    <row r="8" spans="1:7" x14ac:dyDescent="0.3">
      <c r="A8" s="12" t="s">
        <v>1096</v>
      </c>
      <c r="B8" s="15" t="s">
        <v>1561</v>
      </c>
    </row>
    <row r="9" spans="1:7" x14ac:dyDescent="0.3">
      <c r="A9" s="12" t="s">
        <v>1562</v>
      </c>
      <c r="B9" s="358">
        <f>H01_PARAMETROS_GENERALES!B12</f>
        <v>1</v>
      </c>
    </row>
    <row r="10" spans="1:7" x14ac:dyDescent="0.3">
      <c r="A10" s="105" t="s">
        <v>213</v>
      </c>
      <c r="B10" s="359" t="str">
        <f>ROUND(H01_PARAMETROS_GENERALES!B12*100-H14_CALCULO_ICPI!B32,2)&amp;" puntos porcentuales"</f>
        <v>58,76 puntos porcentuales</v>
      </c>
    </row>
    <row r="11" spans="1:7" x14ac:dyDescent="0.3">
      <c r="A11" s="104" t="s">
        <v>1563</v>
      </c>
      <c r="B11" s="360" t="s">
        <v>1564</v>
      </c>
    </row>
    <row r="12" spans="1:7" x14ac:dyDescent="0.3">
      <c r="A12" s="12" t="s">
        <v>1565</v>
      </c>
      <c r="B12" s="15" t="str">
        <f>COUNTIF(H14_CALCULO_ICPI!J6:J25,1)&amp;" de 20 metas"</f>
        <v>15 de 20 metas</v>
      </c>
    </row>
    <row r="13" spans="1:7" x14ac:dyDescent="0.3">
      <c r="A13" s="12" t="s">
        <v>1566</v>
      </c>
      <c r="B13" s="15" t="s">
        <v>1567</v>
      </c>
    </row>
    <row r="15" spans="1:7" x14ac:dyDescent="0.3">
      <c r="A15" s="5" t="s">
        <v>1568</v>
      </c>
    </row>
    <row r="16" spans="1:7" x14ac:dyDescent="0.3">
      <c r="A16" s="5" t="s">
        <v>1119</v>
      </c>
      <c r="B16" s="5" t="s">
        <v>1265</v>
      </c>
      <c r="C16" s="5" t="s">
        <v>1369</v>
      </c>
      <c r="D16" s="5" t="s">
        <v>1569</v>
      </c>
      <c r="E16" s="5" t="s">
        <v>6</v>
      </c>
      <c r="F16" s="5" t="s">
        <v>1570</v>
      </c>
    </row>
    <row r="17" spans="1:7" x14ac:dyDescent="0.3">
      <c r="A17" s="70" t="s">
        <v>1571</v>
      </c>
      <c r="B17" s="70">
        <v>5</v>
      </c>
      <c r="C17" s="70" t="s">
        <v>1572</v>
      </c>
      <c r="D17" s="90">
        <v>0.90200000000000002</v>
      </c>
      <c r="E17" s="70" t="s">
        <v>1573</v>
      </c>
      <c r="F17" s="70" t="s">
        <v>1574</v>
      </c>
    </row>
    <row r="18" spans="1:7" x14ac:dyDescent="0.3">
      <c r="A18" s="100" t="s">
        <v>1575</v>
      </c>
      <c r="B18" s="100">
        <v>6</v>
      </c>
      <c r="C18" s="100" t="s">
        <v>1576</v>
      </c>
      <c r="D18" s="101">
        <v>0.68300000000000005</v>
      </c>
      <c r="E18" s="100" t="s">
        <v>1577</v>
      </c>
      <c r="F18" s="100" t="s">
        <v>1578</v>
      </c>
    </row>
    <row r="19" spans="1:7" x14ac:dyDescent="0.3">
      <c r="A19" s="106" t="s">
        <v>1579</v>
      </c>
      <c r="B19" s="106">
        <v>7</v>
      </c>
      <c r="C19" s="106" t="s">
        <v>1580</v>
      </c>
      <c r="D19" s="107">
        <v>0.125</v>
      </c>
      <c r="E19" s="106" t="s">
        <v>1581</v>
      </c>
      <c r="F19" s="106" t="s">
        <v>1582</v>
      </c>
    </row>
    <row r="20" spans="1:7" x14ac:dyDescent="0.3">
      <c r="A20" s="94" t="s">
        <v>1583</v>
      </c>
      <c r="B20" s="94">
        <v>2</v>
      </c>
      <c r="C20" s="94" t="s">
        <v>1584</v>
      </c>
      <c r="D20" s="95">
        <v>2.9000000000000001E-2</v>
      </c>
      <c r="E20" s="94" t="s">
        <v>1585</v>
      </c>
      <c r="F20" s="94" t="s">
        <v>1586</v>
      </c>
    </row>
    <row r="22" spans="1:7" x14ac:dyDescent="0.3">
      <c r="A22" s="5" t="s">
        <v>1587</v>
      </c>
    </row>
    <row r="23" spans="1:7" x14ac:dyDescent="0.3">
      <c r="A23" s="5" t="s">
        <v>1588</v>
      </c>
      <c r="B23" s="5" t="s">
        <v>6</v>
      </c>
      <c r="C23" s="5" t="s">
        <v>1412</v>
      </c>
      <c r="D23" s="5" t="s">
        <v>1589</v>
      </c>
      <c r="E23" s="5" t="s">
        <v>1590</v>
      </c>
      <c r="F23" s="5" t="s">
        <v>1370</v>
      </c>
      <c r="G23" s="5" t="s">
        <v>1591</v>
      </c>
    </row>
    <row r="24" spans="1:7" x14ac:dyDescent="0.3">
      <c r="A24" s="106" t="s">
        <v>1592</v>
      </c>
      <c r="B24" s="106" t="s">
        <v>1593</v>
      </c>
      <c r="C24" s="106">
        <v>6</v>
      </c>
      <c r="D24" s="107">
        <v>0.57899999999999996</v>
      </c>
      <c r="E24" s="107">
        <v>0.187</v>
      </c>
      <c r="F24" s="106" t="s">
        <v>1375</v>
      </c>
      <c r="G24" s="106" t="s">
        <v>1594</v>
      </c>
    </row>
    <row r="25" spans="1:7" x14ac:dyDescent="0.3">
      <c r="A25" s="70" t="s">
        <v>1595</v>
      </c>
      <c r="B25" s="70" t="s">
        <v>1596</v>
      </c>
      <c r="C25" s="70">
        <v>3</v>
      </c>
      <c r="D25" s="90">
        <v>9.4E-2</v>
      </c>
      <c r="E25" s="90">
        <v>0.73499999999999999</v>
      </c>
      <c r="F25" s="70" t="s">
        <v>1597</v>
      </c>
      <c r="G25" s="70" t="s">
        <v>1598</v>
      </c>
    </row>
    <row r="26" spans="1:7" x14ac:dyDescent="0.3">
      <c r="A26" s="100" t="s">
        <v>1599</v>
      </c>
      <c r="B26" s="100" t="s">
        <v>1600</v>
      </c>
      <c r="C26" s="100">
        <v>7</v>
      </c>
      <c r="D26" s="101">
        <v>0.17899999999999999</v>
      </c>
      <c r="E26" s="101">
        <v>0.42099999999999999</v>
      </c>
      <c r="F26" s="100" t="s">
        <v>1601</v>
      </c>
      <c r="G26" s="100" t="s">
        <v>1602</v>
      </c>
    </row>
    <row r="27" spans="1:7" x14ac:dyDescent="0.3">
      <c r="A27" s="100" t="s">
        <v>1603</v>
      </c>
      <c r="B27" s="100" t="s">
        <v>1604</v>
      </c>
      <c r="C27" s="100">
        <v>3</v>
      </c>
      <c r="D27" s="101">
        <v>0.10100000000000001</v>
      </c>
      <c r="E27" s="101">
        <v>0.64300000000000002</v>
      </c>
      <c r="F27" s="100" t="s">
        <v>1601</v>
      </c>
      <c r="G27" s="100" t="s">
        <v>1605</v>
      </c>
    </row>
    <row r="28" spans="1:7" x14ac:dyDescent="0.3">
      <c r="A28" s="70" t="s">
        <v>1606</v>
      </c>
      <c r="B28" s="70" t="s">
        <v>1607</v>
      </c>
      <c r="C28" s="70">
        <v>4</v>
      </c>
      <c r="D28" s="90">
        <v>3.3000000000000002E-2</v>
      </c>
      <c r="E28" s="90">
        <v>0.80500000000000005</v>
      </c>
      <c r="F28" s="70" t="s">
        <v>1597</v>
      </c>
      <c r="G28" s="70" t="s">
        <v>1608</v>
      </c>
    </row>
    <row r="30" spans="1:7" x14ac:dyDescent="0.3">
      <c r="A30" s="5" t="s">
        <v>1609</v>
      </c>
    </row>
    <row r="31" spans="1:7" x14ac:dyDescent="0.3">
      <c r="A31" s="18" t="s">
        <v>1610</v>
      </c>
      <c r="B31" s="18" t="s">
        <v>385</v>
      </c>
      <c r="C31" s="18" t="s">
        <v>6</v>
      </c>
      <c r="D31" s="18" t="s">
        <v>1611</v>
      </c>
      <c r="E31" s="18" t="s">
        <v>1119</v>
      </c>
    </row>
    <row r="32" spans="1:7" x14ac:dyDescent="0.3">
      <c r="A32" s="70" t="s">
        <v>1612</v>
      </c>
      <c r="B32" s="70" t="s">
        <v>451</v>
      </c>
      <c r="C32" s="70" t="s">
        <v>1216</v>
      </c>
      <c r="D32" s="90">
        <v>1</v>
      </c>
      <c r="E32" s="70" t="s">
        <v>422</v>
      </c>
    </row>
    <row r="33" spans="1:5" x14ac:dyDescent="0.3">
      <c r="A33" s="70" t="s">
        <v>1613</v>
      </c>
      <c r="B33" s="70" t="s">
        <v>470</v>
      </c>
      <c r="C33" s="70" t="s">
        <v>1614</v>
      </c>
      <c r="D33" s="90">
        <v>0.81200000000000006</v>
      </c>
      <c r="E33" s="70" t="s">
        <v>422</v>
      </c>
    </row>
    <row r="34" spans="1:5" x14ac:dyDescent="0.3">
      <c r="A34" s="70" t="s">
        <v>1615</v>
      </c>
      <c r="B34" s="70" t="s">
        <v>478</v>
      </c>
      <c r="C34" s="70" t="s">
        <v>1616</v>
      </c>
      <c r="D34" s="90">
        <v>1</v>
      </c>
      <c r="E34" s="70" t="s">
        <v>422</v>
      </c>
    </row>
    <row r="35" spans="1:5" x14ac:dyDescent="0.3">
      <c r="A35" s="70" t="s">
        <v>1617</v>
      </c>
      <c r="B35" s="70" t="s">
        <v>488</v>
      </c>
      <c r="C35" s="70" t="s">
        <v>489</v>
      </c>
      <c r="D35" s="90">
        <v>0.9</v>
      </c>
      <c r="E35" s="70" t="s">
        <v>422</v>
      </c>
    </row>
    <row r="36" spans="1:5" x14ac:dyDescent="0.3">
      <c r="A36" s="70" t="s">
        <v>1618</v>
      </c>
      <c r="B36" s="70" t="s">
        <v>418</v>
      </c>
      <c r="C36" s="70" t="s">
        <v>419</v>
      </c>
      <c r="D36" s="90">
        <v>0.9</v>
      </c>
      <c r="E36" s="70" t="s">
        <v>422</v>
      </c>
    </row>
    <row r="37" spans="1:5" x14ac:dyDescent="0.3">
      <c r="A37" s="66" t="s">
        <v>1610</v>
      </c>
      <c r="B37" s="66" t="s">
        <v>385</v>
      </c>
      <c r="C37" s="66" t="s">
        <v>6</v>
      </c>
      <c r="D37" s="66" t="s">
        <v>1611</v>
      </c>
      <c r="E37" s="66" t="s">
        <v>1119</v>
      </c>
    </row>
    <row r="38" spans="1:5" x14ac:dyDescent="0.3">
      <c r="A38" s="69" t="s">
        <v>1619</v>
      </c>
      <c r="B38" s="69" t="s">
        <v>491</v>
      </c>
      <c r="C38" s="69" t="s">
        <v>492</v>
      </c>
      <c r="D38" s="83">
        <v>0</v>
      </c>
      <c r="E38" s="69" t="s">
        <v>1620</v>
      </c>
    </row>
    <row r="39" spans="1:5" x14ac:dyDescent="0.3">
      <c r="A39" s="69" t="s">
        <v>1621</v>
      </c>
      <c r="B39" s="69" t="s">
        <v>413</v>
      </c>
      <c r="C39" s="69" t="s">
        <v>414</v>
      </c>
      <c r="D39" s="83">
        <v>0</v>
      </c>
      <c r="E39" s="69" t="s">
        <v>411</v>
      </c>
    </row>
    <row r="40" spans="1:5" x14ac:dyDescent="0.3">
      <c r="A40" s="69" t="s">
        <v>1622</v>
      </c>
      <c r="B40" s="69" t="s">
        <v>441</v>
      </c>
      <c r="C40" s="69" t="s">
        <v>442</v>
      </c>
      <c r="D40" s="83">
        <v>0</v>
      </c>
      <c r="E40" s="69" t="s">
        <v>411</v>
      </c>
    </row>
    <row r="41" spans="1:5" x14ac:dyDescent="0.3">
      <c r="A41" s="69" t="s">
        <v>1623</v>
      </c>
      <c r="B41" s="69" t="s">
        <v>447</v>
      </c>
      <c r="C41" s="69" t="s">
        <v>448</v>
      </c>
      <c r="D41" s="83">
        <v>0</v>
      </c>
      <c r="E41" s="69" t="s">
        <v>411</v>
      </c>
    </row>
    <row r="42" spans="1:5" x14ac:dyDescent="0.3">
      <c r="A42" s="69" t="s">
        <v>1624</v>
      </c>
      <c r="B42" s="69" t="s">
        <v>430</v>
      </c>
      <c r="C42" s="69" t="s">
        <v>1625</v>
      </c>
      <c r="D42" s="83">
        <v>0</v>
      </c>
      <c r="E42" s="69" t="s">
        <v>411</v>
      </c>
    </row>
    <row r="44" spans="1:5" x14ac:dyDescent="0.3">
      <c r="A44" s="5" t="s">
        <v>1626</v>
      </c>
    </row>
    <row r="45" spans="1:5" x14ac:dyDescent="0.3">
      <c r="A45" s="7" t="s">
        <v>1627</v>
      </c>
      <c r="B45" s="41">
        <f>H15_INDICES_COMPLEMENTARIOS!B31/100</f>
        <v>0.9</v>
      </c>
    </row>
    <row r="46" spans="1:5" x14ac:dyDescent="0.3">
      <c r="A46" s="6" t="s">
        <v>245</v>
      </c>
      <c r="B46" s="6" t="s">
        <v>1628</v>
      </c>
    </row>
    <row r="47" spans="1:5" x14ac:dyDescent="0.3">
      <c r="A47" s="7" t="s">
        <v>1250</v>
      </c>
      <c r="B47" s="7" t="s">
        <v>1629</v>
      </c>
    </row>
    <row r="48" spans="1:5" x14ac:dyDescent="0.3">
      <c r="A48" s="6" t="s">
        <v>1630</v>
      </c>
      <c r="B48" s="6" t="s">
        <v>1631</v>
      </c>
    </row>
    <row r="50" spans="1:5" x14ac:dyDescent="0.3">
      <c r="A50" s="5" t="s">
        <v>1632</v>
      </c>
    </row>
    <row r="51" spans="1:5" x14ac:dyDescent="0.3">
      <c r="A51" s="7" t="s">
        <v>1633</v>
      </c>
      <c r="B51" s="41">
        <f>H16_ITAM_TRANSPARENCIA!B27</f>
        <v>0.62093175853018368</v>
      </c>
    </row>
    <row r="52" spans="1:5" x14ac:dyDescent="0.3">
      <c r="A52" s="6" t="s">
        <v>1119</v>
      </c>
      <c r="B52" s="6" t="s">
        <v>1634</v>
      </c>
    </row>
    <row r="53" spans="1:5" x14ac:dyDescent="0.3">
      <c r="A53" s="7" t="s">
        <v>1635</v>
      </c>
      <c r="B53" s="7" t="s">
        <v>1636</v>
      </c>
    </row>
    <row r="54" spans="1:5" x14ac:dyDescent="0.3">
      <c r="A54" s="6" t="s">
        <v>1637</v>
      </c>
      <c r="B54" s="6" t="s">
        <v>1638</v>
      </c>
    </row>
    <row r="56" spans="1:5" x14ac:dyDescent="0.3">
      <c r="A56" s="5" t="s">
        <v>1639</v>
      </c>
    </row>
    <row r="57" spans="1:5" x14ac:dyDescent="0.3">
      <c r="A57" s="7" t="s">
        <v>1171</v>
      </c>
      <c r="B57" s="7" t="s">
        <v>1640</v>
      </c>
    </row>
    <row r="58" spans="1:5" x14ac:dyDescent="0.3">
      <c r="A58" s="6" t="s">
        <v>1175</v>
      </c>
      <c r="B58" s="6" t="s">
        <v>1641</v>
      </c>
    </row>
    <row r="59" spans="1:5" x14ac:dyDescent="0.3">
      <c r="A59" s="7" t="s">
        <v>1179</v>
      </c>
      <c r="B59" s="7" t="s">
        <v>1642</v>
      </c>
    </row>
    <row r="61" spans="1:5" x14ac:dyDescent="0.3">
      <c r="A61" s="5" t="s">
        <v>1643</v>
      </c>
    </row>
    <row r="62" spans="1:5" x14ac:dyDescent="0.3">
      <c r="A62" s="5" t="s">
        <v>1644</v>
      </c>
      <c r="B62" s="5" t="s">
        <v>1302</v>
      </c>
      <c r="C62" s="5" t="s">
        <v>1645</v>
      </c>
      <c r="D62" s="5" t="s">
        <v>1463</v>
      </c>
      <c r="E62" s="5" t="s">
        <v>1646</v>
      </c>
    </row>
    <row r="63" spans="1:5" x14ac:dyDescent="0.3">
      <c r="A63" s="91" t="s">
        <v>1647</v>
      </c>
      <c r="B63" s="91" t="s">
        <v>1648</v>
      </c>
      <c r="C63" s="91" t="s">
        <v>1649</v>
      </c>
      <c r="D63" s="91" t="s">
        <v>1476</v>
      </c>
      <c r="E63" s="91" t="s">
        <v>1650</v>
      </c>
    </row>
    <row r="64" spans="1:5" x14ac:dyDescent="0.3">
      <c r="A64" s="6" t="s">
        <v>1651</v>
      </c>
      <c r="B64" s="6" t="s">
        <v>1652</v>
      </c>
      <c r="C64" s="6" t="s">
        <v>1653</v>
      </c>
      <c r="D64" s="108">
        <v>45689</v>
      </c>
      <c r="E64" s="6" t="s">
        <v>1654</v>
      </c>
    </row>
    <row r="65" spans="1:5" x14ac:dyDescent="0.3">
      <c r="A65" s="91" t="s">
        <v>1655</v>
      </c>
      <c r="B65" s="91" t="s">
        <v>1656</v>
      </c>
      <c r="C65" s="91" t="s">
        <v>463</v>
      </c>
      <c r="D65" s="91" t="s">
        <v>1657</v>
      </c>
      <c r="E65" s="91" t="s">
        <v>1658</v>
      </c>
    </row>
    <row r="66" spans="1:5" x14ac:dyDescent="0.3">
      <c r="A66" s="6" t="s">
        <v>1659</v>
      </c>
      <c r="B66" s="6" t="s">
        <v>1660</v>
      </c>
      <c r="C66" s="6" t="s">
        <v>491</v>
      </c>
      <c r="D66" s="6" t="s">
        <v>1657</v>
      </c>
      <c r="E66" s="6" t="s">
        <v>1661</v>
      </c>
    </row>
    <row r="67" spans="1:5" x14ac:dyDescent="0.3">
      <c r="A67" s="91" t="s">
        <v>1662</v>
      </c>
      <c r="B67" s="91" t="s">
        <v>1663</v>
      </c>
      <c r="C67" s="91" t="s">
        <v>1664</v>
      </c>
      <c r="D67" s="91" t="s">
        <v>1476</v>
      </c>
      <c r="E67" s="91" t="s">
        <v>1665</v>
      </c>
    </row>
    <row r="69" spans="1:5" x14ac:dyDescent="0.3">
      <c r="A69" s="5" t="s">
        <v>1666</v>
      </c>
    </row>
    <row r="70" spans="1:5" x14ac:dyDescent="0.3">
      <c r="A70" s="6" t="s">
        <v>1667</v>
      </c>
      <c r="B70" s="6" t="s">
        <v>1668</v>
      </c>
    </row>
    <row r="71" spans="1:5" x14ac:dyDescent="0.3">
      <c r="A71" s="7" t="s">
        <v>1669</v>
      </c>
      <c r="B71" s="7" t="s">
        <v>1670</v>
      </c>
    </row>
    <row r="72" spans="1:5" x14ac:dyDescent="0.3">
      <c r="A72" s="6" t="s">
        <v>1671</v>
      </c>
      <c r="B72" s="6" t="s">
        <v>1672</v>
      </c>
    </row>
    <row r="73" spans="1:5" x14ac:dyDescent="0.3">
      <c r="A73" s="7" t="s">
        <v>1673</v>
      </c>
      <c r="B73" s="7" t="s">
        <v>1674</v>
      </c>
    </row>
    <row r="74" spans="1:5" x14ac:dyDescent="0.3">
      <c r="A74" s="6" t="s">
        <v>1675</v>
      </c>
      <c r="B74" s="6" t="s">
        <v>1676</v>
      </c>
    </row>
  </sheetData>
  <mergeCells count="2">
    <mergeCell ref="A2:G2"/>
    <mergeCell ref="A1:G1"/>
  </mergeCells>
  <hyperlinks>
    <hyperlink ref="A1" location="'H01_PARAMETROS_GENERALES'!A1" tooltip="Volver a H01_PARAMETROS_GENERALES" display="🔙 Volver al Índice" xr:uid="{5A410644-89BA-4AD4-87D6-25D8A62504A2}"/>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E8CF-7B14-46A8-B70B-334BCD8B3EF5}">
  <dimension ref="A1:E62"/>
  <sheetViews>
    <sheetView zoomScale="89" zoomScaleNormal="89" workbookViewId="0">
      <pane ySplit="1" topLeftCell="A2" activePane="bottomLeft" state="frozen"/>
      <selection pane="bottomLeft" activeCell="B50" sqref="B50"/>
    </sheetView>
  </sheetViews>
  <sheetFormatPr baseColWidth="10" defaultRowHeight="14.4" x14ac:dyDescent="0.3"/>
  <cols>
    <col min="1" max="1" width="46.33203125" customWidth="1"/>
    <col min="2" max="2" width="37" customWidth="1"/>
    <col min="3" max="3" width="46.33203125" customWidth="1"/>
    <col min="4" max="4" width="34.109375" bestFit="1" customWidth="1"/>
    <col min="5" max="5" width="75.88671875" bestFit="1" customWidth="1"/>
  </cols>
  <sheetData>
    <row r="1" spans="1:5" x14ac:dyDescent="0.3">
      <c r="A1" s="466" t="s">
        <v>2717</v>
      </c>
      <c r="B1" s="466"/>
      <c r="C1" s="466"/>
      <c r="D1" s="466"/>
      <c r="E1" s="466"/>
    </row>
    <row r="2" spans="1:5" x14ac:dyDescent="0.3">
      <c r="A2" s="499" t="s">
        <v>1677</v>
      </c>
      <c r="B2" s="499"/>
      <c r="C2" s="499"/>
      <c r="D2" s="499"/>
      <c r="E2" s="499"/>
    </row>
    <row r="3" spans="1:5" x14ac:dyDescent="0.3">
      <c r="A3" s="82" t="s">
        <v>1678</v>
      </c>
    </row>
    <row r="5" spans="1:5" x14ac:dyDescent="0.3">
      <c r="A5" t="s">
        <v>1679</v>
      </c>
    </row>
    <row r="6" spans="1:5" ht="15.6" x14ac:dyDescent="0.3">
      <c r="A6" s="492" t="s">
        <v>1680</v>
      </c>
      <c r="B6" s="492"/>
      <c r="C6" s="492"/>
      <c r="D6" s="492"/>
      <c r="E6" s="492"/>
    </row>
    <row r="7" spans="1:5" x14ac:dyDescent="0.3">
      <c r="A7" s="5" t="s">
        <v>1560</v>
      </c>
      <c r="B7" s="5" t="s">
        <v>1681</v>
      </c>
      <c r="C7" s="5" t="s">
        <v>1682</v>
      </c>
      <c r="D7" s="5" t="s">
        <v>1683</v>
      </c>
    </row>
    <row r="8" spans="1:5" ht="23.4" x14ac:dyDescent="0.45">
      <c r="A8" s="308">
        <f>H14_CALCULO_ICPI!B32/100</f>
        <v>0.41236255973405345</v>
      </c>
      <c r="B8" s="309">
        <f>H01_PARAMETROS_GENERALES!B12</f>
        <v>1</v>
      </c>
      <c r="C8" s="310" t="str">
        <f>"-"&amp;TEXT(H01_PARAMETROS_GENERALES!B12*100-H14_CALCULO_ICPI!B32,"0.0")&amp;" pp"</f>
        <v>-59 pp</v>
      </c>
      <c r="D8" s="311" t="str">
        <f>COUNTIF(H14_CALCULO_ICPI!J6:J25,1)&amp;" / 20"</f>
        <v>15 / 20</v>
      </c>
    </row>
    <row r="9" spans="1:5" x14ac:dyDescent="0.3">
      <c r="A9" s="237" t="str">
        <f>IF(H14_CALCULO_ICPI!B32&gt;=90,"✅ Excelencia",IF(H14_CALCULO_ICPI!B32&gt;=70,"✅ Gestión por Mandato",IF(H14_CALCULO_ICPI!B32&gt;=40,"⚠️ Transición Crítica",IF(H14_CALCULO_ICPI!B32&gt;=20,"🔶 Gestión por Ocurrencia","🔴 Ruptura Sistémica"))))</f>
        <v>⚠️ Transición Crítica</v>
      </c>
      <c r="B9" s="237" t="str">
        <f>TEXT(H01_PARAMETROS_GENERALES!B12,"0%")&amp;" — "&amp;IF(H01_PARAMETROS_GENERALES!B12&gt;=0.9,"Cumplimiento Certificado",IF(H01_PARAMETROS_GENERALES!B12&gt;=0.8,"Alta Fidelidad (SIGAD)","Revisar"))</f>
        <v>100% — Cumplimiento Certificado</v>
      </c>
      <c r="C9" s="237" t="str">
        <f>IF(ABS(H01_PARAMETROS_GENERALES!B12*100-H14_CALCULO_ICPI!B32)&gt;50,"🔴 Brecha Crítica (&gt;50pp)",IF(ABS(H01_PARAMETROS_GENERALES!B12*100-H14_CALCULO_ICPI!B32)&gt;30,"🟠 Brecha Alta (&gt;30pp)","🟡 Brecha Media"))</f>
        <v>🔴 Brecha Crítica (&gt;50pp)</v>
      </c>
      <c r="D9" s="237" t="str">
        <f>TEXT(COUNTIF(H14_CALCULO_ICPI!J6:J25,1)/20,"0.0%")&amp;" del portafolio"</f>
        <v>75% del portafolio</v>
      </c>
    </row>
    <row r="11" spans="1:5" ht="15.6" x14ac:dyDescent="0.3">
      <c r="A11" s="497" t="s">
        <v>1684</v>
      </c>
      <c r="B11" s="497"/>
      <c r="C11" s="497"/>
      <c r="D11" s="497"/>
      <c r="E11" s="497"/>
    </row>
    <row r="12" spans="1:5" x14ac:dyDescent="0.3">
      <c r="A12" s="5" t="s">
        <v>1588</v>
      </c>
      <c r="B12" s="5" t="s">
        <v>292</v>
      </c>
      <c r="C12" s="5" t="s">
        <v>1685</v>
      </c>
      <c r="D12" s="5" t="s">
        <v>1370</v>
      </c>
      <c r="E12" s="5" t="s">
        <v>1686</v>
      </c>
    </row>
    <row r="13" spans="1:5" x14ac:dyDescent="0.3">
      <c r="A13" s="106" t="s">
        <v>275</v>
      </c>
      <c r="B13" s="106" t="s">
        <v>276</v>
      </c>
      <c r="C13" s="330">
        <v>0.187</v>
      </c>
      <c r="D13" s="106" t="s">
        <v>1375</v>
      </c>
      <c r="E13" s="330">
        <v>0.57899999999999996</v>
      </c>
    </row>
    <row r="14" spans="1:5" x14ac:dyDescent="0.3">
      <c r="A14" s="70" t="s">
        <v>278</v>
      </c>
      <c r="B14" s="70" t="s">
        <v>279</v>
      </c>
      <c r="C14" s="331">
        <v>0.73499999999999999</v>
      </c>
      <c r="D14" s="70" t="s">
        <v>1597</v>
      </c>
      <c r="E14" s="331">
        <v>9.4E-2</v>
      </c>
    </row>
    <row r="15" spans="1:5" x14ac:dyDescent="0.3">
      <c r="A15" s="100" t="s">
        <v>281</v>
      </c>
      <c r="B15" s="100" t="s">
        <v>282</v>
      </c>
      <c r="C15" s="332">
        <v>0.42099999999999999</v>
      </c>
      <c r="D15" s="100" t="s">
        <v>1601</v>
      </c>
      <c r="E15" s="332">
        <v>0.17899999999999999</v>
      </c>
    </row>
    <row r="16" spans="1:5" x14ac:dyDescent="0.3">
      <c r="A16" s="100" t="s">
        <v>284</v>
      </c>
      <c r="B16" s="100" t="s">
        <v>285</v>
      </c>
      <c r="C16" s="332">
        <v>0.64300000000000002</v>
      </c>
      <c r="D16" s="100" t="s">
        <v>1601</v>
      </c>
      <c r="E16" s="332">
        <v>0.10100000000000001</v>
      </c>
    </row>
    <row r="17" spans="1:5" x14ac:dyDescent="0.3">
      <c r="A17" s="70" t="s">
        <v>287</v>
      </c>
      <c r="B17" s="70" t="s">
        <v>288</v>
      </c>
      <c r="C17" s="331">
        <v>0.80500000000000005</v>
      </c>
      <c r="D17" s="70" t="s">
        <v>1597</v>
      </c>
      <c r="E17" s="331">
        <v>3.3000000000000002E-2</v>
      </c>
    </row>
    <row r="19" spans="1:5" ht="15.6" x14ac:dyDescent="0.3">
      <c r="A19" s="497" t="s">
        <v>1687</v>
      </c>
      <c r="B19" s="497"/>
      <c r="C19" s="497"/>
      <c r="D19" s="497"/>
      <c r="E19" s="497"/>
    </row>
    <row r="20" spans="1:5" x14ac:dyDescent="0.3">
      <c r="A20" s="5" t="s">
        <v>1688</v>
      </c>
      <c r="B20" s="5" t="s">
        <v>1413</v>
      </c>
      <c r="C20" s="5" t="s">
        <v>1119</v>
      </c>
      <c r="D20" s="5" t="s">
        <v>1370</v>
      </c>
    </row>
    <row r="21" spans="1:5" x14ac:dyDescent="0.3">
      <c r="A21" s="100" t="s">
        <v>405</v>
      </c>
      <c r="B21" s="101">
        <f>H18_IED_EFICIENCIA_DIRECTIVA!C7</f>
        <v>0.45500000000000002</v>
      </c>
      <c r="C21" s="100" t="s">
        <v>1689</v>
      </c>
      <c r="D21" s="100" t="s">
        <v>1371</v>
      </c>
    </row>
    <row r="22" spans="1:5" x14ac:dyDescent="0.3">
      <c r="A22" s="106" t="s">
        <v>434</v>
      </c>
      <c r="B22" s="107">
        <f>H18_IED_EFICIENCIA_DIRECTIVA!C8</f>
        <v>0.26100000000000001</v>
      </c>
      <c r="C22" s="106" t="s">
        <v>1690</v>
      </c>
      <c r="D22" s="106" t="s">
        <v>1375</v>
      </c>
    </row>
    <row r="23" spans="1:5" x14ac:dyDescent="0.3">
      <c r="A23" s="70" t="s">
        <v>1274</v>
      </c>
      <c r="B23" s="90">
        <f>H18_IED_EFICIENCIA_DIRECTIVA!C9</f>
        <v>0.95799999999999996</v>
      </c>
      <c r="C23" s="70" t="s">
        <v>1691</v>
      </c>
      <c r="D23" s="70" t="s">
        <v>1378</v>
      </c>
    </row>
    <row r="24" spans="1:5" x14ac:dyDescent="0.3">
      <c r="A24" s="70" t="s">
        <v>461</v>
      </c>
      <c r="B24" s="90">
        <f>H18_IED_EFICIENCIA_DIRECTIVA!C10</f>
        <v>0.873</v>
      </c>
      <c r="C24" s="70" t="s">
        <v>1692</v>
      </c>
      <c r="D24" s="70" t="s">
        <v>1378</v>
      </c>
    </row>
    <row r="25" spans="1:5" x14ac:dyDescent="0.3">
      <c r="A25" s="106" t="s">
        <v>445</v>
      </c>
      <c r="B25" s="107">
        <f>H18_IED_EFICIENCIA_DIRECTIVA!C11</f>
        <v>0.34899999999999998</v>
      </c>
      <c r="C25" s="106" t="s">
        <v>1693</v>
      </c>
      <c r="D25" s="106" t="s">
        <v>1375</v>
      </c>
    </row>
    <row r="26" spans="1:5" x14ac:dyDescent="0.3">
      <c r="A26" s="91" t="s">
        <v>486</v>
      </c>
      <c r="B26" s="92">
        <f>H18_IED_EFICIENCIA_DIRECTIVA!C12</f>
        <v>0.8</v>
      </c>
      <c r="C26" s="91" t="s">
        <v>1694</v>
      </c>
      <c r="D26" s="91" t="s">
        <v>1378</v>
      </c>
    </row>
    <row r="27" spans="1:5" x14ac:dyDescent="0.3">
      <c r="A27" s="91" t="s">
        <v>499</v>
      </c>
      <c r="B27" s="92">
        <f>H18_IED_EFICIENCIA_DIRECTIVA!C13</f>
        <v>0.8</v>
      </c>
      <c r="C27" s="91" t="s">
        <v>1692</v>
      </c>
      <c r="D27" s="91" t="s">
        <v>1378</v>
      </c>
    </row>
    <row r="28" spans="1:5" x14ac:dyDescent="0.3">
      <c r="A28" s="94" t="s">
        <v>999</v>
      </c>
      <c r="B28" s="95">
        <f>H18_IED_EFICIENCIA_DIRECTIVA!C14</f>
        <v>2.9000000000000001E-2</v>
      </c>
      <c r="C28" s="94" t="s">
        <v>1695</v>
      </c>
      <c r="D28" s="94" t="s">
        <v>1375</v>
      </c>
    </row>
    <row r="30" spans="1:5" ht="15.6" x14ac:dyDescent="0.3">
      <c r="A30" s="497" t="s">
        <v>1696</v>
      </c>
      <c r="B30" s="497"/>
      <c r="C30" s="497"/>
      <c r="D30" s="497"/>
      <c r="E30" s="497"/>
    </row>
    <row r="31" spans="1:5" x14ac:dyDescent="0.3">
      <c r="A31" s="18" t="s">
        <v>1697</v>
      </c>
      <c r="B31" s="18"/>
      <c r="C31" s="18"/>
    </row>
    <row r="32" spans="1:5" x14ac:dyDescent="0.3">
      <c r="A32" s="70" t="s">
        <v>1698</v>
      </c>
      <c r="B32" s="109">
        <v>1</v>
      </c>
      <c r="C32" s="70" t="s">
        <v>1699</v>
      </c>
    </row>
    <row r="33" spans="1:5" x14ac:dyDescent="0.3">
      <c r="A33" s="70" t="s">
        <v>1700</v>
      </c>
      <c r="B33" s="90">
        <v>0.81200000000000006</v>
      </c>
      <c r="C33" s="70" t="s">
        <v>1699</v>
      </c>
    </row>
    <row r="34" spans="1:5" x14ac:dyDescent="0.3">
      <c r="A34" s="70" t="s">
        <v>1701</v>
      </c>
      <c r="B34" s="109">
        <v>1</v>
      </c>
      <c r="C34" s="70" t="s">
        <v>1699</v>
      </c>
    </row>
    <row r="35" spans="1:5" x14ac:dyDescent="0.3">
      <c r="A35" s="70" t="s">
        <v>1702</v>
      </c>
      <c r="B35" s="109">
        <v>0.9</v>
      </c>
      <c r="C35" s="70" t="s">
        <v>1699</v>
      </c>
    </row>
    <row r="36" spans="1:5" x14ac:dyDescent="0.3">
      <c r="A36" s="70" t="s">
        <v>1703</v>
      </c>
      <c r="B36" s="109">
        <v>0.9</v>
      </c>
      <c r="C36" s="70" t="s">
        <v>1699</v>
      </c>
    </row>
    <row r="37" spans="1:5" x14ac:dyDescent="0.3">
      <c r="A37" s="66" t="s">
        <v>1704</v>
      </c>
      <c r="B37" s="66"/>
      <c r="C37" s="66"/>
    </row>
    <row r="38" spans="1:5" x14ac:dyDescent="0.3">
      <c r="A38" s="69" t="s">
        <v>1705</v>
      </c>
      <c r="B38" s="110">
        <v>0</v>
      </c>
      <c r="C38" s="69" t="s">
        <v>1706</v>
      </c>
    </row>
    <row r="39" spans="1:5" x14ac:dyDescent="0.3">
      <c r="A39" s="69" t="s">
        <v>1707</v>
      </c>
      <c r="B39" s="110">
        <v>0</v>
      </c>
      <c r="C39" s="69" t="s">
        <v>411</v>
      </c>
    </row>
    <row r="40" spans="1:5" x14ac:dyDescent="0.3">
      <c r="A40" s="69" t="s">
        <v>1708</v>
      </c>
      <c r="B40" s="110">
        <v>0</v>
      </c>
      <c r="C40" s="69" t="s">
        <v>411</v>
      </c>
    </row>
    <row r="41" spans="1:5" x14ac:dyDescent="0.3">
      <c r="A41" s="69" t="s">
        <v>1709</v>
      </c>
      <c r="B41" s="110">
        <v>0</v>
      </c>
      <c r="C41" s="69" t="s">
        <v>411</v>
      </c>
    </row>
    <row r="42" spans="1:5" x14ac:dyDescent="0.3">
      <c r="A42" s="69" t="s">
        <v>1710</v>
      </c>
      <c r="B42" s="110">
        <v>0</v>
      </c>
      <c r="C42" s="69" t="s">
        <v>411</v>
      </c>
    </row>
    <row r="44" spans="1:5" ht="15.6" x14ac:dyDescent="0.3">
      <c r="A44" s="497" t="s">
        <v>1711</v>
      </c>
      <c r="B44" s="497"/>
      <c r="C44" s="497"/>
      <c r="D44" s="497"/>
      <c r="E44" s="497"/>
    </row>
    <row r="45" spans="1:5" x14ac:dyDescent="0.3">
      <c r="A45" s="106" t="s">
        <v>1712</v>
      </c>
      <c r="B45" s="106" t="s">
        <v>1713</v>
      </c>
      <c r="C45" s="106" t="s">
        <v>1714</v>
      </c>
    </row>
    <row r="46" spans="1:5" x14ac:dyDescent="0.3">
      <c r="A46" s="70" t="s">
        <v>1715</v>
      </c>
      <c r="B46" s="70" t="s">
        <v>1716</v>
      </c>
      <c r="C46" s="70" t="s">
        <v>1717</v>
      </c>
    </row>
    <row r="47" spans="1:5" x14ac:dyDescent="0.3">
      <c r="A47" s="106" t="s">
        <v>1718</v>
      </c>
      <c r="B47" s="106" t="s">
        <v>1719</v>
      </c>
      <c r="C47" s="106" t="s">
        <v>1720</v>
      </c>
    </row>
    <row r="49" spans="1:5" ht="15.6" x14ac:dyDescent="0.3">
      <c r="A49" s="498" t="s">
        <v>1721</v>
      </c>
      <c r="B49" s="498"/>
      <c r="C49" s="498"/>
      <c r="D49" s="498"/>
      <c r="E49" s="498"/>
    </row>
    <row r="50" spans="1:5" x14ac:dyDescent="0.3">
      <c r="A50" s="70" t="s">
        <v>1722</v>
      </c>
      <c r="B50" s="331">
        <f>H15_INDICES_COMPLEMENTARIOS!B31/100</f>
        <v>0.9</v>
      </c>
      <c r="C50" s="70" t="s">
        <v>1628</v>
      </c>
    </row>
    <row r="51" spans="1:5" x14ac:dyDescent="0.3">
      <c r="A51" s="6" t="s">
        <v>1250</v>
      </c>
      <c r="B51" s="6" t="s">
        <v>1723</v>
      </c>
      <c r="C51" s="6" t="s">
        <v>1724</v>
      </c>
    </row>
    <row r="53" spans="1:5" ht="15.6" x14ac:dyDescent="0.3">
      <c r="A53" s="497" t="s">
        <v>1725</v>
      </c>
      <c r="B53" s="497"/>
      <c r="C53" s="497"/>
      <c r="D53" s="497"/>
      <c r="E53" s="497"/>
    </row>
    <row r="54" spans="1:5" x14ac:dyDescent="0.3">
      <c r="A54" s="229" t="s">
        <v>1119</v>
      </c>
      <c r="B54" s="229" t="s">
        <v>1369</v>
      </c>
      <c r="C54" s="229" t="s">
        <v>1569</v>
      </c>
      <c r="D54" s="229" t="s">
        <v>2303</v>
      </c>
      <c r="E54" s="229" t="s">
        <v>2304</v>
      </c>
    </row>
    <row r="55" spans="1:5" x14ac:dyDescent="0.3">
      <c r="A55" s="249" t="s">
        <v>1571</v>
      </c>
      <c r="B55" s="249">
        <f>COUNTIF(H14_CALCULO_ICPI!Q6:Q25,"Nivel1")</f>
        <v>6</v>
      </c>
      <c r="C55" s="250" cm="1">
        <f t="array" ref="C55">IFERROR(SUMPRODUCT((H14_CALCULO_ICPI!Q6:Q25="Nivel1")*H14_CALCULO_ICPI!N6:N25)/SUMPRODUCT((H14_CALCULO_ICPI!Q6:Q25="Nivel1")*H14_CALCULO_ICPI!O6:O25),0)</f>
        <v>0.90232905982905998</v>
      </c>
      <c r="D55" s="251">
        <f>IFERROR(AVERAGEIF(H14_CALCULO_ICPI!Q6:Q25,"Nivel1",H14_CALCULO_ICPI!K6:K25),0)</f>
        <v>0.93333333333333324</v>
      </c>
      <c r="E55" s="249" t="s">
        <v>2305</v>
      </c>
    </row>
    <row r="56" spans="1:5" x14ac:dyDescent="0.3">
      <c r="A56" s="252" t="s">
        <v>1726</v>
      </c>
      <c r="B56" s="252">
        <f>COUNTIF(H14_CALCULO_ICPI!Q6:Q25,"Nivel2")</f>
        <v>6</v>
      </c>
      <c r="C56" s="253" cm="1">
        <f t="array" ref="C56">IFERROR(SUMPRODUCT((H14_CALCULO_ICPI!Q6:Q25="Nivel2")*H14_CALCULO_ICPI!N6:N25)/SUMPRODUCT((H14_CALCULO_ICPI!Q6:Q25="Nivel2")*H14_CALCULO_ICPI!O6:O25),0)</f>
        <v>0.80868081395348845</v>
      </c>
      <c r="D56" s="254">
        <f>IFERROR(AVERAGEIF(H14_CALCULO_ICPI!Q6:Q25,"Nivel2",H14_CALCULO_ICPI!K6:K25),0)</f>
        <v>0.76333333333333331</v>
      </c>
      <c r="E56" s="252" t="s">
        <v>2306</v>
      </c>
    </row>
    <row r="57" spans="1:5" x14ac:dyDescent="0.3">
      <c r="A57" s="255" t="s">
        <v>1727</v>
      </c>
      <c r="B57" s="255">
        <f>COUNTIF(H14_CALCULO_ICPI!Q6:Q25,"Nivel3")</f>
        <v>6</v>
      </c>
      <c r="C57" s="256" cm="1">
        <f t="array" ref="C57">IFERROR(SUMPRODUCT((H14_CALCULO_ICPI!Q6:Q25="Nivel3")*H14_CALCULO_ICPI!N6:N25)/SUMPRODUCT((H14_CALCULO_ICPI!Q6:Q25="Nivel3")*H14_CALCULO_ICPI!O6:O25),0)</f>
        <v>6.6483300589390962E-2</v>
      </c>
      <c r="D57" s="257">
        <f>IFERROR(AVERAGEIF(H14_CALCULO_ICPI!Q6:Q25,"Nivel3",H14_CALCULO_ICPI!K6:K25),0)</f>
        <v>7.3333333333333348E-2</v>
      </c>
      <c r="E57" s="255" t="s">
        <v>2307</v>
      </c>
    </row>
    <row r="58" spans="1:5" x14ac:dyDescent="0.3">
      <c r="A58" s="258" t="s">
        <v>1728</v>
      </c>
      <c r="B58" s="258">
        <f>COUNTIF(H14_CALCULO_ICPI!Q6:Q25,"Nivel4")</f>
        <v>2</v>
      </c>
      <c r="C58" s="259" cm="1">
        <f t="array" ref="C58">IFERROR(SUMPRODUCT((H14_CALCULO_ICPI!Q6:Q25="Nivel4")*H14_CALCULO_ICPI!N6:N25)/SUMPRODUCT((H14_CALCULO_ICPI!Q6:Q25="Nivel4")*H14_CALCULO_ICPI!O6:O25),0)</f>
        <v>2.8500000000000001E-2</v>
      </c>
      <c r="D58" s="260">
        <f>IFERROR(AVERAGEIF(H14_CALCULO_ICPI!Q6:Q25,"Nivel4",H14_CALCULO_ICPI!K6:K25),0)</f>
        <v>0.04</v>
      </c>
      <c r="E58" s="258" t="s">
        <v>2308</v>
      </c>
    </row>
    <row r="59" spans="1:5" x14ac:dyDescent="0.3">
      <c r="A59" s="261" t="s">
        <v>2309</v>
      </c>
    </row>
    <row r="60" spans="1:5" x14ac:dyDescent="0.3">
      <c r="A60" s="494" t="s">
        <v>2293</v>
      </c>
      <c r="B60" s="494"/>
      <c r="C60" s="494"/>
      <c r="D60" s="494"/>
      <c r="E60" s="494"/>
    </row>
    <row r="61" spans="1:5" x14ac:dyDescent="0.3">
      <c r="A61" s="238" t="str">
        <f>IF(A8&gt;=0.9,"✅ EXCELENCIA: El ciclo documental del PDOT está íntegro. La trazabilidad entre lo planificado, contratado, ejecutado y reportado es certificable.",IF(A8&gt;=0.7,"✅ GESTIÓN POR MANDATO: Alta fidelidad al PDOT con desviaciones menores corregibles. Se recomienda regularizar documentación faltante antes del cierre.",IF(A8&gt;=0.4,"⚠️ TRANSICIÓN CRÍTICA: Desconexión orgánica significativa. Existe ejecución pero la trazabilidad documental está incompleta. Acción preventiva recomendada.",IF(A8&gt;=0.2,"🔶 GESTIÓN POR OCURRENCIA: Desconexión severa entre lo planificado y lo ejecutable. La mayoría del presupuesto estratégico carece de trazabilidad certificable.","🔴 RUPTURA SISTÉMICA: Opacidad estructural. El sistema no puede certificar la congruencia programática con la información disponible."))))</f>
        <v>⚠️ TRANSICIÓN CRÍTICA: Desconexión orgánica significativa. Existe ejecución pero la trazabilidad documental está incompleta. Acción preventiva recomendada.</v>
      </c>
    </row>
    <row r="62" spans="1:5" x14ac:dyDescent="0.3">
      <c r="A62" s="239" t="s">
        <v>2294</v>
      </c>
    </row>
  </sheetData>
  <mergeCells count="10">
    <mergeCell ref="A1:E1"/>
    <mergeCell ref="A2:E2"/>
    <mergeCell ref="A6:E6"/>
    <mergeCell ref="A11:E11"/>
    <mergeCell ref="A19:E19"/>
    <mergeCell ref="A30:E30"/>
    <mergeCell ref="A44:E44"/>
    <mergeCell ref="A49:E49"/>
    <mergeCell ref="A53:E53"/>
    <mergeCell ref="A60:E60"/>
  </mergeCells>
  <hyperlinks>
    <hyperlink ref="A1" location="'H01_PARAMETROS_GENERALES'!A1" tooltip="Volver a H01_PARAMETROS_GENERALES" display="🔙 Volver al Índice" xr:uid="{8F3B1753-EDE3-4C8E-BDC4-CA76708E0459}"/>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EB09-E544-4210-A4AB-AAAF602F01B3}">
  <dimension ref="A1:N47"/>
  <sheetViews>
    <sheetView workbookViewId="0">
      <pane ySplit="1" topLeftCell="A6" activePane="bottomLeft" state="frozen"/>
      <selection pane="bottomLeft" activeCell="E17" sqref="E17"/>
    </sheetView>
  </sheetViews>
  <sheetFormatPr baseColWidth="10" defaultRowHeight="14.4" x14ac:dyDescent="0.3"/>
  <cols>
    <col min="1" max="6" width="18.33203125" customWidth="1"/>
    <col min="7" max="12" width="14.21875" customWidth="1"/>
    <col min="13" max="14" width="16.33203125" customWidth="1"/>
  </cols>
  <sheetData>
    <row r="1" spans="1:14" ht="28.05" customHeight="1" x14ac:dyDescent="0.35">
      <c r="A1" s="530" t="s">
        <v>2717</v>
      </c>
      <c r="B1" s="531"/>
      <c r="C1" s="531"/>
      <c r="D1" s="531"/>
      <c r="E1" s="531"/>
      <c r="F1" s="531"/>
      <c r="G1" s="531"/>
      <c r="H1" s="531"/>
      <c r="I1" s="531"/>
      <c r="J1" s="531"/>
      <c r="K1" s="531"/>
      <c r="L1" s="531"/>
      <c r="M1" s="531"/>
      <c r="N1" s="531"/>
    </row>
    <row r="2" spans="1:14" ht="18" customHeight="1" x14ac:dyDescent="0.3">
      <c r="A2" s="532" t="s">
        <v>1735</v>
      </c>
      <c r="B2" s="532"/>
      <c r="C2" s="532"/>
      <c r="D2" s="532"/>
      <c r="E2" s="532"/>
      <c r="F2" s="532"/>
      <c r="G2" s="532"/>
      <c r="H2" s="532"/>
      <c r="I2" s="532"/>
      <c r="J2" s="532"/>
      <c r="K2" s="532"/>
      <c r="L2" s="532"/>
      <c r="M2" s="532"/>
      <c r="N2" s="532"/>
    </row>
    <row r="3" spans="1:14" ht="21" customHeight="1" x14ac:dyDescent="0.3">
      <c r="A3" s="241" t="s">
        <v>2297</v>
      </c>
      <c r="B3" s="111"/>
      <c r="C3" s="111"/>
      <c r="D3" s="111"/>
      <c r="E3" s="111"/>
      <c r="F3" s="111"/>
      <c r="G3" s="111"/>
      <c r="H3" s="111"/>
      <c r="I3" s="111"/>
      <c r="J3" s="111"/>
      <c r="K3" s="111"/>
      <c r="L3" s="111"/>
      <c r="M3" s="111"/>
      <c r="N3" s="111"/>
    </row>
    <row r="4" spans="1:14" ht="19.95" customHeight="1" x14ac:dyDescent="0.3">
      <c r="A4" s="370" t="s">
        <v>1736</v>
      </c>
      <c r="B4" s="370"/>
      <c r="C4" s="370"/>
      <c r="D4" s="370"/>
      <c r="E4" s="370"/>
      <c r="F4" s="370"/>
      <c r="G4" s="370"/>
      <c r="H4" s="370"/>
      <c r="I4" s="370"/>
      <c r="J4" s="370"/>
      <c r="K4" s="370"/>
      <c r="L4" s="370"/>
      <c r="M4" s="370"/>
      <c r="N4" s="370"/>
    </row>
    <row r="5" spans="1:14" x14ac:dyDescent="0.3">
      <c r="A5" s="533" t="s">
        <v>2623</v>
      </c>
      <c r="B5" s="534"/>
      <c r="C5" s="534"/>
      <c r="D5" s="523" t="s">
        <v>1729</v>
      </c>
      <c r="E5" s="523"/>
      <c r="F5" s="523"/>
      <c r="G5" s="504" t="s">
        <v>1730</v>
      </c>
      <c r="H5" s="504"/>
      <c r="I5" s="504"/>
      <c r="J5" s="539" t="s">
        <v>1731</v>
      </c>
      <c r="K5" s="539"/>
      <c r="L5" s="539"/>
    </row>
    <row r="6" spans="1:14" x14ac:dyDescent="0.3">
      <c r="A6" s="535">
        <f>H04B_DATOS_CNE!B52/100</f>
        <v>0.97499999999999998</v>
      </c>
      <c r="B6" s="536"/>
      <c r="C6" s="536"/>
      <c r="D6" s="524" t="s">
        <v>1737</v>
      </c>
      <c r="E6" s="524"/>
      <c r="F6" s="524"/>
      <c r="G6" s="527">
        <f>H15_INDICES_COMPLEMENTARIOS!B44</f>
        <v>2.8500000000000001E-2</v>
      </c>
      <c r="H6" s="527"/>
      <c r="I6" s="527"/>
      <c r="J6" s="540" t="s">
        <v>1732</v>
      </c>
      <c r="K6" s="540"/>
      <c r="L6" s="540"/>
    </row>
    <row r="7" spans="1:14" x14ac:dyDescent="0.3">
      <c r="A7" s="536"/>
      <c r="B7" s="536"/>
      <c r="C7" s="536"/>
      <c r="D7" s="524"/>
      <c r="E7" s="524"/>
      <c r="F7" s="524"/>
      <c r="G7" s="527"/>
      <c r="H7" s="527"/>
      <c r="I7" s="527"/>
      <c r="J7" s="540"/>
      <c r="K7" s="540"/>
      <c r="L7" s="540"/>
    </row>
    <row r="8" spans="1:14" x14ac:dyDescent="0.3">
      <c r="A8" s="537" t="str">
        <f>"§3.7.1 — "&amp;H04B_DATOS_CNE!B51&amp;" promesas CNE verificadas en 5 ejes | Fuente: H04B_DATOS_CNE"</f>
        <v>§3.7.1 — 20 promesas CNE verificadas en 5 ejes | Fuente: H04B_DATOS_CNE</v>
      </c>
      <c r="B8" s="538"/>
      <c r="C8" s="538"/>
      <c r="D8" s="525" t="s">
        <v>1738</v>
      </c>
      <c r="E8" s="525"/>
      <c r="F8" s="525"/>
      <c r="G8" s="528" t="s">
        <v>1733</v>
      </c>
      <c r="H8" s="528"/>
      <c r="I8" s="528"/>
      <c r="J8" s="541" t="s">
        <v>1734</v>
      </c>
      <c r="K8" s="541"/>
      <c r="L8" s="541"/>
    </row>
    <row r="9" spans="1:14" x14ac:dyDescent="0.3">
      <c r="A9" s="521" t="str">
        <f>IF(H04B_DATOS_CNE!B52&gt;=85,"✓ Alta Fidelidad Electoral",IF(H04B_DATOS_CNE!B52&gt;=60,"⚠ Fidelidad Moderada","🔴 Ruptura Mandato"))</f>
        <v>✓ Alta Fidelidad Electoral</v>
      </c>
      <c r="B9" s="522"/>
      <c r="C9" s="522"/>
      <c r="D9" s="526" t="s">
        <v>1739</v>
      </c>
      <c r="E9" s="526"/>
      <c r="F9" s="526"/>
      <c r="G9" s="529" t="s">
        <v>1740</v>
      </c>
      <c r="H9" s="529"/>
      <c r="I9" s="529"/>
      <c r="J9" s="518" t="s">
        <v>1741</v>
      </c>
      <c r="K9" s="518"/>
      <c r="L9" s="518"/>
    </row>
    <row r="10" spans="1:14" x14ac:dyDescent="0.3">
      <c r="A10" t="s">
        <v>1742</v>
      </c>
    </row>
    <row r="11" spans="1:14" x14ac:dyDescent="0.3">
      <c r="A11" s="519" t="s">
        <v>1743</v>
      </c>
      <c r="B11" s="519"/>
      <c r="C11" s="519"/>
      <c r="D11" s="519"/>
      <c r="E11" s="519"/>
      <c r="F11" s="519"/>
      <c r="G11" s="519"/>
      <c r="H11" s="519"/>
      <c r="I11" s="519"/>
      <c r="J11" s="519"/>
      <c r="K11" s="519"/>
      <c r="L11" s="519"/>
      <c r="M11" s="519"/>
      <c r="N11" s="519"/>
    </row>
    <row r="12" spans="1:14" x14ac:dyDescent="0.3">
      <c r="A12" s="114" t="s">
        <v>1744</v>
      </c>
      <c r="B12" s="114" t="s">
        <v>1745</v>
      </c>
      <c r="C12" s="114" t="s">
        <v>1746</v>
      </c>
      <c r="D12" s="114" t="s">
        <v>1747</v>
      </c>
      <c r="E12" s="114" t="s">
        <v>1748</v>
      </c>
      <c r="F12" s="114" t="s">
        <v>1749</v>
      </c>
      <c r="G12" s="114" t="s">
        <v>1750</v>
      </c>
      <c r="H12" s="114" t="s">
        <v>1751</v>
      </c>
      <c r="I12" s="114" t="s">
        <v>1752</v>
      </c>
    </row>
    <row r="13" spans="1:14" ht="19.95" customHeight="1" x14ac:dyDescent="0.3">
      <c r="A13" s="118" t="s">
        <v>1753</v>
      </c>
      <c r="B13" s="115" t="s">
        <v>1754</v>
      </c>
      <c r="C13" s="115" t="s">
        <v>1755</v>
      </c>
      <c r="D13" s="115" t="s">
        <v>1756</v>
      </c>
      <c r="E13" s="116">
        <v>46116</v>
      </c>
      <c r="F13" s="119" t="s">
        <v>1757</v>
      </c>
      <c r="G13" s="115">
        <v>95</v>
      </c>
      <c r="H13" s="117">
        <v>0.2</v>
      </c>
      <c r="I13" s="115">
        <f>G13*0.2</f>
        <v>19</v>
      </c>
    </row>
    <row r="14" spans="1:14" ht="19.95" customHeight="1" x14ac:dyDescent="0.3">
      <c r="A14" s="123" t="s">
        <v>1758</v>
      </c>
      <c r="B14" s="120" t="s">
        <v>1759</v>
      </c>
      <c r="C14" s="120" t="s">
        <v>1760</v>
      </c>
      <c r="D14" s="120" t="s">
        <v>1761</v>
      </c>
      <c r="E14" s="121">
        <v>46023</v>
      </c>
      <c r="F14" s="124" t="s">
        <v>1757</v>
      </c>
      <c r="G14" s="120">
        <v>100</v>
      </c>
      <c r="H14" s="122">
        <v>0.25</v>
      </c>
      <c r="I14" s="120">
        <f>G14*0.25</f>
        <v>25</v>
      </c>
    </row>
    <row r="15" spans="1:14" ht="19.95" customHeight="1" x14ac:dyDescent="0.3">
      <c r="A15" s="118" t="s">
        <v>1762</v>
      </c>
      <c r="B15" s="115" t="s">
        <v>1763</v>
      </c>
      <c r="C15" s="115" t="s">
        <v>1764</v>
      </c>
      <c r="D15" s="115" t="s">
        <v>1765</v>
      </c>
      <c r="E15" s="117">
        <v>0.8</v>
      </c>
      <c r="F15" s="119" t="s">
        <v>1757</v>
      </c>
      <c r="G15" s="115">
        <v>80</v>
      </c>
      <c r="H15" s="117">
        <v>0.2</v>
      </c>
      <c r="I15" s="115">
        <f>G15*0.2</f>
        <v>16</v>
      </c>
    </row>
    <row r="16" spans="1:14" ht="19.95" customHeight="1" x14ac:dyDescent="0.3">
      <c r="A16" s="128" t="s">
        <v>1766</v>
      </c>
      <c r="B16" s="125" t="s">
        <v>1767</v>
      </c>
      <c r="C16" s="125" t="s">
        <v>1768</v>
      </c>
      <c r="D16" s="125" t="s">
        <v>1769</v>
      </c>
      <c r="E16" s="126">
        <f>H15_INDICES_COMPLEMENTARIOS!B44</f>
        <v>2.8500000000000001E-2</v>
      </c>
      <c r="F16" s="129" t="s">
        <v>1770</v>
      </c>
      <c r="G16" s="125">
        <v>57</v>
      </c>
      <c r="H16" s="127">
        <v>0.15</v>
      </c>
      <c r="I16" s="125">
        <f>G16*0.15</f>
        <v>8.5499999999999989</v>
      </c>
    </row>
    <row r="17" spans="1:14" ht="19.95" customHeight="1" x14ac:dyDescent="0.3">
      <c r="A17" s="123" t="s">
        <v>1771</v>
      </c>
      <c r="B17" s="120" t="s">
        <v>1772</v>
      </c>
      <c r="C17" s="120" t="s">
        <v>1773</v>
      </c>
      <c r="D17" s="120" t="s">
        <v>1774</v>
      </c>
      <c r="E17" s="122">
        <v>0.85</v>
      </c>
      <c r="F17" s="124" t="s">
        <v>1757</v>
      </c>
      <c r="G17" s="120">
        <v>85</v>
      </c>
      <c r="H17" s="122">
        <v>0.1</v>
      </c>
      <c r="I17" s="120">
        <f>G17*0.1</f>
        <v>8.5</v>
      </c>
    </row>
    <row r="18" spans="1:14" ht="19.95" customHeight="1" x14ac:dyDescent="0.3">
      <c r="A18" s="118" t="s">
        <v>1775</v>
      </c>
      <c r="B18" s="115" t="s">
        <v>1767</v>
      </c>
      <c r="C18" s="115" t="s">
        <v>1776</v>
      </c>
      <c r="D18" s="115" t="s">
        <v>1777</v>
      </c>
      <c r="E18" s="116">
        <v>46055</v>
      </c>
      <c r="F18" s="119" t="s">
        <v>1757</v>
      </c>
      <c r="G18" s="115">
        <v>100</v>
      </c>
      <c r="H18" s="117">
        <v>0.1</v>
      </c>
      <c r="I18" s="115">
        <f>G18*0.1</f>
        <v>10</v>
      </c>
    </row>
    <row r="19" spans="1:14" ht="19.95" customHeight="1" x14ac:dyDescent="0.3">
      <c r="A19" s="405" t="s">
        <v>1778</v>
      </c>
      <c r="B19" s="405"/>
      <c r="C19" s="405"/>
      <c r="D19" s="405"/>
      <c r="E19" s="405"/>
      <c r="F19" s="405"/>
      <c r="G19" s="130"/>
      <c r="H19" s="131">
        <v>1</v>
      </c>
      <c r="I19" s="132">
        <f>SUM(I13:I18)</f>
        <v>87.05</v>
      </c>
    </row>
    <row r="20" spans="1:14" ht="19.95" customHeight="1" x14ac:dyDescent="0.3">
      <c r="A20" t="s">
        <v>1742</v>
      </c>
    </row>
    <row r="21" spans="1:14" ht="19.95" customHeight="1" x14ac:dyDescent="0.3">
      <c r="A21" s="370" t="s">
        <v>1779</v>
      </c>
      <c r="B21" s="370"/>
      <c r="C21" s="370"/>
      <c r="D21" s="370"/>
      <c r="E21" s="370"/>
      <c r="F21" s="370"/>
      <c r="G21" s="370"/>
      <c r="H21" s="370"/>
      <c r="I21" s="370"/>
      <c r="J21" s="370"/>
      <c r="K21" s="370"/>
      <c r="L21" s="370"/>
      <c r="M21" s="370"/>
      <c r="N21" s="370"/>
    </row>
    <row r="22" spans="1:14" ht="19.95" customHeight="1" x14ac:dyDescent="0.3">
      <c r="A22" s="520" t="s">
        <v>1780</v>
      </c>
      <c r="B22" s="520"/>
      <c r="C22" s="520" t="s">
        <v>1781</v>
      </c>
      <c r="D22" s="520"/>
      <c r="E22" s="520" t="s">
        <v>1782</v>
      </c>
      <c r="F22" s="520"/>
      <c r="G22" s="520" t="s">
        <v>1783</v>
      </c>
      <c r="H22" s="520"/>
      <c r="I22" s="520" t="s">
        <v>1784</v>
      </c>
      <c r="J22" s="520"/>
      <c r="K22" s="520" t="s">
        <v>1749</v>
      </c>
      <c r="L22" s="520"/>
    </row>
    <row r="23" spans="1:14" ht="19.95" customHeight="1" x14ac:dyDescent="0.3">
      <c r="A23" s="513" t="s">
        <v>1785</v>
      </c>
      <c r="B23" s="514"/>
      <c r="C23" s="514" t="s">
        <v>1786</v>
      </c>
      <c r="D23" s="514"/>
      <c r="E23" s="514" t="s">
        <v>1787</v>
      </c>
      <c r="F23" s="514"/>
      <c r="G23" s="514" t="s">
        <v>1788</v>
      </c>
      <c r="H23" s="514"/>
      <c r="I23" s="514" t="s">
        <v>1789</v>
      </c>
      <c r="J23" s="514"/>
      <c r="K23" s="516" t="s">
        <v>1790</v>
      </c>
      <c r="L23" s="516"/>
    </row>
    <row r="24" spans="1:14" ht="19.95" customHeight="1" x14ac:dyDescent="0.3">
      <c r="A24" s="507" t="s">
        <v>1791</v>
      </c>
      <c r="B24" s="508"/>
      <c r="C24" s="511">
        <v>45352</v>
      </c>
      <c r="D24" s="511"/>
      <c r="E24" s="508" t="s">
        <v>1792</v>
      </c>
      <c r="F24" s="508"/>
      <c r="G24" s="508" t="s">
        <v>1793</v>
      </c>
      <c r="H24" s="508"/>
      <c r="I24" s="508" t="s">
        <v>1794</v>
      </c>
      <c r="J24" s="508"/>
      <c r="K24" s="517" t="s">
        <v>1790</v>
      </c>
      <c r="L24" s="517"/>
    </row>
    <row r="25" spans="1:14" ht="19.95" customHeight="1" x14ac:dyDescent="0.3">
      <c r="A25" s="513" t="s">
        <v>1795</v>
      </c>
      <c r="B25" s="514"/>
      <c r="C25" s="514" t="s">
        <v>1796</v>
      </c>
      <c r="D25" s="514"/>
      <c r="E25" s="514" t="s">
        <v>1797</v>
      </c>
      <c r="F25" s="514"/>
      <c r="G25" s="514" t="s">
        <v>1798</v>
      </c>
      <c r="H25" s="514"/>
      <c r="I25" s="514" t="s">
        <v>1799</v>
      </c>
      <c r="J25" s="514"/>
      <c r="K25" s="516" t="s">
        <v>1790</v>
      </c>
      <c r="L25" s="516"/>
    </row>
    <row r="26" spans="1:14" ht="19.95" customHeight="1" x14ac:dyDescent="0.3">
      <c r="A26" s="507" t="s">
        <v>1800</v>
      </c>
      <c r="B26" s="508"/>
      <c r="C26" s="511">
        <v>45444</v>
      </c>
      <c r="D26" s="511"/>
      <c r="E26" s="508" t="s">
        <v>1801</v>
      </c>
      <c r="F26" s="508"/>
      <c r="G26" s="508" t="s">
        <v>1802</v>
      </c>
      <c r="H26" s="508"/>
      <c r="I26" s="508" t="s">
        <v>1803</v>
      </c>
      <c r="J26" s="508"/>
      <c r="K26" s="517" t="s">
        <v>1790</v>
      </c>
      <c r="L26" s="517"/>
    </row>
    <row r="27" spans="1:14" ht="19.95" customHeight="1" x14ac:dyDescent="0.3">
      <c r="A27" s="513" t="s">
        <v>1785</v>
      </c>
      <c r="B27" s="514"/>
      <c r="C27" s="515">
        <v>45536</v>
      </c>
      <c r="D27" s="515"/>
      <c r="E27" s="514" t="s">
        <v>1804</v>
      </c>
      <c r="F27" s="514"/>
      <c r="G27" s="514" t="s">
        <v>1805</v>
      </c>
      <c r="H27" s="514"/>
      <c r="I27" s="514" t="s">
        <v>1806</v>
      </c>
      <c r="J27" s="514"/>
      <c r="K27" s="516" t="s">
        <v>1790</v>
      </c>
      <c r="L27" s="516"/>
    </row>
    <row r="28" spans="1:14" ht="19.95" customHeight="1" x14ac:dyDescent="0.3">
      <c r="A28" s="507" t="s">
        <v>1807</v>
      </c>
      <c r="B28" s="508"/>
      <c r="C28" s="511">
        <v>45597</v>
      </c>
      <c r="D28" s="511"/>
      <c r="E28" s="508" t="s">
        <v>1808</v>
      </c>
      <c r="F28" s="508"/>
      <c r="G28" s="508" t="s">
        <v>1809</v>
      </c>
      <c r="H28" s="508"/>
      <c r="I28" s="508" t="s">
        <v>1810</v>
      </c>
      <c r="J28" s="508"/>
      <c r="K28" s="512" t="s">
        <v>1811</v>
      </c>
      <c r="L28" s="512"/>
    </row>
    <row r="29" spans="1:14" ht="19.95" customHeight="1" x14ac:dyDescent="0.3"/>
    <row r="30" spans="1:14" ht="19.95" customHeight="1" x14ac:dyDescent="0.3">
      <c r="A30" t="s">
        <v>1742</v>
      </c>
    </row>
    <row r="31" spans="1:14" ht="19.95" customHeight="1" x14ac:dyDescent="0.3">
      <c r="A31" s="509" t="s">
        <v>1812</v>
      </c>
      <c r="B31" s="509"/>
      <c r="C31" s="509"/>
      <c r="D31" s="509"/>
      <c r="E31" s="509"/>
      <c r="F31" s="509"/>
      <c r="G31" s="509"/>
      <c r="H31" s="509"/>
      <c r="I31" s="509"/>
      <c r="J31" s="509"/>
      <c r="K31" s="509"/>
      <c r="L31" s="509"/>
      <c r="M31" s="509"/>
      <c r="N31" s="509"/>
    </row>
    <row r="32" spans="1:14" ht="19.95" customHeight="1" x14ac:dyDescent="0.3">
      <c r="A32" s="510" t="s">
        <v>1813</v>
      </c>
      <c r="B32" s="510"/>
      <c r="C32" s="510" t="s">
        <v>1814</v>
      </c>
      <c r="D32" s="510"/>
      <c r="E32" s="510" t="s">
        <v>1746</v>
      </c>
      <c r="F32" s="510"/>
      <c r="G32" s="510"/>
      <c r="H32" s="510" t="s">
        <v>1815</v>
      </c>
      <c r="I32" s="510"/>
      <c r="J32" s="510"/>
      <c r="K32" s="510" t="s">
        <v>1816</v>
      </c>
      <c r="L32" s="510"/>
      <c r="M32" s="510" t="s">
        <v>1817</v>
      </c>
      <c r="N32" s="510"/>
    </row>
    <row r="33" spans="1:14" ht="19.95" customHeight="1" x14ac:dyDescent="0.3">
      <c r="A33" s="505" t="s">
        <v>1818</v>
      </c>
      <c r="B33" s="506"/>
      <c r="C33" s="506" t="s">
        <v>1819</v>
      </c>
      <c r="D33" s="506"/>
      <c r="E33" s="506" t="s">
        <v>1820</v>
      </c>
      <c r="F33" s="506"/>
      <c r="G33" s="506"/>
      <c r="H33" s="506" t="s">
        <v>1821</v>
      </c>
      <c r="I33" s="506"/>
      <c r="J33" s="506"/>
      <c r="K33" s="506" t="s">
        <v>1822</v>
      </c>
      <c r="L33" s="506"/>
      <c r="M33" s="506" t="s">
        <v>1823</v>
      </c>
      <c r="N33" s="506"/>
    </row>
    <row r="34" spans="1:14" ht="19.95" customHeight="1" x14ac:dyDescent="0.3">
      <c r="A34" s="507" t="s">
        <v>1824</v>
      </c>
      <c r="B34" s="508"/>
      <c r="C34" s="508" t="s">
        <v>1825</v>
      </c>
      <c r="D34" s="508"/>
      <c r="E34" s="508" t="s">
        <v>1758</v>
      </c>
      <c r="F34" s="508"/>
      <c r="G34" s="508"/>
      <c r="H34" s="508" t="s">
        <v>1826</v>
      </c>
      <c r="I34" s="508"/>
      <c r="J34" s="508"/>
      <c r="K34" s="508" t="s">
        <v>1827</v>
      </c>
      <c r="L34" s="508"/>
      <c r="M34" s="508" t="s">
        <v>1828</v>
      </c>
      <c r="N34" s="508"/>
    </row>
    <row r="35" spans="1:14" ht="19.95" customHeight="1" x14ac:dyDescent="0.3">
      <c r="A35" s="505" t="s">
        <v>1829</v>
      </c>
      <c r="B35" s="506"/>
      <c r="C35" s="506" t="s">
        <v>1830</v>
      </c>
      <c r="D35" s="506"/>
      <c r="E35" s="506" t="s">
        <v>1831</v>
      </c>
      <c r="F35" s="506"/>
      <c r="G35" s="506"/>
      <c r="H35" s="506" t="s">
        <v>1773</v>
      </c>
      <c r="I35" s="506"/>
      <c r="J35" s="506"/>
      <c r="K35" s="506" t="s">
        <v>1832</v>
      </c>
      <c r="L35" s="506"/>
      <c r="M35" s="506" t="s">
        <v>1833</v>
      </c>
      <c r="N35" s="506"/>
    </row>
    <row r="36" spans="1:14" ht="19.95" customHeight="1" x14ac:dyDescent="0.3">
      <c r="A36" s="507" t="s">
        <v>1767</v>
      </c>
      <c r="B36" s="508"/>
      <c r="C36" s="508" t="s">
        <v>1834</v>
      </c>
      <c r="D36" s="508"/>
      <c r="E36" s="508" t="s">
        <v>1766</v>
      </c>
      <c r="F36" s="508"/>
      <c r="G36" s="508"/>
      <c r="H36" s="508" t="s">
        <v>1835</v>
      </c>
      <c r="I36" s="508"/>
      <c r="J36" s="508"/>
      <c r="K36" s="508" t="s">
        <v>1836</v>
      </c>
      <c r="L36" s="508"/>
      <c r="M36" s="508" t="s">
        <v>1837</v>
      </c>
      <c r="N36" s="508"/>
    </row>
    <row r="37" spans="1:14" ht="19.95" customHeight="1" x14ac:dyDescent="0.3">
      <c r="A37" s="505" t="s">
        <v>1838</v>
      </c>
      <c r="B37" s="506"/>
      <c r="C37" s="506" t="s">
        <v>1839</v>
      </c>
      <c r="D37" s="506"/>
      <c r="E37" s="506" t="s">
        <v>1840</v>
      </c>
      <c r="F37" s="506"/>
      <c r="G37" s="506"/>
      <c r="H37" s="506" t="s">
        <v>1841</v>
      </c>
      <c r="I37" s="506"/>
      <c r="J37" s="506"/>
      <c r="K37" s="506" t="s">
        <v>1842</v>
      </c>
      <c r="L37" s="506"/>
      <c r="M37" s="506" t="s">
        <v>164</v>
      </c>
      <c r="N37" s="506"/>
    </row>
    <row r="38" spans="1:14" ht="19.95" customHeight="1" x14ac:dyDescent="0.3"/>
    <row r="39" spans="1:14" ht="19.95" customHeight="1" x14ac:dyDescent="0.3">
      <c r="A39" t="s">
        <v>1742</v>
      </c>
    </row>
    <row r="40" spans="1:14" ht="19.95" customHeight="1" x14ac:dyDescent="0.3">
      <c r="A40" s="503" t="s">
        <v>1843</v>
      </c>
      <c r="B40" s="503"/>
      <c r="C40" s="503"/>
      <c r="D40" s="503"/>
      <c r="E40" s="503"/>
      <c r="F40" s="503"/>
      <c r="G40" s="503"/>
      <c r="H40" s="503"/>
      <c r="I40" s="503"/>
      <c r="J40" s="503"/>
      <c r="K40" s="503"/>
      <c r="L40" s="503"/>
      <c r="M40" s="503"/>
      <c r="N40" s="503"/>
    </row>
    <row r="41" spans="1:14" ht="19.95" customHeight="1" x14ac:dyDescent="0.3">
      <c r="A41" s="112" t="s">
        <v>1644</v>
      </c>
      <c r="B41" s="504" t="s">
        <v>1844</v>
      </c>
      <c r="C41" s="504"/>
      <c r="D41" s="504" t="s">
        <v>1845</v>
      </c>
      <c r="E41" s="504"/>
      <c r="F41" s="504" t="s">
        <v>1846</v>
      </c>
      <c r="G41" s="504"/>
      <c r="H41" s="504"/>
      <c r="I41" s="504"/>
      <c r="J41" s="504"/>
      <c r="K41" s="504" t="s">
        <v>1847</v>
      </c>
      <c r="L41" s="504"/>
      <c r="M41" s="504" t="s">
        <v>1848</v>
      </c>
      <c r="N41" s="504"/>
    </row>
    <row r="42" spans="1:14" ht="19.95" customHeight="1" x14ac:dyDescent="0.3">
      <c r="A42" s="135">
        <v>1</v>
      </c>
      <c r="B42" s="501" t="s">
        <v>1766</v>
      </c>
      <c r="C42" s="501"/>
      <c r="D42" s="501" t="s">
        <v>1849</v>
      </c>
      <c r="E42" s="501"/>
      <c r="F42" s="501" t="s">
        <v>1850</v>
      </c>
      <c r="G42" s="501"/>
      <c r="H42" s="501"/>
      <c r="I42" s="501"/>
      <c r="J42" s="501"/>
      <c r="K42" s="501" t="s">
        <v>1476</v>
      </c>
      <c r="L42" s="501"/>
      <c r="M42" s="501" t="s">
        <v>1851</v>
      </c>
      <c r="N42" s="501"/>
    </row>
    <row r="43" spans="1:14" ht="19.95" customHeight="1" x14ac:dyDescent="0.3">
      <c r="A43" s="136">
        <v>2</v>
      </c>
      <c r="B43" s="502" t="s">
        <v>1840</v>
      </c>
      <c r="C43" s="502"/>
      <c r="D43" s="502" t="s">
        <v>1852</v>
      </c>
      <c r="E43" s="502"/>
      <c r="F43" s="502" t="s">
        <v>1853</v>
      </c>
      <c r="G43" s="502"/>
      <c r="H43" s="502"/>
      <c r="I43" s="502"/>
      <c r="J43" s="502"/>
      <c r="K43" s="502" t="s">
        <v>1476</v>
      </c>
      <c r="L43" s="502"/>
      <c r="M43" s="502" t="s">
        <v>1851</v>
      </c>
      <c r="N43" s="502"/>
    </row>
    <row r="44" spans="1:14" ht="19.95" customHeight="1" x14ac:dyDescent="0.3">
      <c r="A44" s="135">
        <v>3</v>
      </c>
      <c r="B44" s="501" t="s">
        <v>1829</v>
      </c>
      <c r="C44" s="501"/>
      <c r="D44" s="501" t="s">
        <v>1854</v>
      </c>
      <c r="E44" s="501"/>
      <c r="F44" s="501" t="s">
        <v>1855</v>
      </c>
      <c r="G44" s="501"/>
      <c r="H44" s="501"/>
      <c r="I44" s="501"/>
      <c r="J44" s="501"/>
      <c r="K44" s="501" t="s">
        <v>1832</v>
      </c>
      <c r="L44" s="501"/>
      <c r="M44" s="501" t="s">
        <v>1856</v>
      </c>
      <c r="N44" s="501"/>
    </row>
    <row r="45" spans="1:14" ht="19.95" customHeight="1" x14ac:dyDescent="0.3">
      <c r="A45" s="136">
        <v>4</v>
      </c>
      <c r="B45" s="502" t="s">
        <v>1857</v>
      </c>
      <c r="C45" s="502"/>
      <c r="D45" s="502" t="s">
        <v>1858</v>
      </c>
      <c r="E45" s="502"/>
      <c r="F45" s="502" t="s">
        <v>1859</v>
      </c>
      <c r="G45" s="502"/>
      <c r="H45" s="502"/>
      <c r="I45" s="502"/>
      <c r="J45" s="502"/>
      <c r="K45" s="502" t="s">
        <v>1822</v>
      </c>
      <c r="L45" s="502"/>
      <c r="M45" s="502" t="s">
        <v>1856</v>
      </c>
      <c r="N45" s="502"/>
    </row>
    <row r="46" spans="1:14" ht="19.95" customHeight="1" x14ac:dyDescent="0.3"/>
    <row r="47" spans="1:14" x14ac:dyDescent="0.3">
      <c r="A47" s="500" t="s">
        <v>2295</v>
      </c>
      <c r="B47" s="384"/>
      <c r="C47" s="384"/>
      <c r="D47" s="384"/>
      <c r="E47" s="384"/>
      <c r="F47" s="384"/>
      <c r="G47" s="384"/>
      <c r="H47" s="384"/>
      <c r="I47" s="384"/>
      <c r="J47" s="384"/>
      <c r="K47" s="384"/>
      <c r="L47" s="384"/>
      <c r="M47" s="384"/>
      <c r="N47" s="384"/>
    </row>
  </sheetData>
  <mergeCells count="128">
    <mergeCell ref="D5:F5"/>
    <mergeCell ref="D6:F7"/>
    <mergeCell ref="D8:F8"/>
    <mergeCell ref="D9:F9"/>
    <mergeCell ref="G5:I5"/>
    <mergeCell ref="G6:I7"/>
    <mergeCell ref="G8:I8"/>
    <mergeCell ref="G9:I9"/>
    <mergeCell ref="A1:N1"/>
    <mergeCell ref="A2:N2"/>
    <mergeCell ref="A4:N4"/>
    <mergeCell ref="A5:C5"/>
    <mergeCell ref="A6:C7"/>
    <mergeCell ref="A8:C8"/>
    <mergeCell ref="J5:L5"/>
    <mergeCell ref="J6:L7"/>
    <mergeCell ref="J8:L8"/>
    <mergeCell ref="A23:B23"/>
    <mergeCell ref="C23:D23"/>
    <mergeCell ref="E23:F23"/>
    <mergeCell ref="G23:H23"/>
    <mergeCell ref="I23:J23"/>
    <mergeCell ref="K23:L23"/>
    <mergeCell ref="J9:L9"/>
    <mergeCell ref="A11:N11"/>
    <mergeCell ref="A19:F19"/>
    <mergeCell ref="A21:N21"/>
    <mergeCell ref="A22:B22"/>
    <mergeCell ref="C22:D22"/>
    <mergeCell ref="E22:F22"/>
    <mergeCell ref="G22:H22"/>
    <mergeCell ref="I22:J22"/>
    <mergeCell ref="K22:L22"/>
    <mergeCell ref="A9:C9"/>
    <mergeCell ref="A25:B25"/>
    <mergeCell ref="C25:D25"/>
    <mergeCell ref="E25:F25"/>
    <mergeCell ref="G25:H25"/>
    <mergeCell ref="I25:J25"/>
    <mergeCell ref="K25:L25"/>
    <mergeCell ref="A24:B24"/>
    <mergeCell ref="C24:D24"/>
    <mergeCell ref="E24:F24"/>
    <mergeCell ref="G24:H24"/>
    <mergeCell ref="I24:J24"/>
    <mergeCell ref="K24:L24"/>
    <mergeCell ref="A27:B27"/>
    <mergeCell ref="C27:D27"/>
    <mergeCell ref="E27:F27"/>
    <mergeCell ref="G27:H27"/>
    <mergeCell ref="I27:J27"/>
    <mergeCell ref="K27:L27"/>
    <mergeCell ref="A26:B26"/>
    <mergeCell ref="C26:D26"/>
    <mergeCell ref="E26:F26"/>
    <mergeCell ref="G26:H26"/>
    <mergeCell ref="I26:J26"/>
    <mergeCell ref="K26:L26"/>
    <mergeCell ref="A31:N31"/>
    <mergeCell ref="A32:B32"/>
    <mergeCell ref="C32:D32"/>
    <mergeCell ref="E32:G32"/>
    <mergeCell ref="H32:J32"/>
    <mergeCell ref="K32:L32"/>
    <mergeCell ref="M32:N32"/>
    <mergeCell ref="A28:B28"/>
    <mergeCell ref="C28:D28"/>
    <mergeCell ref="E28:F28"/>
    <mergeCell ref="G28:H28"/>
    <mergeCell ref="I28:J28"/>
    <mergeCell ref="K28:L28"/>
    <mergeCell ref="A34:B34"/>
    <mergeCell ref="C34:D34"/>
    <mergeCell ref="E34:G34"/>
    <mergeCell ref="H34:J34"/>
    <mergeCell ref="K34:L34"/>
    <mergeCell ref="M34:N34"/>
    <mergeCell ref="A33:B33"/>
    <mergeCell ref="C33:D33"/>
    <mergeCell ref="E33:G33"/>
    <mergeCell ref="H33:J33"/>
    <mergeCell ref="K33:L33"/>
    <mergeCell ref="M33:N33"/>
    <mergeCell ref="A36:B36"/>
    <mergeCell ref="C36:D36"/>
    <mergeCell ref="E36:G36"/>
    <mergeCell ref="H36:J36"/>
    <mergeCell ref="K36:L36"/>
    <mergeCell ref="M36:N36"/>
    <mergeCell ref="A35:B35"/>
    <mergeCell ref="C35:D35"/>
    <mergeCell ref="E35:G35"/>
    <mergeCell ref="H35:J35"/>
    <mergeCell ref="K35:L35"/>
    <mergeCell ref="M35:N35"/>
    <mergeCell ref="A40:N40"/>
    <mergeCell ref="B41:C41"/>
    <mergeCell ref="D41:E41"/>
    <mergeCell ref="F41:J41"/>
    <mergeCell ref="K41:L41"/>
    <mergeCell ref="M41:N41"/>
    <mergeCell ref="A37:B37"/>
    <mergeCell ref="C37:D37"/>
    <mergeCell ref="E37:G37"/>
    <mergeCell ref="H37:J37"/>
    <mergeCell ref="K37:L37"/>
    <mergeCell ref="M37:N37"/>
    <mergeCell ref="B42:C42"/>
    <mergeCell ref="D42:E42"/>
    <mergeCell ref="F42:J42"/>
    <mergeCell ref="K42:L42"/>
    <mergeCell ref="M42:N42"/>
    <mergeCell ref="B43:C43"/>
    <mergeCell ref="D43:E43"/>
    <mergeCell ref="F43:J43"/>
    <mergeCell ref="K43:L43"/>
    <mergeCell ref="M43:N43"/>
    <mergeCell ref="A47:N47"/>
    <mergeCell ref="B44:C44"/>
    <mergeCell ref="D44:E44"/>
    <mergeCell ref="F44:J44"/>
    <mergeCell ref="K44:L44"/>
    <mergeCell ref="M44:N44"/>
    <mergeCell ref="B45:C45"/>
    <mergeCell ref="D45:E45"/>
    <mergeCell ref="F45:J45"/>
    <mergeCell ref="K45:L45"/>
    <mergeCell ref="M45:N45"/>
  </mergeCells>
  <hyperlinks>
    <hyperlink ref="A1" location="'H01_PARAMETROS_GENERALES'!A1" tooltip="Volver a H01_PARAMETROS_GENERALES" display="🔙 Volver al Índice" xr:uid="{872B600C-58E8-472E-9B3B-097088700742}"/>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1EED4-D649-40DA-8441-65CFD65F8AB2}">
  <dimension ref="A1:N78"/>
  <sheetViews>
    <sheetView workbookViewId="0">
      <pane ySplit="1" topLeftCell="A77" activePane="bottomLeft" state="frozen"/>
      <selection pane="bottomLeft" activeCell="E22" sqref="E22:F22"/>
    </sheetView>
  </sheetViews>
  <sheetFormatPr baseColWidth="10" defaultRowHeight="14.4" x14ac:dyDescent="0.3"/>
  <cols>
    <col min="1" max="1" width="14.21875" customWidth="1"/>
    <col min="2" max="3" width="16.33203125" customWidth="1"/>
    <col min="4" max="7" width="14.21875" customWidth="1"/>
    <col min="8" max="8" width="12.21875" customWidth="1"/>
    <col min="9" max="10" width="14.21875" customWidth="1"/>
    <col min="11" max="11" width="12.21875" customWidth="1"/>
    <col min="12" max="14" width="14.21875" customWidth="1"/>
  </cols>
  <sheetData>
    <row r="1" spans="1:14" ht="18" x14ac:dyDescent="0.35">
      <c r="A1" s="436" t="s">
        <v>2717</v>
      </c>
      <c r="B1" s="437"/>
      <c r="C1" s="437"/>
      <c r="D1" s="437"/>
      <c r="E1" s="437"/>
      <c r="F1" s="437"/>
      <c r="G1" s="437"/>
      <c r="H1" s="437"/>
      <c r="I1" s="437"/>
      <c r="J1" s="437"/>
      <c r="K1" s="437"/>
      <c r="L1" s="437"/>
      <c r="M1" s="437"/>
      <c r="N1" s="437"/>
    </row>
    <row r="2" spans="1:14" x14ac:dyDescent="0.3">
      <c r="A2" s="438" t="s">
        <v>1860</v>
      </c>
      <c r="B2" s="438"/>
      <c r="C2" s="438"/>
      <c r="D2" s="438"/>
      <c r="E2" s="438"/>
      <c r="F2" s="438"/>
      <c r="G2" s="438"/>
      <c r="H2" s="438"/>
      <c r="I2" s="438"/>
      <c r="J2" s="438"/>
      <c r="K2" s="438"/>
      <c r="L2" s="438"/>
      <c r="M2" s="438"/>
      <c r="N2" s="438"/>
    </row>
    <row r="3" spans="1:14" x14ac:dyDescent="0.3">
      <c r="A3" s="439" t="s">
        <v>2727</v>
      </c>
      <c r="B3" s="440"/>
      <c r="C3" s="440"/>
      <c r="D3" s="440"/>
      <c r="E3" s="440"/>
      <c r="F3" s="440"/>
      <c r="G3" s="440"/>
      <c r="H3" s="440"/>
      <c r="I3" s="440"/>
      <c r="J3" s="440"/>
      <c r="K3" s="440"/>
      <c r="L3" s="440"/>
      <c r="M3" s="440"/>
      <c r="N3" s="440"/>
    </row>
    <row r="4" spans="1:14" x14ac:dyDescent="0.3">
      <c r="A4" s="243" t="s">
        <v>2299</v>
      </c>
    </row>
    <row r="5" spans="1:14" x14ac:dyDescent="0.3">
      <c r="A5" s="441" t="s">
        <v>1861</v>
      </c>
      <c r="B5" s="441"/>
      <c r="C5" s="441"/>
      <c r="D5" s="441"/>
      <c r="E5" s="441"/>
      <c r="F5" s="441"/>
      <c r="G5" s="441"/>
      <c r="H5" s="441"/>
      <c r="I5" s="441"/>
      <c r="J5" s="441"/>
      <c r="K5" s="441"/>
      <c r="L5" s="441"/>
      <c r="M5" s="441"/>
      <c r="N5" s="441"/>
    </row>
    <row r="6" spans="1:14" x14ac:dyDescent="0.3">
      <c r="A6" s="405" t="s">
        <v>153</v>
      </c>
      <c r="B6" s="405"/>
      <c r="C6" s="423" t="s">
        <v>193</v>
      </c>
      <c r="D6" s="423"/>
      <c r="E6" s="423"/>
      <c r="F6" s="443" t="s">
        <v>187</v>
      </c>
      <c r="G6" s="443"/>
      <c r="H6" s="443"/>
      <c r="I6" s="447" t="s">
        <v>1867</v>
      </c>
      <c r="J6" s="447"/>
      <c r="K6" s="445" t="s">
        <v>190</v>
      </c>
      <c r="L6" s="445"/>
      <c r="M6" s="430" t="s">
        <v>196</v>
      </c>
      <c r="N6" s="430"/>
    </row>
    <row r="7" spans="1:14" x14ac:dyDescent="0.3">
      <c r="A7" s="442">
        <f>H14_CALCULO_ICPI!B32/100</f>
        <v>0.41236255973405345</v>
      </c>
      <c r="B7" s="442"/>
      <c r="C7" s="424">
        <f>H16_ITAM_TRANSPARENCIA!B27</f>
        <v>0.62093175853018368</v>
      </c>
      <c r="D7" s="425"/>
      <c r="E7" s="425"/>
      <c r="F7" s="444">
        <f>H15_INDICES_COMPLEMENTARIOS!B31/100</f>
        <v>0.9</v>
      </c>
      <c r="G7" s="444"/>
      <c r="H7" s="444"/>
      <c r="I7" s="448">
        <f>H15_INDICES_COMPLEMENTARIOS!B44</f>
        <v>2.8500000000000001E-2</v>
      </c>
      <c r="J7" s="448"/>
      <c r="K7" s="446">
        <f>H18_IED_EFICIENCIA_DIRECTIVA!C7</f>
        <v>0.45500000000000002</v>
      </c>
      <c r="L7" s="446"/>
      <c r="M7" s="431">
        <f>H04B_DATOS_CNE!B52/100</f>
        <v>0.97499999999999998</v>
      </c>
      <c r="N7" s="431"/>
    </row>
    <row r="8" spans="1:14" x14ac:dyDescent="0.3">
      <c r="A8" s="442"/>
      <c r="B8" s="442"/>
      <c r="C8" s="425"/>
      <c r="D8" s="425"/>
      <c r="E8" s="425"/>
      <c r="F8" s="444"/>
      <c r="G8" s="444"/>
      <c r="H8" s="444"/>
      <c r="I8" s="448"/>
      <c r="J8" s="448"/>
      <c r="K8" s="446"/>
      <c r="L8" s="446"/>
      <c r="M8" s="431"/>
      <c r="N8" s="431"/>
    </row>
    <row r="9" spans="1:14" x14ac:dyDescent="0.3">
      <c r="A9" s="421" t="s">
        <v>1862</v>
      </c>
      <c r="B9" s="421"/>
      <c r="C9" s="426" t="s">
        <v>1864</v>
      </c>
      <c r="D9" s="426"/>
      <c r="E9" s="426"/>
      <c r="F9" s="434" t="s">
        <v>1865</v>
      </c>
      <c r="G9" s="434"/>
      <c r="H9" s="434"/>
      <c r="I9" s="449" t="s">
        <v>1868</v>
      </c>
      <c r="J9" s="449"/>
      <c r="K9" s="428" t="s">
        <v>1870</v>
      </c>
      <c r="L9" s="428"/>
      <c r="M9" s="432" t="s">
        <v>1872</v>
      </c>
      <c r="N9" s="432"/>
    </row>
    <row r="10" spans="1:14" x14ac:dyDescent="0.3">
      <c r="A10" s="422" t="s">
        <v>1863</v>
      </c>
      <c r="B10" s="422"/>
      <c r="C10" s="427" t="s">
        <v>1863</v>
      </c>
      <c r="D10" s="427"/>
      <c r="E10" s="427"/>
      <c r="F10" s="435" t="s">
        <v>1866</v>
      </c>
      <c r="G10" s="435"/>
      <c r="H10" s="435"/>
      <c r="I10" s="450" t="s">
        <v>1869</v>
      </c>
      <c r="J10" s="450"/>
      <c r="K10" s="429" t="s">
        <v>1871</v>
      </c>
      <c r="L10" s="429"/>
      <c r="M10" s="433" t="s">
        <v>1866</v>
      </c>
      <c r="N10" s="433"/>
    </row>
    <row r="11" spans="1:14" x14ac:dyDescent="0.3">
      <c r="A11" s="137"/>
      <c r="B11" s="137"/>
      <c r="C11" s="137"/>
      <c r="D11" s="137"/>
      <c r="E11" s="137"/>
      <c r="F11" s="137"/>
      <c r="G11" s="137"/>
      <c r="H11" s="137"/>
      <c r="I11" s="137"/>
      <c r="J11" s="137"/>
      <c r="K11" s="137"/>
      <c r="L11" s="137"/>
      <c r="M11" s="137"/>
      <c r="N11" s="137"/>
    </row>
    <row r="12" spans="1:14" x14ac:dyDescent="0.3">
      <c r="A12" s="370" t="s">
        <v>1873</v>
      </c>
      <c r="B12" s="370"/>
      <c r="C12" s="370"/>
      <c r="D12" s="370"/>
      <c r="E12" s="370"/>
      <c r="F12" s="370"/>
      <c r="G12" s="370"/>
      <c r="H12" s="370"/>
      <c r="I12" s="370"/>
      <c r="J12" s="370"/>
      <c r="K12" s="370"/>
      <c r="L12" s="370"/>
      <c r="M12" s="370"/>
      <c r="N12" s="370"/>
    </row>
    <row r="13" spans="1:14" ht="19.95" customHeight="1" x14ac:dyDescent="0.3">
      <c r="A13" s="365" t="s">
        <v>1874</v>
      </c>
      <c r="B13" s="365"/>
      <c r="C13" s="365" t="s">
        <v>1875</v>
      </c>
      <c r="D13" s="365"/>
      <c r="E13" s="365" t="s">
        <v>1876</v>
      </c>
      <c r="F13" s="365"/>
      <c r="G13" s="365" t="s">
        <v>1877</v>
      </c>
      <c r="H13" s="365"/>
      <c r="I13" s="365" t="s">
        <v>1878</v>
      </c>
      <c r="J13" s="365"/>
      <c r="K13" s="365" t="s">
        <v>1879</v>
      </c>
      <c r="L13" s="365"/>
      <c r="M13" s="365"/>
      <c r="N13" s="365"/>
    </row>
    <row r="14" spans="1:14" ht="19.95" customHeight="1" x14ac:dyDescent="0.3">
      <c r="A14" s="417" t="s">
        <v>1880</v>
      </c>
      <c r="B14" s="418"/>
      <c r="C14" s="419">
        <v>8450000</v>
      </c>
      <c r="D14" s="419"/>
      <c r="E14" s="419">
        <v>3844750</v>
      </c>
      <c r="F14" s="419"/>
      <c r="G14" s="420">
        <v>0.45500000000000002</v>
      </c>
      <c r="H14" s="420"/>
      <c r="I14" s="418" t="s">
        <v>1881</v>
      </c>
      <c r="J14" s="418"/>
      <c r="K14" s="418" t="s">
        <v>1882</v>
      </c>
      <c r="L14" s="418"/>
      <c r="M14" s="418"/>
      <c r="N14" s="418"/>
    </row>
    <row r="15" spans="1:14" ht="19.95" customHeight="1" x14ac:dyDescent="0.3">
      <c r="A15" s="409" t="s">
        <v>164</v>
      </c>
      <c r="B15" s="410"/>
      <c r="C15" s="411">
        <v>1200000</v>
      </c>
      <c r="D15" s="411"/>
      <c r="E15" s="411">
        <v>313200</v>
      </c>
      <c r="F15" s="411"/>
      <c r="G15" s="412">
        <v>0.26100000000000001</v>
      </c>
      <c r="H15" s="412"/>
      <c r="I15" s="410" t="s">
        <v>1883</v>
      </c>
      <c r="J15" s="410"/>
      <c r="K15" s="410" t="s">
        <v>1884</v>
      </c>
      <c r="L15" s="410"/>
      <c r="M15" s="410"/>
      <c r="N15" s="410"/>
    </row>
    <row r="16" spans="1:14" ht="19.95" customHeight="1" x14ac:dyDescent="0.3">
      <c r="A16" s="417" t="s">
        <v>1885</v>
      </c>
      <c r="B16" s="418"/>
      <c r="C16" s="419">
        <v>450000</v>
      </c>
      <c r="D16" s="419"/>
      <c r="E16" s="419">
        <v>431100</v>
      </c>
      <c r="F16" s="419"/>
      <c r="G16" s="420">
        <v>0.95799999999999996</v>
      </c>
      <c r="H16" s="420"/>
      <c r="I16" s="418" t="s">
        <v>1886</v>
      </c>
      <c r="J16" s="418"/>
      <c r="K16" s="418" t="s">
        <v>1887</v>
      </c>
      <c r="L16" s="418"/>
      <c r="M16" s="418"/>
      <c r="N16" s="418"/>
    </row>
    <row r="17" spans="1:14" ht="19.95" customHeight="1" x14ac:dyDescent="0.3">
      <c r="A17" s="409" t="s">
        <v>321</v>
      </c>
      <c r="B17" s="410"/>
      <c r="C17" s="411">
        <v>380000</v>
      </c>
      <c r="D17" s="411"/>
      <c r="E17" s="411">
        <v>331740</v>
      </c>
      <c r="F17" s="411"/>
      <c r="G17" s="412">
        <v>0.873</v>
      </c>
      <c r="H17" s="412"/>
      <c r="I17" s="410" t="s">
        <v>1888</v>
      </c>
      <c r="J17" s="410"/>
      <c r="K17" s="410" t="s">
        <v>1889</v>
      </c>
      <c r="L17" s="410"/>
      <c r="M17" s="410"/>
      <c r="N17" s="410"/>
    </row>
    <row r="18" spans="1:14" ht="19.95" customHeight="1" x14ac:dyDescent="0.3">
      <c r="A18" s="413" t="s">
        <v>1890</v>
      </c>
      <c r="B18" s="414"/>
      <c r="C18" s="415">
        <v>620000</v>
      </c>
      <c r="D18" s="415"/>
      <c r="E18" s="415">
        <v>216380</v>
      </c>
      <c r="F18" s="415"/>
      <c r="G18" s="416">
        <v>0.34899999999999998</v>
      </c>
      <c r="H18" s="416"/>
      <c r="I18" s="414" t="s">
        <v>1891</v>
      </c>
      <c r="J18" s="414"/>
      <c r="K18" s="414" t="s">
        <v>1892</v>
      </c>
      <c r="L18" s="414"/>
      <c r="M18" s="414"/>
      <c r="N18" s="414"/>
    </row>
    <row r="19" spans="1:14" ht="19.95" customHeight="1" x14ac:dyDescent="0.3">
      <c r="A19" s="409" t="s">
        <v>1893</v>
      </c>
      <c r="B19" s="410"/>
      <c r="C19" s="411">
        <v>290000</v>
      </c>
      <c r="D19" s="411"/>
      <c r="E19" s="411">
        <v>232000</v>
      </c>
      <c r="F19" s="411"/>
      <c r="G19" s="412">
        <v>0.8</v>
      </c>
      <c r="H19" s="412"/>
      <c r="I19" s="410" t="s">
        <v>1894</v>
      </c>
      <c r="J19" s="410"/>
      <c r="K19" s="410" t="s">
        <v>1889</v>
      </c>
      <c r="L19" s="410"/>
      <c r="M19" s="410"/>
      <c r="N19" s="410"/>
    </row>
    <row r="20" spans="1:14" ht="19.95" customHeight="1" x14ac:dyDescent="0.3">
      <c r="A20" s="409" t="s">
        <v>1895</v>
      </c>
      <c r="B20" s="410"/>
      <c r="C20" s="411">
        <v>180000</v>
      </c>
      <c r="D20" s="411"/>
      <c r="E20" s="411">
        <v>144000</v>
      </c>
      <c r="F20" s="411"/>
      <c r="G20" s="412">
        <v>0.8</v>
      </c>
      <c r="H20" s="412"/>
      <c r="I20" s="410" t="s">
        <v>1896</v>
      </c>
      <c r="J20" s="410"/>
      <c r="K20" s="410" t="s">
        <v>1889</v>
      </c>
      <c r="L20" s="410"/>
      <c r="M20" s="410"/>
      <c r="N20" s="410"/>
    </row>
    <row r="21" spans="1:14" ht="19.95" customHeight="1" x14ac:dyDescent="0.3">
      <c r="A21" s="408" t="s">
        <v>467</v>
      </c>
      <c r="B21" s="387"/>
      <c r="C21" s="388">
        <v>340000</v>
      </c>
      <c r="D21" s="388"/>
      <c r="E21" s="388">
        <v>9860</v>
      </c>
      <c r="F21" s="388"/>
      <c r="G21" s="403">
        <v>2.9000000000000001E-2</v>
      </c>
      <c r="H21" s="403"/>
      <c r="I21" s="387" t="s">
        <v>1897</v>
      </c>
      <c r="J21" s="387"/>
      <c r="K21" s="387" t="s">
        <v>1898</v>
      </c>
      <c r="L21" s="387"/>
      <c r="M21" s="387"/>
      <c r="N21" s="387"/>
    </row>
    <row r="22" spans="1:14" ht="19.95" customHeight="1" x14ac:dyDescent="0.3">
      <c r="A22" s="405" t="s">
        <v>1899</v>
      </c>
      <c r="B22" s="405"/>
      <c r="C22" s="406">
        <v>11910000</v>
      </c>
      <c r="D22" s="406"/>
      <c r="E22" s="406">
        <v>5523030</v>
      </c>
      <c r="F22" s="406"/>
      <c r="G22" s="407">
        <v>0.46400000000000002</v>
      </c>
      <c r="H22" s="407"/>
      <c r="I22" s="405" t="s">
        <v>1881</v>
      </c>
      <c r="J22" s="405"/>
      <c r="K22" s="405" t="s">
        <v>1900</v>
      </c>
      <c r="L22" s="405"/>
      <c r="M22" s="405"/>
      <c r="N22" s="405"/>
    </row>
    <row r="23" spans="1:14" ht="19.95" customHeight="1" x14ac:dyDescent="0.3">
      <c r="A23" s="137"/>
      <c r="B23" s="137"/>
      <c r="C23" s="137"/>
      <c r="D23" s="137"/>
      <c r="E23" s="137"/>
      <c r="F23" s="137"/>
      <c r="G23" s="137"/>
      <c r="H23" s="137"/>
      <c r="I23" s="137"/>
      <c r="J23" s="137"/>
      <c r="K23" s="137"/>
      <c r="L23" s="137"/>
      <c r="M23" s="137"/>
      <c r="N23" s="137"/>
    </row>
    <row r="24" spans="1:14" ht="19.95" customHeight="1" x14ac:dyDescent="0.3">
      <c r="A24" s="385" t="s">
        <v>1901</v>
      </c>
      <c r="B24" s="385"/>
      <c r="C24" s="385"/>
      <c r="D24" s="385"/>
      <c r="E24" s="385"/>
      <c r="F24" s="385"/>
      <c r="G24" s="385"/>
      <c r="H24" s="385"/>
      <c r="I24" s="385"/>
      <c r="J24" s="385"/>
      <c r="K24" s="385"/>
      <c r="L24" s="385"/>
      <c r="M24" s="385"/>
      <c r="N24" s="385"/>
    </row>
    <row r="25" spans="1:14" ht="19.95" customHeight="1" x14ac:dyDescent="0.3">
      <c r="A25" s="140" t="s">
        <v>1902</v>
      </c>
      <c r="B25" s="140" t="s">
        <v>1903</v>
      </c>
      <c r="C25" s="386" t="s">
        <v>1747</v>
      </c>
      <c r="D25" s="386"/>
      <c r="E25" s="386" t="s">
        <v>1904</v>
      </c>
      <c r="F25" s="386"/>
      <c r="G25" s="386" t="s">
        <v>1905</v>
      </c>
      <c r="H25" s="386"/>
      <c r="I25" s="140" t="s">
        <v>1906</v>
      </c>
      <c r="J25" s="386" t="s">
        <v>1907</v>
      </c>
      <c r="K25" s="386"/>
      <c r="L25" s="386"/>
      <c r="M25" s="386"/>
      <c r="N25" s="386"/>
    </row>
    <row r="26" spans="1:14" ht="19.95" customHeight="1" x14ac:dyDescent="0.3">
      <c r="A26" s="142" t="s">
        <v>199</v>
      </c>
      <c r="B26" s="138" t="s">
        <v>463</v>
      </c>
      <c r="C26" s="387" t="s">
        <v>1908</v>
      </c>
      <c r="D26" s="387"/>
      <c r="E26" s="403">
        <v>8.3000000000000004E-2</v>
      </c>
      <c r="F26" s="403"/>
      <c r="G26" s="404">
        <v>1</v>
      </c>
      <c r="H26" s="404"/>
      <c r="I26" s="139">
        <v>0.91700000000000004</v>
      </c>
      <c r="J26" s="387" t="s">
        <v>1909</v>
      </c>
      <c r="K26" s="387"/>
      <c r="L26" s="387"/>
      <c r="M26" s="387"/>
      <c r="N26" s="387"/>
    </row>
    <row r="27" spans="1:14" ht="19.95" customHeight="1" x14ac:dyDescent="0.3">
      <c r="A27" s="145" t="s">
        <v>199</v>
      </c>
      <c r="B27" s="143" t="s">
        <v>500</v>
      </c>
      <c r="C27" s="397" t="s">
        <v>1910</v>
      </c>
      <c r="D27" s="397"/>
      <c r="E27" s="398">
        <v>0.2</v>
      </c>
      <c r="F27" s="398"/>
      <c r="G27" s="399">
        <v>1</v>
      </c>
      <c r="H27" s="399"/>
      <c r="I27" s="144">
        <v>0.8</v>
      </c>
      <c r="J27" s="397" t="s">
        <v>1911</v>
      </c>
      <c r="K27" s="397"/>
      <c r="L27" s="397"/>
      <c r="M27" s="397"/>
      <c r="N27" s="397"/>
    </row>
    <row r="28" spans="1:14" ht="19.95" customHeight="1" x14ac:dyDescent="0.3">
      <c r="A28" s="148" t="s">
        <v>203</v>
      </c>
      <c r="B28" s="146" t="s">
        <v>408</v>
      </c>
      <c r="C28" s="400" t="s">
        <v>1912</v>
      </c>
      <c r="D28" s="400"/>
      <c r="E28" s="401">
        <v>0.185</v>
      </c>
      <c r="F28" s="401"/>
      <c r="G28" s="402">
        <v>1</v>
      </c>
      <c r="H28" s="402"/>
      <c r="I28" s="147">
        <v>0.81499999999999995</v>
      </c>
      <c r="J28" s="400" t="s">
        <v>1913</v>
      </c>
      <c r="K28" s="400"/>
      <c r="L28" s="400"/>
      <c r="M28" s="400"/>
      <c r="N28" s="400"/>
    </row>
    <row r="29" spans="1:14" ht="19.95" customHeight="1" x14ac:dyDescent="0.3">
      <c r="A29" s="151" t="s">
        <v>206</v>
      </c>
      <c r="B29" s="149" t="s">
        <v>447</v>
      </c>
      <c r="C29" s="393" t="s">
        <v>1914</v>
      </c>
      <c r="D29" s="393"/>
      <c r="E29" s="394">
        <v>0.35</v>
      </c>
      <c r="F29" s="394"/>
      <c r="G29" s="395">
        <v>1</v>
      </c>
      <c r="H29" s="395"/>
      <c r="I29" s="150">
        <v>0.65</v>
      </c>
      <c r="J29" s="393" t="s">
        <v>1915</v>
      </c>
      <c r="K29" s="393"/>
      <c r="L29" s="393"/>
      <c r="M29" s="393"/>
      <c r="N29" s="393"/>
    </row>
    <row r="30" spans="1:14" ht="19.95" customHeight="1" x14ac:dyDescent="0.3"/>
    <row r="31" spans="1:14" x14ac:dyDescent="0.3">
      <c r="A31" s="137"/>
      <c r="B31" s="137"/>
      <c r="C31" s="137"/>
      <c r="D31" s="137"/>
      <c r="E31" s="137"/>
      <c r="F31" s="137"/>
      <c r="G31" s="137"/>
      <c r="H31" s="137"/>
      <c r="I31" s="137"/>
      <c r="J31" s="137"/>
      <c r="K31" s="137"/>
      <c r="L31" s="137"/>
      <c r="M31" s="137"/>
      <c r="N31" s="137"/>
    </row>
    <row r="32" spans="1:14" x14ac:dyDescent="0.3">
      <c r="A32" s="376" t="s">
        <v>1916</v>
      </c>
      <c r="B32" s="376"/>
      <c r="C32" s="376"/>
      <c r="D32" s="376"/>
      <c r="E32" s="376"/>
      <c r="F32" s="376"/>
      <c r="G32" s="376"/>
      <c r="H32" s="376"/>
      <c r="I32" s="376"/>
      <c r="J32" s="376"/>
      <c r="K32" s="376"/>
      <c r="L32" s="376"/>
      <c r="M32" s="376"/>
      <c r="N32" s="376"/>
    </row>
    <row r="33" spans="1:14" ht="19.95" customHeight="1" x14ac:dyDescent="0.3">
      <c r="A33" s="114" t="s">
        <v>1917</v>
      </c>
      <c r="B33" s="114" t="s">
        <v>1918</v>
      </c>
      <c r="C33" s="114" t="s">
        <v>1919</v>
      </c>
      <c r="D33" s="114" t="s">
        <v>1920</v>
      </c>
      <c r="E33" s="114" t="s">
        <v>1921</v>
      </c>
      <c r="F33" s="114" t="s">
        <v>1922</v>
      </c>
      <c r="G33" s="114" t="s">
        <v>1749</v>
      </c>
      <c r="H33" s="396" t="s">
        <v>1923</v>
      </c>
      <c r="I33" s="396"/>
      <c r="J33" s="396"/>
      <c r="K33" s="396"/>
      <c r="L33" s="396"/>
      <c r="M33" s="396"/>
      <c r="N33" s="396"/>
    </row>
    <row r="34" spans="1:14" ht="19.95" customHeight="1" x14ac:dyDescent="0.3">
      <c r="A34" s="152" t="s">
        <v>1924</v>
      </c>
      <c r="B34" s="166">
        <v>45292</v>
      </c>
      <c r="C34" s="166" t="s">
        <v>699</v>
      </c>
      <c r="D34" s="153">
        <v>0.12</v>
      </c>
      <c r="E34" s="153">
        <v>6.2E-2</v>
      </c>
      <c r="F34" s="153">
        <v>-5.8000000000000003E-2</v>
      </c>
      <c r="G34" s="154" t="s">
        <v>1770</v>
      </c>
      <c r="H34" s="389" t="s">
        <v>1925</v>
      </c>
      <c r="I34" s="389"/>
      <c r="J34" s="389"/>
      <c r="K34" s="389"/>
      <c r="L34" s="389"/>
      <c r="M34" s="389"/>
      <c r="N34" s="389"/>
    </row>
    <row r="35" spans="1:14" ht="19.95" customHeight="1" x14ac:dyDescent="0.3">
      <c r="A35" s="155" t="s">
        <v>1926</v>
      </c>
      <c r="B35" s="167">
        <v>45296</v>
      </c>
      <c r="C35" s="167" t="s">
        <v>1551</v>
      </c>
      <c r="D35" s="156">
        <v>0.36</v>
      </c>
      <c r="E35" s="156">
        <v>0.186</v>
      </c>
      <c r="F35" s="156">
        <v>-0.17399999999999999</v>
      </c>
      <c r="G35" s="157" t="s">
        <v>1770</v>
      </c>
      <c r="H35" s="390" t="s">
        <v>1925</v>
      </c>
      <c r="I35" s="390"/>
      <c r="J35" s="390"/>
      <c r="K35" s="390"/>
      <c r="L35" s="390"/>
      <c r="M35" s="390"/>
      <c r="N35" s="390"/>
    </row>
    <row r="36" spans="1:14" ht="19.95" customHeight="1" x14ac:dyDescent="0.3">
      <c r="A36" s="152" t="s">
        <v>1927</v>
      </c>
      <c r="B36" s="166">
        <v>45300</v>
      </c>
      <c r="C36" s="166" t="s">
        <v>831</v>
      </c>
      <c r="D36" s="153">
        <v>0.75</v>
      </c>
      <c r="E36" s="153">
        <v>0.41199999999999998</v>
      </c>
      <c r="F36" s="153">
        <v>-0.33800000000000002</v>
      </c>
      <c r="G36" s="158" t="s">
        <v>1898</v>
      </c>
      <c r="H36" s="389" t="s">
        <v>1925</v>
      </c>
      <c r="I36" s="389"/>
      <c r="J36" s="389"/>
      <c r="K36" s="389"/>
      <c r="L36" s="389"/>
      <c r="M36" s="389"/>
      <c r="N36" s="389"/>
    </row>
    <row r="37" spans="1:14" ht="19.95" customHeight="1" x14ac:dyDescent="0.3">
      <c r="A37" s="155" t="s">
        <v>1928</v>
      </c>
      <c r="B37" s="167">
        <v>45292</v>
      </c>
      <c r="C37" s="167" t="s">
        <v>831</v>
      </c>
      <c r="D37" s="159">
        <v>1</v>
      </c>
      <c r="E37" s="156">
        <v>0.41199999999999998</v>
      </c>
      <c r="F37" s="156">
        <v>-0.58799999999999997</v>
      </c>
      <c r="G37" s="160" t="s">
        <v>1929</v>
      </c>
      <c r="H37" s="390" t="s">
        <v>1930</v>
      </c>
      <c r="I37" s="390"/>
      <c r="J37" s="390"/>
      <c r="K37" s="390"/>
      <c r="L37" s="390"/>
      <c r="M37" s="390"/>
      <c r="N37" s="390"/>
    </row>
    <row r="38" spans="1:14" ht="19.95" customHeight="1" x14ac:dyDescent="0.3"/>
    <row r="39" spans="1:14" ht="19.95" customHeight="1" x14ac:dyDescent="0.3">
      <c r="A39" s="137"/>
      <c r="B39" s="137"/>
      <c r="C39" s="137"/>
      <c r="D39" s="137"/>
      <c r="E39" s="137"/>
      <c r="F39" s="137"/>
      <c r="G39" s="137"/>
      <c r="H39" s="137"/>
      <c r="I39" s="137"/>
      <c r="J39" s="137"/>
      <c r="K39" s="137"/>
      <c r="L39" s="137"/>
      <c r="M39" s="137"/>
      <c r="N39" s="137"/>
    </row>
    <row r="40" spans="1:14" ht="19.95" customHeight="1" x14ac:dyDescent="0.3">
      <c r="A40" s="391" t="s">
        <v>1931</v>
      </c>
      <c r="B40" s="391"/>
      <c r="C40" s="391"/>
      <c r="D40" s="391"/>
      <c r="E40" s="391"/>
      <c r="F40" s="391"/>
      <c r="G40" s="391"/>
      <c r="H40" s="391"/>
      <c r="I40" s="391"/>
      <c r="J40" s="391"/>
      <c r="K40" s="391"/>
      <c r="L40" s="391"/>
      <c r="M40" s="391"/>
      <c r="N40" s="391"/>
    </row>
    <row r="41" spans="1:14" ht="19.95" customHeight="1" x14ac:dyDescent="0.3">
      <c r="A41" s="161" t="s">
        <v>1903</v>
      </c>
      <c r="B41" s="392" t="s">
        <v>1932</v>
      </c>
      <c r="C41" s="392"/>
      <c r="D41" s="392" t="s">
        <v>1933</v>
      </c>
      <c r="E41" s="392"/>
      <c r="F41" s="161" t="s">
        <v>1934</v>
      </c>
      <c r="G41" s="161" t="s">
        <v>1935</v>
      </c>
      <c r="H41" s="161" t="s">
        <v>1936</v>
      </c>
      <c r="I41" s="161" t="s">
        <v>1937</v>
      </c>
      <c r="J41" s="392" t="s">
        <v>1938</v>
      </c>
      <c r="K41" s="392"/>
      <c r="L41" s="392"/>
      <c r="M41" s="392"/>
      <c r="N41" s="392"/>
    </row>
    <row r="42" spans="1:14" ht="19.95" customHeight="1" x14ac:dyDescent="0.3">
      <c r="A42" s="162" t="s">
        <v>408</v>
      </c>
      <c r="B42" s="387" t="s">
        <v>1939</v>
      </c>
      <c r="C42" s="387"/>
      <c r="D42" s="388">
        <v>1850000</v>
      </c>
      <c r="E42" s="388"/>
      <c r="F42" s="141">
        <v>0.32</v>
      </c>
      <c r="G42" s="141">
        <v>0.28000000000000003</v>
      </c>
      <c r="H42" s="138">
        <v>0.41</v>
      </c>
      <c r="I42" s="138" t="s">
        <v>1940</v>
      </c>
      <c r="J42" s="387" t="s">
        <v>1941</v>
      </c>
      <c r="K42" s="387"/>
      <c r="L42" s="387"/>
      <c r="M42" s="387"/>
      <c r="N42" s="387"/>
    </row>
    <row r="43" spans="1:14" ht="19.95" customHeight="1" x14ac:dyDescent="0.3">
      <c r="A43" s="162" t="s">
        <v>447</v>
      </c>
      <c r="B43" s="387" t="s">
        <v>1942</v>
      </c>
      <c r="C43" s="387"/>
      <c r="D43" s="388">
        <v>980000</v>
      </c>
      <c r="E43" s="388"/>
      <c r="F43" s="141">
        <v>0.45</v>
      </c>
      <c r="G43" s="141">
        <v>0.42</v>
      </c>
      <c r="H43" s="138">
        <v>0.55000000000000004</v>
      </c>
      <c r="I43" s="138" t="s">
        <v>1940</v>
      </c>
      <c r="J43" s="387" t="s">
        <v>1943</v>
      </c>
      <c r="K43" s="387"/>
      <c r="L43" s="387"/>
      <c r="M43" s="387"/>
      <c r="N43" s="387"/>
    </row>
    <row r="44" spans="1:14" ht="19.95" customHeight="1" x14ac:dyDescent="0.3">
      <c r="A44" s="165" t="s">
        <v>500</v>
      </c>
      <c r="B44" s="381" t="s">
        <v>1944</v>
      </c>
      <c r="C44" s="381"/>
      <c r="D44" s="382">
        <v>650000</v>
      </c>
      <c r="E44" s="382"/>
      <c r="F44" s="164">
        <v>0.2</v>
      </c>
      <c r="G44" s="164">
        <v>0.18</v>
      </c>
      <c r="H44" s="163">
        <v>0.65</v>
      </c>
      <c r="I44" s="163" t="s">
        <v>1945</v>
      </c>
      <c r="J44" s="381" t="s">
        <v>1946</v>
      </c>
      <c r="K44" s="381"/>
      <c r="L44" s="381"/>
      <c r="M44" s="381"/>
      <c r="N44" s="381"/>
    </row>
    <row r="45" spans="1:14" ht="19.95" customHeight="1" x14ac:dyDescent="0.3">
      <c r="A45" s="162" t="s">
        <v>463</v>
      </c>
      <c r="B45" s="387" t="s">
        <v>1947</v>
      </c>
      <c r="C45" s="387"/>
      <c r="D45" s="388">
        <v>420000</v>
      </c>
      <c r="E45" s="388"/>
      <c r="F45" s="141">
        <v>0.08</v>
      </c>
      <c r="G45" s="141">
        <v>0.06</v>
      </c>
      <c r="H45" s="138">
        <v>0.87</v>
      </c>
      <c r="I45" s="138" t="s">
        <v>1940</v>
      </c>
      <c r="J45" s="387" t="s">
        <v>1948</v>
      </c>
      <c r="K45" s="387"/>
      <c r="L45" s="387"/>
      <c r="M45" s="387"/>
      <c r="N45" s="387"/>
    </row>
    <row r="46" spans="1:14" ht="19.95" customHeight="1" x14ac:dyDescent="0.3">
      <c r="A46" s="165" t="s">
        <v>478</v>
      </c>
      <c r="B46" s="381" t="s">
        <v>1949</v>
      </c>
      <c r="C46" s="381"/>
      <c r="D46" s="382">
        <v>1200000</v>
      </c>
      <c r="E46" s="382"/>
      <c r="F46" s="164">
        <v>0.55000000000000004</v>
      </c>
      <c r="G46" s="164">
        <v>0.52</v>
      </c>
      <c r="H46" s="163">
        <v>0.3</v>
      </c>
      <c r="I46" s="163" t="s">
        <v>1945</v>
      </c>
      <c r="J46" s="381" t="s">
        <v>1950</v>
      </c>
      <c r="K46" s="381"/>
      <c r="L46" s="381"/>
      <c r="M46" s="381"/>
      <c r="N46" s="381"/>
    </row>
    <row r="49" spans="1:14" x14ac:dyDescent="0.3">
      <c r="A49" s="137"/>
      <c r="B49" s="137"/>
      <c r="C49" s="137"/>
      <c r="D49" s="137"/>
      <c r="E49" s="137"/>
      <c r="F49" s="137"/>
      <c r="G49" s="137"/>
      <c r="H49" s="137"/>
      <c r="I49" s="137"/>
      <c r="J49" s="137"/>
      <c r="K49" s="137"/>
      <c r="L49" s="137"/>
      <c r="M49" s="137"/>
      <c r="N49" s="137"/>
    </row>
    <row r="50" spans="1:14" x14ac:dyDescent="0.3">
      <c r="A50" s="383" t="s">
        <v>2302</v>
      </c>
      <c r="B50" s="384"/>
      <c r="C50" s="384"/>
      <c r="D50" s="384"/>
      <c r="E50" s="384"/>
      <c r="F50" s="384"/>
      <c r="G50" s="384"/>
      <c r="H50" s="384"/>
      <c r="I50" s="384"/>
      <c r="J50" s="384"/>
      <c r="K50" s="384"/>
      <c r="L50" s="384"/>
      <c r="M50" s="384"/>
      <c r="N50" s="384"/>
    </row>
    <row r="51" spans="1:14" ht="6" customHeight="1" x14ac:dyDescent="0.3">
      <c r="A51" s="137"/>
      <c r="B51" s="137"/>
      <c r="C51" s="137"/>
      <c r="D51" s="137"/>
      <c r="E51" s="137"/>
      <c r="F51" s="137"/>
      <c r="G51" s="137"/>
      <c r="H51" s="137"/>
      <c r="I51" s="137"/>
      <c r="J51" s="137"/>
      <c r="K51" s="137"/>
      <c r="L51" s="137"/>
      <c r="M51" s="137"/>
      <c r="N51" s="137"/>
    </row>
    <row r="52" spans="1:14" x14ac:dyDescent="0.3">
      <c r="A52" s="385" t="s">
        <v>1951</v>
      </c>
      <c r="B52" s="385"/>
      <c r="C52" s="385"/>
      <c r="D52" s="385"/>
      <c r="E52" s="385"/>
      <c r="F52" s="385"/>
      <c r="G52" s="385"/>
      <c r="H52" s="385"/>
      <c r="I52" s="385"/>
      <c r="J52" s="385"/>
      <c r="K52" s="385"/>
      <c r="L52" s="385"/>
      <c r="M52" s="385"/>
      <c r="N52" s="385"/>
    </row>
    <row r="53" spans="1:14" x14ac:dyDescent="0.3">
      <c r="A53" s="140" t="s">
        <v>1848</v>
      </c>
      <c r="B53" s="140" t="s">
        <v>1952</v>
      </c>
      <c r="C53" s="386" t="s">
        <v>1953</v>
      </c>
      <c r="D53" s="386"/>
      <c r="E53" s="386" t="s">
        <v>1954</v>
      </c>
      <c r="F53" s="386"/>
      <c r="G53" s="386"/>
      <c r="H53" s="386" t="s">
        <v>1847</v>
      </c>
      <c r="I53" s="386"/>
      <c r="J53" s="386" t="s">
        <v>1817</v>
      </c>
      <c r="K53" s="386"/>
      <c r="L53" s="386"/>
      <c r="M53" s="386" t="s">
        <v>1749</v>
      </c>
      <c r="N53" s="386"/>
    </row>
    <row r="54" spans="1:14" ht="30" customHeight="1" x14ac:dyDescent="0.3">
      <c r="A54" s="169" t="s">
        <v>1955</v>
      </c>
      <c r="B54" s="168" t="s">
        <v>1766</v>
      </c>
      <c r="C54" s="379" t="s">
        <v>1956</v>
      </c>
      <c r="D54" s="379"/>
      <c r="E54" s="379" t="s">
        <v>1957</v>
      </c>
      <c r="F54" s="379"/>
      <c r="G54" s="379"/>
      <c r="H54" s="379" t="s">
        <v>1657</v>
      </c>
      <c r="I54" s="379"/>
      <c r="J54" s="379" t="s">
        <v>1823</v>
      </c>
      <c r="K54" s="379"/>
      <c r="L54" s="379"/>
      <c r="M54" s="379" t="s">
        <v>1810</v>
      </c>
      <c r="N54" s="379"/>
    </row>
    <row r="55" spans="1:14" ht="30" customHeight="1" x14ac:dyDescent="0.3">
      <c r="A55" s="169" t="s">
        <v>1955</v>
      </c>
      <c r="B55" s="168" t="s">
        <v>463</v>
      </c>
      <c r="C55" s="379" t="s">
        <v>1958</v>
      </c>
      <c r="D55" s="379"/>
      <c r="E55" s="379" t="s">
        <v>1959</v>
      </c>
      <c r="F55" s="379"/>
      <c r="G55" s="379"/>
      <c r="H55" s="379" t="s">
        <v>1657</v>
      </c>
      <c r="I55" s="379"/>
      <c r="J55" s="379" t="s">
        <v>1960</v>
      </c>
      <c r="K55" s="379"/>
      <c r="L55" s="379"/>
      <c r="M55" s="379" t="s">
        <v>1810</v>
      </c>
      <c r="N55" s="379"/>
    </row>
    <row r="56" spans="1:14" ht="30" customHeight="1" x14ac:dyDescent="0.3">
      <c r="A56" s="169" t="s">
        <v>1955</v>
      </c>
      <c r="B56" s="168" t="s">
        <v>467</v>
      </c>
      <c r="C56" s="379" t="s">
        <v>1961</v>
      </c>
      <c r="D56" s="379"/>
      <c r="E56" s="379" t="s">
        <v>1962</v>
      </c>
      <c r="F56" s="379"/>
      <c r="G56" s="379"/>
      <c r="H56" s="380">
        <v>45689</v>
      </c>
      <c r="I56" s="380"/>
      <c r="J56" s="379" t="s">
        <v>1963</v>
      </c>
      <c r="K56" s="379"/>
      <c r="L56" s="379"/>
      <c r="M56" s="379" t="s">
        <v>1810</v>
      </c>
      <c r="N56" s="379"/>
    </row>
    <row r="57" spans="1:14" ht="30" customHeight="1" x14ac:dyDescent="0.3">
      <c r="A57" s="171" t="s">
        <v>1856</v>
      </c>
      <c r="B57" s="170" t="s">
        <v>1964</v>
      </c>
      <c r="C57" s="377" t="s">
        <v>1965</v>
      </c>
      <c r="D57" s="377"/>
      <c r="E57" s="377" t="s">
        <v>1966</v>
      </c>
      <c r="F57" s="377"/>
      <c r="G57" s="377"/>
      <c r="H57" s="377" t="s">
        <v>1657</v>
      </c>
      <c r="I57" s="377"/>
      <c r="J57" s="377" t="s">
        <v>1967</v>
      </c>
      <c r="K57" s="377"/>
      <c r="L57" s="377"/>
      <c r="M57" s="377" t="s">
        <v>1968</v>
      </c>
      <c r="N57" s="377"/>
    </row>
    <row r="58" spans="1:14" ht="30" customHeight="1" x14ac:dyDescent="0.3">
      <c r="A58" s="171" t="s">
        <v>1856</v>
      </c>
      <c r="B58" s="170" t="s">
        <v>164</v>
      </c>
      <c r="C58" s="377" t="s">
        <v>1969</v>
      </c>
      <c r="D58" s="377"/>
      <c r="E58" s="377" t="s">
        <v>1970</v>
      </c>
      <c r="F58" s="377"/>
      <c r="G58" s="377"/>
      <c r="H58" s="378">
        <v>45689</v>
      </c>
      <c r="I58" s="378"/>
      <c r="J58" s="377" t="s">
        <v>164</v>
      </c>
      <c r="K58" s="377"/>
      <c r="L58" s="377"/>
      <c r="M58" s="377" t="s">
        <v>1968</v>
      </c>
      <c r="N58" s="377"/>
    </row>
    <row r="59" spans="1:14" ht="30" customHeight="1" x14ac:dyDescent="0.3">
      <c r="A59" s="173" t="s">
        <v>1971</v>
      </c>
      <c r="B59" s="172" t="s">
        <v>1829</v>
      </c>
      <c r="C59" s="375" t="s">
        <v>1972</v>
      </c>
      <c r="D59" s="375"/>
      <c r="E59" s="375" t="s">
        <v>1973</v>
      </c>
      <c r="F59" s="375"/>
      <c r="G59" s="375"/>
      <c r="H59" s="375" t="s">
        <v>1832</v>
      </c>
      <c r="I59" s="375"/>
      <c r="J59" s="375" t="s">
        <v>1974</v>
      </c>
      <c r="K59" s="375"/>
      <c r="L59" s="375"/>
      <c r="M59" s="375" t="s">
        <v>1975</v>
      </c>
      <c r="N59" s="375"/>
    </row>
    <row r="60" spans="1:14" ht="30" customHeight="1" x14ac:dyDescent="0.3">
      <c r="A60" s="173" t="s">
        <v>1971</v>
      </c>
      <c r="B60" s="172" t="s">
        <v>1857</v>
      </c>
      <c r="C60" s="375" t="s">
        <v>1976</v>
      </c>
      <c r="D60" s="375"/>
      <c r="E60" s="375" t="s">
        <v>1977</v>
      </c>
      <c r="F60" s="375"/>
      <c r="G60" s="375"/>
      <c r="H60" s="375" t="s">
        <v>1822</v>
      </c>
      <c r="I60" s="375"/>
      <c r="J60" s="375" t="s">
        <v>1978</v>
      </c>
      <c r="K60" s="375"/>
      <c r="L60" s="375"/>
      <c r="M60" s="375" t="s">
        <v>1975</v>
      </c>
      <c r="N60" s="375"/>
    </row>
    <row r="62" spans="1:14" ht="6" customHeight="1" x14ac:dyDescent="0.3">
      <c r="A62" s="137"/>
      <c r="B62" s="137"/>
      <c r="C62" s="137"/>
      <c r="D62" s="137"/>
      <c r="E62" s="137"/>
      <c r="F62" s="137"/>
      <c r="G62" s="137"/>
      <c r="H62" s="137"/>
      <c r="I62" s="137"/>
      <c r="J62" s="137"/>
      <c r="K62" s="137"/>
      <c r="L62" s="137"/>
      <c r="M62" s="137"/>
      <c r="N62" s="137"/>
    </row>
    <row r="63" spans="1:14" x14ac:dyDescent="0.3">
      <c r="A63" s="376" t="s">
        <v>1979</v>
      </c>
      <c r="B63" s="376"/>
      <c r="C63" s="376"/>
      <c r="D63" s="376"/>
      <c r="E63" s="376"/>
      <c r="F63" s="376"/>
      <c r="G63" s="376"/>
      <c r="H63" s="376"/>
      <c r="I63" s="376"/>
      <c r="J63" s="376"/>
      <c r="K63" s="376"/>
      <c r="L63" s="376"/>
      <c r="M63" s="376"/>
      <c r="N63" s="376"/>
    </row>
    <row r="64" spans="1:14" x14ac:dyDescent="0.3">
      <c r="A64" s="371" t="s">
        <v>1980</v>
      </c>
      <c r="B64" s="371"/>
      <c r="C64" s="371"/>
      <c r="D64" s="371"/>
      <c r="E64" s="366" t="s">
        <v>1983</v>
      </c>
      <c r="F64" s="366"/>
      <c r="G64" s="366"/>
      <c r="H64" s="366"/>
      <c r="I64" s="366"/>
      <c r="J64" s="366" t="s">
        <v>1986</v>
      </c>
      <c r="K64" s="366"/>
      <c r="L64" s="366"/>
      <c r="M64" s="366"/>
      <c r="N64" s="366"/>
    </row>
    <row r="65" spans="1:14" x14ac:dyDescent="0.3">
      <c r="A65" s="372">
        <f>H14_CALCULO_ICPI!B32/100</f>
        <v>0.41236255973405345</v>
      </c>
      <c r="B65" s="372"/>
      <c r="C65" s="372"/>
      <c r="D65" s="372"/>
      <c r="E65" s="367">
        <v>0.46400000000000002</v>
      </c>
      <c r="F65" s="367"/>
      <c r="G65" s="367"/>
      <c r="H65" s="367"/>
      <c r="I65" s="367"/>
      <c r="J65" s="367">
        <v>0.621</v>
      </c>
      <c r="K65" s="367"/>
      <c r="L65" s="367"/>
      <c r="M65" s="367"/>
      <c r="N65" s="367"/>
    </row>
    <row r="66" spans="1:14" x14ac:dyDescent="0.3">
      <c r="A66" s="372"/>
      <c r="B66" s="372"/>
      <c r="C66" s="372"/>
      <c r="D66" s="372"/>
      <c r="E66" s="367"/>
      <c r="F66" s="367"/>
      <c r="G66" s="367"/>
      <c r="H66" s="367"/>
      <c r="I66" s="367"/>
      <c r="J66" s="367"/>
      <c r="K66" s="367"/>
      <c r="L66" s="367"/>
      <c r="M66" s="367"/>
      <c r="N66" s="367"/>
    </row>
    <row r="67" spans="1:14" x14ac:dyDescent="0.3">
      <c r="A67" s="373" t="s">
        <v>1981</v>
      </c>
      <c r="B67" s="373"/>
      <c r="C67" s="373"/>
      <c r="D67" s="373"/>
      <c r="E67" s="368" t="s">
        <v>1984</v>
      </c>
      <c r="F67" s="368"/>
      <c r="G67" s="368"/>
      <c r="H67" s="368"/>
      <c r="I67" s="368"/>
      <c r="J67" s="368" t="s">
        <v>1987</v>
      </c>
      <c r="K67" s="368"/>
      <c r="L67" s="368"/>
      <c r="M67" s="368"/>
      <c r="N67" s="368"/>
    </row>
    <row r="68" spans="1:14" x14ac:dyDescent="0.3">
      <c r="A68" s="374" t="s">
        <v>1982</v>
      </c>
      <c r="B68" s="374"/>
      <c r="C68" s="374"/>
      <c r="D68" s="374"/>
      <c r="E68" s="369" t="s">
        <v>1985</v>
      </c>
      <c r="F68" s="369"/>
      <c r="G68" s="369"/>
      <c r="H68" s="369"/>
      <c r="I68" s="369"/>
      <c r="J68" s="369" t="s">
        <v>1988</v>
      </c>
      <c r="K68" s="369"/>
      <c r="L68" s="369"/>
      <c r="M68" s="369"/>
      <c r="N68" s="369"/>
    </row>
    <row r="70" spans="1:14" ht="6" customHeight="1" x14ac:dyDescent="0.3">
      <c r="A70" s="137"/>
      <c r="B70" s="137"/>
      <c r="C70" s="137"/>
      <c r="D70" s="137"/>
      <c r="E70" s="137"/>
      <c r="F70" s="137"/>
      <c r="G70" s="137"/>
      <c r="H70" s="137"/>
      <c r="I70" s="137"/>
      <c r="J70" s="137"/>
      <c r="K70" s="137"/>
      <c r="L70" s="137"/>
      <c r="M70" s="137"/>
      <c r="N70" s="137"/>
    </row>
    <row r="71" spans="1:14" x14ac:dyDescent="0.3">
      <c r="A71" s="370" t="s">
        <v>1989</v>
      </c>
      <c r="B71" s="370"/>
      <c r="C71" s="370"/>
      <c r="D71" s="370"/>
      <c r="E71" s="370"/>
      <c r="F71" s="370"/>
      <c r="G71" s="370"/>
      <c r="H71" s="370"/>
      <c r="I71" s="370"/>
      <c r="J71" s="370"/>
      <c r="K71" s="370"/>
      <c r="L71" s="370"/>
      <c r="M71" s="370"/>
      <c r="N71" s="370"/>
    </row>
    <row r="72" spans="1:14" x14ac:dyDescent="0.3">
      <c r="A72" s="365" t="s">
        <v>1990</v>
      </c>
      <c r="B72" s="365"/>
      <c r="C72" s="365"/>
      <c r="D72" s="365"/>
      <c r="E72" s="365" t="s">
        <v>1993</v>
      </c>
      <c r="F72" s="365"/>
      <c r="G72" s="365"/>
      <c r="H72" s="365"/>
      <c r="I72" s="365"/>
      <c r="J72" s="365" t="s">
        <v>1995</v>
      </c>
      <c r="K72" s="365"/>
      <c r="L72" s="365"/>
      <c r="M72" s="365"/>
      <c r="N72" s="365"/>
    </row>
    <row r="73" spans="1:14" x14ac:dyDescent="0.3">
      <c r="A73" s="363" t="s">
        <v>1991</v>
      </c>
      <c r="B73" s="363"/>
      <c r="C73" s="363"/>
      <c r="D73" s="363"/>
      <c r="E73" s="363" t="s">
        <v>1991</v>
      </c>
      <c r="F73" s="363"/>
      <c r="G73" s="363"/>
      <c r="H73" s="363"/>
      <c r="I73" s="363"/>
      <c r="J73" s="363" t="s">
        <v>1991</v>
      </c>
      <c r="K73" s="363"/>
      <c r="L73" s="363"/>
      <c r="M73" s="363"/>
      <c r="N73" s="363"/>
    </row>
    <row r="74" spans="1:14" x14ac:dyDescent="0.3">
      <c r="A74" s="363"/>
      <c r="B74" s="363"/>
      <c r="C74" s="363"/>
      <c r="D74" s="363"/>
      <c r="E74" s="363"/>
      <c r="F74" s="363"/>
      <c r="G74" s="363"/>
      <c r="H74" s="363"/>
      <c r="I74" s="363"/>
      <c r="J74" s="363"/>
      <c r="K74" s="363"/>
      <c r="L74" s="363"/>
      <c r="M74" s="363"/>
      <c r="N74" s="363"/>
    </row>
    <row r="75" spans="1:14" x14ac:dyDescent="0.3">
      <c r="A75" s="364" t="s">
        <v>1992</v>
      </c>
      <c r="B75" s="364"/>
      <c r="C75" s="364"/>
      <c r="D75" s="364"/>
      <c r="E75" s="364" t="s">
        <v>1994</v>
      </c>
      <c r="F75" s="364"/>
      <c r="G75" s="364"/>
      <c r="H75" s="364"/>
      <c r="I75" s="364"/>
      <c r="J75" s="364" t="s">
        <v>1996</v>
      </c>
      <c r="K75" s="364"/>
      <c r="L75" s="364"/>
      <c r="M75" s="364"/>
      <c r="N75" s="364"/>
    </row>
    <row r="77" spans="1:14" ht="4.05" customHeight="1" x14ac:dyDescent="0.3">
      <c r="A77" s="137"/>
      <c r="B77" s="137"/>
      <c r="C77" s="137"/>
      <c r="D77" s="137"/>
      <c r="E77" s="137"/>
      <c r="F77" s="137"/>
      <c r="G77" s="137"/>
      <c r="H77" s="137"/>
      <c r="I77" s="137"/>
      <c r="J77" s="137"/>
      <c r="K77" s="137"/>
      <c r="L77" s="137"/>
      <c r="M77" s="137"/>
      <c r="N77" s="137"/>
    </row>
    <row r="78" spans="1:14" x14ac:dyDescent="0.3">
      <c r="A78" s="362" t="s">
        <v>1997</v>
      </c>
      <c r="B78" s="362"/>
      <c r="C78" s="362"/>
      <c r="D78" s="362"/>
      <c r="E78" s="362"/>
      <c r="F78" s="362"/>
      <c r="G78" s="362"/>
      <c r="H78" s="362"/>
      <c r="I78" s="362"/>
      <c r="J78" s="362"/>
      <c r="K78" s="362"/>
      <c r="L78" s="362"/>
      <c r="M78" s="362"/>
      <c r="N78" s="362"/>
    </row>
  </sheetData>
  <mergeCells count="201">
    <mergeCell ref="M10:N10"/>
    <mergeCell ref="F9:H9"/>
    <mergeCell ref="F10:H10"/>
    <mergeCell ref="A1:N1"/>
    <mergeCell ref="A2:N2"/>
    <mergeCell ref="A3:N3"/>
    <mergeCell ref="A5:N5"/>
    <mergeCell ref="A6:B6"/>
    <mergeCell ref="A7:B8"/>
    <mergeCell ref="F6:H6"/>
    <mergeCell ref="F7:H8"/>
    <mergeCell ref="K6:L6"/>
    <mergeCell ref="K7:L8"/>
    <mergeCell ref="I6:J6"/>
    <mergeCell ref="I7:J8"/>
    <mergeCell ref="I9:J9"/>
    <mergeCell ref="I10:J10"/>
    <mergeCell ref="I14:J14"/>
    <mergeCell ref="A9:B9"/>
    <mergeCell ref="A10:B10"/>
    <mergeCell ref="C6:E6"/>
    <mergeCell ref="C7:E8"/>
    <mergeCell ref="C9:E9"/>
    <mergeCell ref="C10:E10"/>
    <mergeCell ref="K9:L9"/>
    <mergeCell ref="K10:L10"/>
    <mergeCell ref="K14:N14"/>
    <mergeCell ref="A12:N12"/>
    <mergeCell ref="A13:B13"/>
    <mergeCell ref="C13:D13"/>
    <mergeCell ref="E13:F13"/>
    <mergeCell ref="G13:H13"/>
    <mergeCell ref="I13:J13"/>
    <mergeCell ref="K13:N13"/>
    <mergeCell ref="A14:B14"/>
    <mergeCell ref="C14:D14"/>
    <mergeCell ref="E14:F14"/>
    <mergeCell ref="G14:H14"/>
    <mergeCell ref="M6:N6"/>
    <mergeCell ref="M7:N8"/>
    <mergeCell ref="M9:N9"/>
    <mergeCell ref="A16:B16"/>
    <mergeCell ref="C16:D16"/>
    <mergeCell ref="E16:F16"/>
    <mergeCell ref="G16:H16"/>
    <mergeCell ref="I16:J16"/>
    <mergeCell ref="K16:N16"/>
    <mergeCell ref="A15:B15"/>
    <mergeCell ref="C15:D15"/>
    <mergeCell ref="E15:F15"/>
    <mergeCell ref="G15:H15"/>
    <mergeCell ref="I15:J15"/>
    <mergeCell ref="K15:N15"/>
    <mergeCell ref="A18:B18"/>
    <mergeCell ref="C18:D18"/>
    <mergeCell ref="E18:F18"/>
    <mergeCell ref="G18:H18"/>
    <mergeCell ref="I18:J18"/>
    <mergeCell ref="K18:N18"/>
    <mergeCell ref="A17:B17"/>
    <mergeCell ref="C17:D17"/>
    <mergeCell ref="E17:F17"/>
    <mergeCell ref="G17:H17"/>
    <mergeCell ref="I17:J17"/>
    <mergeCell ref="K17:N17"/>
    <mergeCell ref="A20:B20"/>
    <mergeCell ref="C20:D20"/>
    <mergeCell ref="E20:F20"/>
    <mergeCell ref="G20:H20"/>
    <mergeCell ref="I20:J20"/>
    <mergeCell ref="K20:N20"/>
    <mergeCell ref="A19:B19"/>
    <mergeCell ref="C19:D19"/>
    <mergeCell ref="E19:F19"/>
    <mergeCell ref="G19:H19"/>
    <mergeCell ref="I19:J19"/>
    <mergeCell ref="K19:N19"/>
    <mergeCell ref="A22:B22"/>
    <mergeCell ref="C22:D22"/>
    <mergeCell ref="E22:F22"/>
    <mergeCell ref="G22:H22"/>
    <mergeCell ref="I22:J22"/>
    <mergeCell ref="K22:N22"/>
    <mergeCell ref="A21:B21"/>
    <mergeCell ref="C21:D21"/>
    <mergeCell ref="E21:F21"/>
    <mergeCell ref="G21:H21"/>
    <mergeCell ref="I21:J21"/>
    <mergeCell ref="K21:N21"/>
    <mergeCell ref="C27:D27"/>
    <mergeCell ref="E27:F27"/>
    <mergeCell ref="G27:H27"/>
    <mergeCell ref="J27:N27"/>
    <mergeCell ref="C28:D28"/>
    <mergeCell ref="E28:F28"/>
    <mergeCell ref="G28:H28"/>
    <mergeCell ref="J28:N28"/>
    <mergeCell ref="A24:N24"/>
    <mergeCell ref="C25:D25"/>
    <mergeCell ref="E25:F25"/>
    <mergeCell ref="G25:H25"/>
    <mergeCell ref="J25:N25"/>
    <mergeCell ref="C26:D26"/>
    <mergeCell ref="E26:F26"/>
    <mergeCell ref="G26:H26"/>
    <mergeCell ref="J26:N26"/>
    <mergeCell ref="H34:N34"/>
    <mergeCell ref="H35:N35"/>
    <mergeCell ref="H36:N36"/>
    <mergeCell ref="H37:N37"/>
    <mergeCell ref="A40:N40"/>
    <mergeCell ref="B41:C41"/>
    <mergeCell ref="D41:E41"/>
    <mergeCell ref="J41:N41"/>
    <mergeCell ref="C29:D29"/>
    <mergeCell ref="E29:F29"/>
    <mergeCell ref="G29:H29"/>
    <mergeCell ref="J29:N29"/>
    <mergeCell ref="A32:N32"/>
    <mergeCell ref="H33:N33"/>
    <mergeCell ref="B44:C44"/>
    <mergeCell ref="D44:E44"/>
    <mergeCell ref="J44:N44"/>
    <mergeCell ref="B45:C45"/>
    <mergeCell ref="D45:E45"/>
    <mergeCell ref="J45:N45"/>
    <mergeCell ref="B42:C42"/>
    <mergeCell ref="D42:E42"/>
    <mergeCell ref="J42:N42"/>
    <mergeCell ref="B43:C43"/>
    <mergeCell ref="D43:E43"/>
    <mergeCell ref="J43:N43"/>
    <mergeCell ref="B46:C46"/>
    <mergeCell ref="D46:E46"/>
    <mergeCell ref="J46:N46"/>
    <mergeCell ref="A50:N50"/>
    <mergeCell ref="A52:N52"/>
    <mergeCell ref="C53:D53"/>
    <mergeCell ref="E53:G53"/>
    <mergeCell ref="H53:I53"/>
    <mergeCell ref="J53:L53"/>
    <mergeCell ref="M53:N53"/>
    <mergeCell ref="C54:D54"/>
    <mergeCell ref="E54:G54"/>
    <mergeCell ref="H54:I54"/>
    <mergeCell ref="J54:L54"/>
    <mergeCell ref="M54:N54"/>
    <mergeCell ref="C55:D55"/>
    <mergeCell ref="E55:G55"/>
    <mergeCell ref="H55:I55"/>
    <mergeCell ref="J55:L55"/>
    <mergeCell ref="M55:N55"/>
    <mergeCell ref="C56:D56"/>
    <mergeCell ref="E56:G56"/>
    <mergeCell ref="H56:I56"/>
    <mergeCell ref="J56:L56"/>
    <mergeCell ref="M56:N56"/>
    <mergeCell ref="C57:D57"/>
    <mergeCell ref="E57:G57"/>
    <mergeCell ref="H57:I57"/>
    <mergeCell ref="J57:L57"/>
    <mergeCell ref="M57:N57"/>
    <mergeCell ref="C60:D60"/>
    <mergeCell ref="E60:G60"/>
    <mergeCell ref="H60:I60"/>
    <mergeCell ref="J60:L60"/>
    <mergeCell ref="M60:N60"/>
    <mergeCell ref="A63:N63"/>
    <mergeCell ref="C58:D58"/>
    <mergeCell ref="E58:G58"/>
    <mergeCell ref="H58:I58"/>
    <mergeCell ref="J58:L58"/>
    <mergeCell ref="M58:N58"/>
    <mergeCell ref="C59:D59"/>
    <mergeCell ref="E59:G59"/>
    <mergeCell ref="H59:I59"/>
    <mergeCell ref="J59:L59"/>
    <mergeCell ref="M59:N59"/>
    <mergeCell ref="J64:N64"/>
    <mergeCell ref="J65:N66"/>
    <mergeCell ref="J67:N67"/>
    <mergeCell ref="J68:N68"/>
    <mergeCell ref="A71:N71"/>
    <mergeCell ref="A72:D72"/>
    <mergeCell ref="A64:D64"/>
    <mergeCell ref="A65:D66"/>
    <mergeCell ref="A67:D67"/>
    <mergeCell ref="A68:D68"/>
    <mergeCell ref="E64:I64"/>
    <mergeCell ref="E65:I66"/>
    <mergeCell ref="E67:I67"/>
    <mergeCell ref="E68:I68"/>
    <mergeCell ref="A78:N78"/>
    <mergeCell ref="A73:D74"/>
    <mergeCell ref="A75:D75"/>
    <mergeCell ref="E72:I72"/>
    <mergeCell ref="E73:I74"/>
    <mergeCell ref="E75:I75"/>
    <mergeCell ref="J72:N72"/>
    <mergeCell ref="J73:N74"/>
    <mergeCell ref="J75:N75"/>
  </mergeCells>
  <hyperlinks>
    <hyperlink ref="A1" location="'H01_PARAMETROS_GENERALES'!A1" tooltip="Volver a H01_PARAMETROS_GENERALES" display="🔙 Volver al Índice" xr:uid="{0BBB16E1-2484-49DD-87A7-4F3EB99DC78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5F10-90AA-4E8B-82BB-E7F9E55CC22C}">
  <dimension ref="A1:N93"/>
  <sheetViews>
    <sheetView zoomScale="130" zoomScaleNormal="130" workbookViewId="0">
      <pane ySplit="3" topLeftCell="A4" activePane="bottomLeft" state="frozen"/>
      <selection pane="bottomLeft" activeCell="A3" sqref="A3"/>
    </sheetView>
  </sheetViews>
  <sheetFormatPr baseColWidth="10" defaultRowHeight="14.4" x14ac:dyDescent="0.3"/>
  <cols>
    <col min="1" max="1" width="10.21875" customWidth="1"/>
    <col min="2" max="2" width="14.21875" customWidth="1"/>
    <col min="3" max="3" width="16.33203125" customWidth="1"/>
    <col min="4" max="4" width="14.21875" customWidth="1"/>
    <col min="5" max="6" width="16.33203125" customWidth="1"/>
    <col min="7" max="7" width="12.21875" customWidth="1"/>
    <col min="8" max="8" width="14.21875" customWidth="1"/>
    <col min="9" max="9" width="12.21875" style="319" customWidth="1"/>
    <col min="10" max="10" width="12.21875" customWidth="1"/>
    <col min="11" max="11" width="10.21875" customWidth="1"/>
    <col min="12" max="13" width="12.21875" customWidth="1"/>
    <col min="14" max="14" width="10.21875" customWidth="1"/>
  </cols>
  <sheetData>
    <row r="1" spans="1:14" ht="17.399999999999999" x14ac:dyDescent="0.35">
      <c r="A1" s="530" t="s">
        <v>2717</v>
      </c>
      <c r="B1" s="531"/>
      <c r="C1" s="531"/>
      <c r="D1" s="531"/>
      <c r="E1" s="531"/>
      <c r="F1" s="531"/>
      <c r="G1" s="531"/>
      <c r="H1" s="531"/>
      <c r="I1" s="531"/>
      <c r="J1" s="531"/>
      <c r="K1" s="531"/>
      <c r="L1" s="531"/>
      <c r="M1" s="531"/>
      <c r="N1" s="531"/>
    </row>
    <row r="2" spans="1:14" x14ac:dyDescent="0.3">
      <c r="A2" s="532" t="s">
        <v>1998</v>
      </c>
      <c r="B2" s="532"/>
      <c r="C2" s="532"/>
      <c r="D2" s="532"/>
      <c r="E2" s="532"/>
      <c r="F2" s="532"/>
      <c r="G2" s="532"/>
      <c r="H2" s="532"/>
      <c r="I2" s="532"/>
      <c r="J2" s="532"/>
      <c r="K2" s="532"/>
      <c r="L2" s="532"/>
      <c r="M2" s="532"/>
      <c r="N2" s="532"/>
    </row>
    <row r="3" spans="1:14" ht="14.4" customHeight="1" x14ac:dyDescent="0.3">
      <c r="A3" s="241" t="s">
        <v>2298</v>
      </c>
      <c r="B3" s="111"/>
      <c r="C3" s="111"/>
      <c r="D3" s="111"/>
      <c r="E3" s="111"/>
      <c r="F3" s="111"/>
      <c r="G3" s="111"/>
      <c r="H3" s="111"/>
      <c r="I3" s="339"/>
      <c r="J3" s="111"/>
      <c r="K3" s="111"/>
      <c r="L3" s="111"/>
      <c r="M3" s="111"/>
      <c r="N3" s="111"/>
    </row>
    <row r="4" spans="1:14" x14ac:dyDescent="0.3">
      <c r="A4" s="370" t="s">
        <v>1999</v>
      </c>
      <c r="B4" s="370"/>
      <c r="C4" s="370"/>
      <c r="D4" s="370"/>
      <c r="E4" s="370"/>
      <c r="F4" s="370"/>
      <c r="G4" s="370"/>
      <c r="H4" s="370"/>
      <c r="I4" s="370"/>
      <c r="J4" s="370"/>
      <c r="K4" s="370"/>
      <c r="L4" s="370"/>
      <c r="M4" s="370"/>
      <c r="N4" s="370"/>
    </row>
    <row r="5" spans="1:14" x14ac:dyDescent="0.3">
      <c r="A5" s="174" t="s">
        <v>2000</v>
      </c>
      <c r="B5" s="246" t="s">
        <v>32</v>
      </c>
      <c r="C5" s="175"/>
      <c r="D5" s="175"/>
      <c r="E5" s="175"/>
      <c r="F5" s="174" t="s">
        <v>2001</v>
      </c>
      <c r="G5" s="175" t="s">
        <v>2002</v>
      </c>
      <c r="H5" s="175"/>
      <c r="I5" s="340"/>
      <c r="J5" s="175"/>
      <c r="K5" s="175"/>
      <c r="L5" s="175"/>
      <c r="M5" s="175"/>
      <c r="N5" s="175"/>
    </row>
    <row r="6" spans="1:14" x14ac:dyDescent="0.3">
      <c r="A6" s="176" t="s">
        <v>2003</v>
      </c>
      <c r="B6" s="177" t="s">
        <v>2004</v>
      </c>
      <c r="C6" s="177"/>
      <c r="D6" s="177"/>
      <c r="E6" s="177"/>
      <c r="F6" s="176" t="s">
        <v>2005</v>
      </c>
      <c r="G6" s="177" t="s">
        <v>1992</v>
      </c>
      <c r="H6" s="177"/>
      <c r="I6" s="341"/>
      <c r="J6" s="177"/>
      <c r="K6" s="177"/>
      <c r="L6" s="177"/>
      <c r="M6" s="177"/>
      <c r="N6" s="177"/>
    </row>
    <row r="7" spans="1:14" x14ac:dyDescent="0.3">
      <c r="A7" s="174" t="s">
        <v>2006</v>
      </c>
      <c r="B7" s="175" t="s">
        <v>2007</v>
      </c>
      <c r="C7" s="175"/>
      <c r="D7" s="175"/>
      <c r="E7" s="175"/>
      <c r="F7" s="174" t="s">
        <v>2008</v>
      </c>
      <c r="G7" s="175" t="s">
        <v>2009</v>
      </c>
      <c r="H7" s="175"/>
      <c r="I7" s="340"/>
      <c r="J7" s="175"/>
      <c r="K7" s="175"/>
      <c r="L7" s="175"/>
      <c r="M7" s="175"/>
      <c r="N7" s="175"/>
    </row>
    <row r="8" spans="1:14" x14ac:dyDescent="0.3">
      <c r="A8" s="176" t="s">
        <v>2010</v>
      </c>
      <c r="B8" s="177" t="s">
        <v>2011</v>
      </c>
      <c r="C8" s="177"/>
      <c r="D8" s="177"/>
      <c r="E8" s="177"/>
      <c r="F8" s="176" t="s">
        <v>2012</v>
      </c>
      <c r="G8" s="178">
        <v>0.41239999999999999</v>
      </c>
      <c r="H8" s="177"/>
      <c r="I8" s="341"/>
      <c r="J8" s="177"/>
      <c r="K8" s="177"/>
      <c r="L8" s="177"/>
      <c r="M8" s="177"/>
      <c r="N8" s="177"/>
    </row>
    <row r="9" spans="1:14" x14ac:dyDescent="0.3">
      <c r="A9" s="174" t="s">
        <v>2013</v>
      </c>
      <c r="B9" s="175" t="s">
        <v>2014</v>
      </c>
      <c r="C9" s="175"/>
      <c r="D9" s="175"/>
      <c r="E9" s="175"/>
      <c r="F9" s="174" t="s">
        <v>2015</v>
      </c>
      <c r="G9" s="175" t="s">
        <v>831</v>
      </c>
      <c r="H9" s="175"/>
      <c r="I9" s="340"/>
      <c r="J9" s="175"/>
      <c r="K9" s="175"/>
      <c r="L9" s="175"/>
      <c r="M9" s="175"/>
      <c r="N9" s="175"/>
    </row>
    <row r="11" spans="1:14" ht="4.95" customHeight="1" x14ac:dyDescent="0.3">
      <c r="A11" s="111"/>
      <c r="B11" s="111"/>
      <c r="C11" s="111"/>
      <c r="D11" s="111"/>
      <c r="E11" s="111"/>
      <c r="F11" s="111"/>
      <c r="G11" s="111"/>
      <c r="H11" s="111"/>
      <c r="I11" s="339"/>
      <c r="J11" s="111"/>
      <c r="K11" s="111"/>
      <c r="L11" s="111"/>
      <c r="M11" s="111"/>
      <c r="N11" s="111"/>
    </row>
    <row r="12" spans="1:14" x14ac:dyDescent="0.3">
      <c r="A12" s="376" t="s">
        <v>2016</v>
      </c>
      <c r="B12" s="376"/>
      <c r="C12" s="376"/>
      <c r="D12" s="376"/>
      <c r="E12" s="376"/>
      <c r="F12" s="376"/>
      <c r="G12" s="376"/>
      <c r="H12" s="376"/>
      <c r="I12" s="376"/>
      <c r="J12" s="376"/>
      <c r="K12" s="376"/>
      <c r="L12" s="376"/>
      <c r="M12" s="376"/>
      <c r="N12" s="376"/>
    </row>
    <row r="13" spans="1:14" x14ac:dyDescent="0.3">
      <c r="A13" s="114" t="s">
        <v>2017</v>
      </c>
      <c r="B13" s="114" t="s">
        <v>1932</v>
      </c>
      <c r="C13" s="114" t="s">
        <v>2018</v>
      </c>
      <c r="D13" s="396" t="s">
        <v>2019</v>
      </c>
      <c r="E13" s="396"/>
      <c r="F13" s="396"/>
      <c r="G13" s="396" t="s">
        <v>1749</v>
      </c>
      <c r="H13" s="396"/>
      <c r="I13" s="396"/>
      <c r="J13" s="114" t="s">
        <v>2020</v>
      </c>
      <c r="K13" s="396" t="s">
        <v>2021</v>
      </c>
      <c r="L13" s="396"/>
      <c r="M13" s="396" t="s">
        <v>2022</v>
      </c>
      <c r="N13" s="396"/>
    </row>
    <row r="14" spans="1:14" ht="18" customHeight="1" x14ac:dyDescent="0.3">
      <c r="A14" s="180" t="s">
        <v>2023</v>
      </c>
      <c r="B14" s="179" t="s">
        <v>2024</v>
      </c>
      <c r="C14" s="179" t="s">
        <v>2025</v>
      </c>
      <c r="D14" s="563" t="s">
        <v>2026</v>
      </c>
      <c r="E14" s="563"/>
      <c r="F14" s="563"/>
      <c r="G14" s="579" t="s">
        <v>2027</v>
      </c>
      <c r="H14" s="563"/>
      <c r="I14" s="563"/>
      <c r="J14" s="181" t="s">
        <v>2028</v>
      </c>
      <c r="K14" s="563" t="s">
        <v>2029</v>
      </c>
      <c r="L14" s="563"/>
      <c r="M14" s="564" t="s">
        <v>1790</v>
      </c>
      <c r="N14" s="563"/>
    </row>
    <row r="15" spans="1:14" ht="18" customHeight="1" x14ac:dyDescent="0.3">
      <c r="A15" s="183" t="s">
        <v>2030</v>
      </c>
      <c r="B15" s="182" t="s">
        <v>2031</v>
      </c>
      <c r="C15" s="182" t="s">
        <v>2032</v>
      </c>
      <c r="D15" s="557" t="s">
        <v>2033</v>
      </c>
      <c r="E15" s="557"/>
      <c r="F15" s="557"/>
      <c r="G15" s="582" t="s">
        <v>2027</v>
      </c>
      <c r="H15" s="557"/>
      <c r="I15" s="557"/>
      <c r="J15" s="184" t="s">
        <v>2034</v>
      </c>
      <c r="K15" s="557" t="s">
        <v>2029</v>
      </c>
      <c r="L15" s="557"/>
      <c r="M15" s="558" t="s">
        <v>1790</v>
      </c>
      <c r="N15" s="557"/>
    </row>
    <row r="16" spans="1:14" ht="18" customHeight="1" x14ac:dyDescent="0.3">
      <c r="A16" s="183" t="s">
        <v>2035</v>
      </c>
      <c r="B16" s="182" t="s">
        <v>2036</v>
      </c>
      <c r="C16" s="182" t="s">
        <v>2032</v>
      </c>
      <c r="D16" s="557" t="s">
        <v>2037</v>
      </c>
      <c r="E16" s="557"/>
      <c r="F16" s="557"/>
      <c r="G16" s="582" t="s">
        <v>2027</v>
      </c>
      <c r="H16" s="557"/>
      <c r="I16" s="557"/>
      <c r="J16" s="184" t="s">
        <v>2038</v>
      </c>
      <c r="K16" s="557" t="s">
        <v>2029</v>
      </c>
      <c r="L16" s="557"/>
      <c r="M16" s="558" t="s">
        <v>1790</v>
      </c>
      <c r="N16" s="557"/>
    </row>
    <row r="17" spans="1:14" ht="18" customHeight="1" x14ac:dyDescent="0.3">
      <c r="A17" s="183" t="s">
        <v>2039</v>
      </c>
      <c r="B17" s="182" t="s">
        <v>2040</v>
      </c>
      <c r="C17" s="182" t="s">
        <v>2032</v>
      </c>
      <c r="D17" s="557" t="s">
        <v>2041</v>
      </c>
      <c r="E17" s="557"/>
      <c r="F17" s="557"/>
      <c r="G17" s="582" t="s">
        <v>2027</v>
      </c>
      <c r="H17" s="557"/>
      <c r="I17" s="557"/>
      <c r="J17" s="184" t="s">
        <v>2038</v>
      </c>
      <c r="K17" s="557" t="s">
        <v>2029</v>
      </c>
      <c r="L17" s="557"/>
      <c r="M17" s="558" t="s">
        <v>1790</v>
      </c>
      <c r="N17" s="557"/>
    </row>
    <row r="18" spans="1:14" ht="18" customHeight="1" x14ac:dyDescent="0.3">
      <c r="A18" s="185" t="s">
        <v>2042</v>
      </c>
      <c r="B18" s="186" t="s">
        <v>2043</v>
      </c>
      <c r="C18" s="186" t="s">
        <v>2044</v>
      </c>
      <c r="D18" s="554" t="s">
        <v>2045</v>
      </c>
      <c r="E18" s="554"/>
      <c r="F18" s="554"/>
      <c r="G18" s="580" t="s">
        <v>2027</v>
      </c>
      <c r="H18" s="554"/>
      <c r="I18" s="554"/>
      <c r="J18" s="187" t="s">
        <v>2034</v>
      </c>
      <c r="K18" s="554" t="s">
        <v>2046</v>
      </c>
      <c r="L18" s="554"/>
      <c r="M18" s="555" t="s">
        <v>1790</v>
      </c>
      <c r="N18" s="554"/>
    </row>
    <row r="19" spans="1:14" ht="18" customHeight="1" x14ac:dyDescent="0.3">
      <c r="A19" s="185" t="s">
        <v>2047</v>
      </c>
      <c r="B19" s="186" t="s">
        <v>2048</v>
      </c>
      <c r="C19" s="186" t="s">
        <v>2044</v>
      </c>
      <c r="D19" s="554" t="s">
        <v>2049</v>
      </c>
      <c r="E19" s="554"/>
      <c r="F19" s="554"/>
      <c r="G19" s="580" t="s">
        <v>2027</v>
      </c>
      <c r="H19" s="554"/>
      <c r="I19" s="554"/>
      <c r="J19" s="187" t="s">
        <v>2050</v>
      </c>
      <c r="K19" s="554" t="s">
        <v>2029</v>
      </c>
      <c r="L19" s="554"/>
      <c r="M19" s="555" t="s">
        <v>1790</v>
      </c>
      <c r="N19" s="554"/>
    </row>
    <row r="20" spans="1:14" ht="18" customHeight="1" x14ac:dyDescent="0.3">
      <c r="A20" s="183" t="s">
        <v>2051</v>
      </c>
      <c r="B20" s="182" t="s">
        <v>2052</v>
      </c>
      <c r="C20" s="182" t="s">
        <v>2032</v>
      </c>
      <c r="D20" s="557" t="s">
        <v>2053</v>
      </c>
      <c r="E20" s="557"/>
      <c r="F20" s="557"/>
      <c r="G20" s="582" t="s">
        <v>2027</v>
      </c>
      <c r="H20" s="557"/>
      <c r="I20" s="557"/>
      <c r="J20" s="184" t="s">
        <v>2034</v>
      </c>
      <c r="K20" s="557" t="s">
        <v>2029</v>
      </c>
      <c r="L20" s="557"/>
      <c r="M20" s="558" t="s">
        <v>1790</v>
      </c>
      <c r="N20" s="557"/>
    </row>
    <row r="21" spans="1:14" ht="18" customHeight="1" x14ac:dyDescent="0.3">
      <c r="A21" s="188" t="s">
        <v>2054</v>
      </c>
      <c r="B21" s="134" t="s">
        <v>2055</v>
      </c>
      <c r="C21" s="134" t="s">
        <v>1363</v>
      </c>
      <c r="D21" s="506" t="s">
        <v>2056</v>
      </c>
      <c r="E21" s="506"/>
      <c r="F21" s="506"/>
      <c r="G21" s="578" t="s">
        <v>2027</v>
      </c>
      <c r="H21" s="506"/>
      <c r="I21" s="506"/>
      <c r="J21" s="189" t="s">
        <v>2057</v>
      </c>
      <c r="K21" s="506" t="s">
        <v>2029</v>
      </c>
      <c r="L21" s="506"/>
      <c r="M21" s="556" t="s">
        <v>1790</v>
      </c>
      <c r="N21" s="506"/>
    </row>
    <row r="22" spans="1:14" ht="18" customHeight="1" x14ac:dyDescent="0.3">
      <c r="A22" s="191" t="s">
        <v>2058</v>
      </c>
      <c r="B22" s="190" t="s">
        <v>2059</v>
      </c>
      <c r="C22" s="190" t="s">
        <v>1895</v>
      </c>
      <c r="D22" s="560" t="s">
        <v>2060</v>
      </c>
      <c r="E22" s="560"/>
      <c r="F22" s="560"/>
      <c r="G22" s="581" t="s">
        <v>2027</v>
      </c>
      <c r="H22" s="560"/>
      <c r="I22" s="560"/>
      <c r="J22" s="192" t="s">
        <v>2057</v>
      </c>
      <c r="K22" s="560" t="s">
        <v>2029</v>
      </c>
      <c r="L22" s="560"/>
      <c r="M22" s="561" t="s">
        <v>1790</v>
      </c>
      <c r="N22" s="560"/>
    </row>
    <row r="23" spans="1:14" ht="18" customHeight="1" x14ac:dyDescent="0.3">
      <c r="A23" s="194" t="s">
        <v>2061</v>
      </c>
      <c r="B23" s="193" t="s">
        <v>2062</v>
      </c>
      <c r="C23" s="193" t="s">
        <v>2063</v>
      </c>
      <c r="D23" s="550" t="s">
        <v>2064</v>
      </c>
      <c r="E23" s="550"/>
      <c r="F23" s="550"/>
      <c r="G23" s="571" t="s">
        <v>2027</v>
      </c>
      <c r="H23" s="550"/>
      <c r="I23" s="550"/>
      <c r="J23" s="195" t="s">
        <v>2065</v>
      </c>
      <c r="K23" s="550" t="s">
        <v>2029</v>
      </c>
      <c r="L23" s="550"/>
      <c r="M23" s="551" t="s">
        <v>1790</v>
      </c>
      <c r="N23" s="550"/>
    </row>
    <row r="24" spans="1:14" ht="18" customHeight="1" x14ac:dyDescent="0.3">
      <c r="A24" s="197" t="s">
        <v>2066</v>
      </c>
      <c r="B24" s="196" t="s">
        <v>2067</v>
      </c>
      <c r="C24" s="196" t="s">
        <v>216</v>
      </c>
      <c r="D24" s="575" t="s">
        <v>2068</v>
      </c>
      <c r="E24" s="575"/>
      <c r="F24" s="575"/>
      <c r="G24" s="576" t="s">
        <v>2027</v>
      </c>
      <c r="H24" s="575"/>
      <c r="I24" s="575"/>
      <c r="J24" s="198" t="s">
        <v>2069</v>
      </c>
      <c r="K24" s="575" t="s">
        <v>2029</v>
      </c>
      <c r="L24" s="575"/>
      <c r="M24" s="577" t="s">
        <v>1790</v>
      </c>
      <c r="N24" s="575"/>
    </row>
    <row r="25" spans="1:14" ht="18" customHeight="1" x14ac:dyDescent="0.3">
      <c r="A25" s="185" t="s">
        <v>2070</v>
      </c>
      <c r="B25" s="186" t="s">
        <v>2071</v>
      </c>
      <c r="C25" s="186" t="s">
        <v>2044</v>
      </c>
      <c r="D25" s="554" t="s">
        <v>2072</v>
      </c>
      <c r="E25" s="554"/>
      <c r="F25" s="554"/>
      <c r="G25" s="580" t="s">
        <v>2027</v>
      </c>
      <c r="H25" s="554"/>
      <c r="I25" s="554"/>
      <c r="J25" s="187" t="s">
        <v>2073</v>
      </c>
      <c r="K25" s="554" t="s">
        <v>2046</v>
      </c>
      <c r="L25" s="554"/>
      <c r="M25" s="555" t="s">
        <v>1790</v>
      </c>
      <c r="N25" s="554"/>
    </row>
    <row r="26" spans="1:14" ht="18" customHeight="1" x14ac:dyDescent="0.3">
      <c r="A26" s="180" t="s">
        <v>2074</v>
      </c>
      <c r="B26" s="179" t="s">
        <v>2075</v>
      </c>
      <c r="C26" s="179" t="s">
        <v>2025</v>
      </c>
      <c r="D26" s="563" t="s">
        <v>2076</v>
      </c>
      <c r="E26" s="563"/>
      <c r="F26" s="563"/>
      <c r="G26" s="579" t="s">
        <v>2027</v>
      </c>
      <c r="H26" s="563"/>
      <c r="I26" s="563"/>
      <c r="J26" s="181" t="s">
        <v>2057</v>
      </c>
      <c r="K26" s="563" t="s">
        <v>2029</v>
      </c>
      <c r="L26" s="563"/>
      <c r="M26" s="564" t="s">
        <v>1790</v>
      </c>
      <c r="N26" s="563"/>
    </row>
    <row r="27" spans="1:14" ht="18" customHeight="1" x14ac:dyDescent="0.3">
      <c r="A27" s="197" t="s">
        <v>2077</v>
      </c>
      <c r="B27" s="196" t="s">
        <v>2078</v>
      </c>
      <c r="C27" s="196" t="s">
        <v>216</v>
      </c>
      <c r="D27" s="575" t="s">
        <v>2079</v>
      </c>
      <c r="E27" s="575"/>
      <c r="F27" s="575"/>
      <c r="G27" s="576" t="s">
        <v>2027</v>
      </c>
      <c r="H27" s="575"/>
      <c r="I27" s="575"/>
      <c r="J27" s="198" t="s">
        <v>2028</v>
      </c>
      <c r="K27" s="575" t="s">
        <v>2029</v>
      </c>
      <c r="L27" s="575"/>
      <c r="M27" s="577" t="s">
        <v>1790</v>
      </c>
      <c r="N27" s="575"/>
    </row>
    <row r="28" spans="1:14" ht="18" customHeight="1" x14ac:dyDescent="0.3">
      <c r="A28" s="197" t="s">
        <v>2080</v>
      </c>
      <c r="B28" s="196" t="s">
        <v>2081</v>
      </c>
      <c r="C28" s="196" t="s">
        <v>216</v>
      </c>
      <c r="D28" s="575" t="s">
        <v>2082</v>
      </c>
      <c r="E28" s="575"/>
      <c r="F28" s="575"/>
      <c r="G28" s="576" t="s">
        <v>2027</v>
      </c>
      <c r="H28" s="575"/>
      <c r="I28" s="575"/>
      <c r="J28" s="198" t="s">
        <v>2083</v>
      </c>
      <c r="K28" s="575" t="s">
        <v>2029</v>
      </c>
      <c r="L28" s="575"/>
      <c r="M28" s="577" t="s">
        <v>1790</v>
      </c>
      <c r="N28" s="575"/>
    </row>
    <row r="29" spans="1:14" ht="18" customHeight="1" x14ac:dyDescent="0.3">
      <c r="A29" s="188" t="s">
        <v>2084</v>
      </c>
      <c r="B29" s="134" t="s">
        <v>2085</v>
      </c>
      <c r="C29" s="134" t="s">
        <v>1363</v>
      </c>
      <c r="D29" s="506" t="s">
        <v>2086</v>
      </c>
      <c r="E29" s="506"/>
      <c r="F29" s="506"/>
      <c r="G29" s="578" t="s">
        <v>2027</v>
      </c>
      <c r="H29" s="506"/>
      <c r="I29" s="506"/>
      <c r="J29" s="189" t="s">
        <v>2069</v>
      </c>
      <c r="K29" s="506" t="s">
        <v>2029</v>
      </c>
      <c r="L29" s="506"/>
      <c r="M29" s="556" t="s">
        <v>1790</v>
      </c>
      <c r="N29" s="506"/>
    </row>
    <row r="30" spans="1:14" ht="18" customHeight="1" x14ac:dyDescent="0.3">
      <c r="A30" s="197" t="s">
        <v>2087</v>
      </c>
      <c r="B30" s="196" t="s">
        <v>2088</v>
      </c>
      <c r="C30" s="196" t="s">
        <v>216</v>
      </c>
      <c r="D30" s="575" t="s">
        <v>2089</v>
      </c>
      <c r="E30" s="575"/>
      <c r="F30" s="575"/>
      <c r="G30" s="576" t="s">
        <v>2027</v>
      </c>
      <c r="H30" s="575"/>
      <c r="I30" s="575"/>
      <c r="J30" s="198" t="s">
        <v>2090</v>
      </c>
      <c r="K30" s="575" t="s">
        <v>2029</v>
      </c>
      <c r="L30" s="575"/>
      <c r="M30" s="577" t="s">
        <v>1790</v>
      </c>
      <c r="N30" s="575"/>
    </row>
    <row r="31" spans="1:14" ht="18" customHeight="1" x14ac:dyDescent="0.3">
      <c r="A31" s="197" t="s">
        <v>2091</v>
      </c>
      <c r="B31" s="196" t="s">
        <v>2092</v>
      </c>
      <c r="C31" s="196" t="s">
        <v>216</v>
      </c>
      <c r="D31" s="575" t="s">
        <v>2093</v>
      </c>
      <c r="E31" s="575"/>
      <c r="F31" s="575"/>
      <c r="G31" s="576" t="s">
        <v>2027</v>
      </c>
      <c r="H31" s="575"/>
      <c r="I31" s="575"/>
      <c r="J31" s="198" t="s">
        <v>2057</v>
      </c>
      <c r="K31" s="575" t="s">
        <v>2029</v>
      </c>
      <c r="L31" s="575"/>
      <c r="M31" s="577" t="s">
        <v>1790</v>
      </c>
      <c r="N31" s="575"/>
    </row>
    <row r="32" spans="1:14" ht="18" customHeight="1" x14ac:dyDescent="0.3">
      <c r="A32" s="197" t="s">
        <v>2094</v>
      </c>
      <c r="B32" s="196" t="s">
        <v>2095</v>
      </c>
      <c r="C32" s="196" t="s">
        <v>216</v>
      </c>
      <c r="D32" s="575" t="s">
        <v>2096</v>
      </c>
      <c r="E32" s="575"/>
      <c r="F32" s="575"/>
      <c r="G32" s="576" t="s">
        <v>2027</v>
      </c>
      <c r="H32" s="575"/>
      <c r="I32" s="575"/>
      <c r="J32" s="198" t="s">
        <v>2097</v>
      </c>
      <c r="K32" s="575" t="s">
        <v>2029</v>
      </c>
      <c r="L32" s="575"/>
      <c r="M32" s="577" t="s">
        <v>1790</v>
      </c>
      <c r="N32" s="575"/>
    </row>
    <row r="33" spans="1:14" ht="18" customHeight="1" x14ac:dyDescent="0.3">
      <c r="A33" s="199" t="s">
        <v>2098</v>
      </c>
      <c r="B33" s="200" t="s">
        <v>2099</v>
      </c>
      <c r="C33" s="200" t="s">
        <v>2100</v>
      </c>
      <c r="D33" s="572" t="s">
        <v>2101</v>
      </c>
      <c r="E33" s="572"/>
      <c r="F33" s="572"/>
      <c r="G33" s="573" t="s">
        <v>2027</v>
      </c>
      <c r="H33" s="572"/>
      <c r="I33" s="572"/>
      <c r="J33" s="201" t="s">
        <v>2073</v>
      </c>
      <c r="K33" s="572" t="s">
        <v>2029</v>
      </c>
      <c r="L33" s="572"/>
      <c r="M33" s="574" t="s">
        <v>1790</v>
      </c>
      <c r="N33" s="572"/>
    </row>
    <row r="34" spans="1:14" ht="18" customHeight="1" x14ac:dyDescent="0.3">
      <c r="A34" s="199" t="s">
        <v>1925</v>
      </c>
      <c r="B34" s="200" t="s">
        <v>2102</v>
      </c>
      <c r="C34" s="200" t="s">
        <v>2100</v>
      </c>
      <c r="D34" s="572" t="s">
        <v>2103</v>
      </c>
      <c r="E34" s="572"/>
      <c r="F34" s="572"/>
      <c r="G34" s="573" t="s">
        <v>2027</v>
      </c>
      <c r="H34" s="572"/>
      <c r="I34" s="572"/>
      <c r="J34" s="201" t="s">
        <v>2069</v>
      </c>
      <c r="K34" s="572" t="s">
        <v>2029</v>
      </c>
      <c r="L34" s="572"/>
      <c r="M34" s="574" t="s">
        <v>1790</v>
      </c>
      <c r="N34" s="572"/>
    </row>
    <row r="35" spans="1:14" ht="18" customHeight="1" x14ac:dyDescent="0.3">
      <c r="A35" s="199" t="s">
        <v>1930</v>
      </c>
      <c r="B35" s="200" t="s">
        <v>2104</v>
      </c>
      <c r="C35" s="200" t="s">
        <v>2100</v>
      </c>
      <c r="D35" s="572" t="s">
        <v>2105</v>
      </c>
      <c r="E35" s="572"/>
      <c r="F35" s="572"/>
      <c r="G35" s="573" t="s">
        <v>2027</v>
      </c>
      <c r="H35" s="572"/>
      <c r="I35" s="572"/>
      <c r="J35" s="201" t="s">
        <v>2106</v>
      </c>
      <c r="K35" s="572" t="s">
        <v>2029</v>
      </c>
      <c r="L35" s="572"/>
      <c r="M35" s="574" t="s">
        <v>1790</v>
      </c>
      <c r="N35" s="572"/>
    </row>
    <row r="36" spans="1:14" ht="18" customHeight="1" x14ac:dyDescent="0.3">
      <c r="A36" s="202" t="s">
        <v>2107</v>
      </c>
      <c r="B36" s="203" t="s">
        <v>2108</v>
      </c>
      <c r="C36" s="203" t="s">
        <v>2109</v>
      </c>
      <c r="D36" s="565" t="s">
        <v>2110</v>
      </c>
      <c r="E36" s="565"/>
      <c r="F36" s="565"/>
      <c r="G36" s="566" t="s">
        <v>2027</v>
      </c>
      <c r="H36" s="565"/>
      <c r="I36" s="565"/>
      <c r="J36" s="204" t="s">
        <v>2111</v>
      </c>
      <c r="K36" s="565" t="s">
        <v>2029</v>
      </c>
      <c r="L36" s="565"/>
      <c r="M36" s="567" t="s">
        <v>1790</v>
      </c>
      <c r="N36" s="565"/>
    </row>
    <row r="37" spans="1:14" ht="18" customHeight="1" x14ac:dyDescent="0.3">
      <c r="A37" s="194" t="s">
        <v>2112</v>
      </c>
      <c r="B37" s="193" t="s">
        <v>2113</v>
      </c>
      <c r="C37" s="193" t="s">
        <v>2063</v>
      </c>
      <c r="D37" s="550" t="s">
        <v>2114</v>
      </c>
      <c r="E37" s="550"/>
      <c r="F37" s="550"/>
      <c r="G37" s="571" t="s">
        <v>2027</v>
      </c>
      <c r="H37" s="550"/>
      <c r="I37" s="550"/>
      <c r="J37" s="195" t="s">
        <v>2028</v>
      </c>
      <c r="K37" s="550" t="s">
        <v>2029</v>
      </c>
      <c r="L37" s="550"/>
      <c r="M37" s="551" t="s">
        <v>1790</v>
      </c>
      <c r="N37" s="550"/>
    </row>
    <row r="38" spans="1:14" ht="18" customHeight="1" x14ac:dyDescent="0.3">
      <c r="A38" s="202" t="s">
        <v>2115</v>
      </c>
      <c r="B38" s="203" t="s">
        <v>2116</v>
      </c>
      <c r="C38" s="203" t="s">
        <v>2109</v>
      </c>
      <c r="D38" s="565" t="s">
        <v>2117</v>
      </c>
      <c r="E38" s="565"/>
      <c r="F38" s="565"/>
      <c r="G38" s="566" t="s">
        <v>2027</v>
      </c>
      <c r="H38" s="565"/>
      <c r="I38" s="565"/>
      <c r="J38" s="204" t="s">
        <v>2118</v>
      </c>
      <c r="K38" s="565" t="s">
        <v>2029</v>
      </c>
      <c r="L38" s="565"/>
      <c r="M38" s="567" t="s">
        <v>1790</v>
      </c>
      <c r="N38" s="565"/>
    </row>
    <row r="39" spans="1:14" ht="18" customHeight="1" x14ac:dyDescent="0.3">
      <c r="A39" s="206" t="s">
        <v>2119</v>
      </c>
      <c r="B39" s="205" t="s">
        <v>2120</v>
      </c>
      <c r="C39" s="205" t="s">
        <v>2121</v>
      </c>
      <c r="D39" s="568" t="s">
        <v>2122</v>
      </c>
      <c r="E39" s="568"/>
      <c r="F39" s="568"/>
      <c r="G39" s="569" t="s">
        <v>2027</v>
      </c>
      <c r="H39" s="568"/>
      <c r="I39" s="568"/>
      <c r="J39" s="207" t="s">
        <v>2123</v>
      </c>
      <c r="K39" s="568" t="s">
        <v>2029</v>
      </c>
      <c r="L39" s="568"/>
      <c r="M39" s="570" t="s">
        <v>1790</v>
      </c>
      <c r="N39" s="568"/>
    </row>
    <row r="40" spans="1:14" ht="18" customHeight="1" x14ac:dyDescent="0.3"/>
    <row r="41" spans="1:14" ht="18" customHeight="1" x14ac:dyDescent="0.3">
      <c r="A41" s="111"/>
      <c r="B41" s="111"/>
      <c r="C41" s="111"/>
      <c r="D41" s="111"/>
      <c r="E41" s="111"/>
      <c r="F41" s="111"/>
      <c r="G41" s="111"/>
      <c r="H41" s="111"/>
      <c r="I41" s="339"/>
      <c r="J41" s="111"/>
      <c r="K41" s="111"/>
      <c r="L41" s="111"/>
      <c r="M41" s="111"/>
      <c r="N41" s="111"/>
    </row>
    <row r="42" spans="1:14" ht="18" customHeight="1" x14ac:dyDescent="0.3">
      <c r="A42" s="509" t="s">
        <v>2124</v>
      </c>
      <c r="B42" s="509"/>
      <c r="C42" s="509"/>
      <c r="D42" s="509"/>
      <c r="E42" s="509"/>
      <c r="F42" s="509"/>
      <c r="G42" s="509"/>
      <c r="H42" s="509"/>
      <c r="I42" s="509"/>
      <c r="J42" s="509"/>
      <c r="K42" s="509"/>
      <c r="L42" s="509"/>
      <c r="M42" s="509"/>
      <c r="N42" s="509"/>
    </row>
    <row r="43" spans="1:14" ht="18" customHeight="1" x14ac:dyDescent="0.3">
      <c r="A43" s="133" t="s">
        <v>2125</v>
      </c>
      <c r="B43" s="133" t="s">
        <v>1781</v>
      </c>
      <c r="C43" s="510" t="s">
        <v>2126</v>
      </c>
      <c r="D43" s="510"/>
      <c r="E43" s="133" t="s">
        <v>2127</v>
      </c>
      <c r="F43" s="510" t="s">
        <v>2019</v>
      </c>
      <c r="G43" s="510"/>
      <c r="H43" s="133" t="s">
        <v>2128</v>
      </c>
      <c r="I43" s="342" t="s">
        <v>2129</v>
      </c>
      <c r="J43" s="510" t="s">
        <v>2130</v>
      </c>
      <c r="K43" s="510"/>
      <c r="L43" s="510"/>
      <c r="M43" s="510" t="s">
        <v>1749</v>
      </c>
      <c r="N43" s="510"/>
    </row>
    <row r="44" spans="1:14" ht="18" customHeight="1" x14ac:dyDescent="0.3">
      <c r="A44" s="184">
        <v>1</v>
      </c>
      <c r="B44" s="208">
        <v>45306</v>
      </c>
      <c r="C44" s="557" t="s">
        <v>2131</v>
      </c>
      <c r="D44" s="557"/>
      <c r="E44" s="182" t="s">
        <v>2132</v>
      </c>
      <c r="F44" s="557" t="s">
        <v>2133</v>
      </c>
      <c r="G44" s="557"/>
      <c r="H44" s="209" t="s">
        <v>2134</v>
      </c>
      <c r="I44" s="343" t="s">
        <v>2135</v>
      </c>
      <c r="J44" s="557" t="s">
        <v>164</v>
      </c>
      <c r="K44" s="557"/>
      <c r="L44" s="557"/>
      <c r="M44" s="558" t="s">
        <v>2136</v>
      </c>
      <c r="N44" s="557"/>
    </row>
    <row r="45" spans="1:14" ht="18" customHeight="1" x14ac:dyDescent="0.3">
      <c r="A45" s="181">
        <v>2</v>
      </c>
      <c r="B45" s="210">
        <v>45313</v>
      </c>
      <c r="C45" s="563" t="s">
        <v>2137</v>
      </c>
      <c r="D45" s="563"/>
      <c r="E45" s="179" t="s">
        <v>2138</v>
      </c>
      <c r="F45" s="563" t="s">
        <v>2139</v>
      </c>
      <c r="G45" s="563"/>
      <c r="H45" s="211" t="s">
        <v>2140</v>
      </c>
      <c r="I45" s="344" t="s">
        <v>2141</v>
      </c>
      <c r="J45" s="563" t="s">
        <v>2142</v>
      </c>
      <c r="K45" s="563"/>
      <c r="L45" s="563"/>
      <c r="M45" s="564" t="s">
        <v>2136</v>
      </c>
      <c r="N45" s="563"/>
    </row>
    <row r="46" spans="1:14" ht="18" customHeight="1" x14ac:dyDescent="0.3">
      <c r="A46" s="184">
        <v>3</v>
      </c>
      <c r="B46" s="208">
        <v>45332</v>
      </c>
      <c r="C46" s="557" t="s">
        <v>2143</v>
      </c>
      <c r="D46" s="557"/>
      <c r="E46" s="182" t="s">
        <v>2144</v>
      </c>
      <c r="F46" s="557" t="s">
        <v>2145</v>
      </c>
      <c r="G46" s="557"/>
      <c r="H46" s="209" t="s">
        <v>2134</v>
      </c>
      <c r="I46" s="345">
        <v>2.1000000000000001E-2</v>
      </c>
      <c r="J46" s="557" t="s">
        <v>2146</v>
      </c>
      <c r="K46" s="557"/>
      <c r="L46" s="557"/>
      <c r="M46" s="558" t="s">
        <v>2136</v>
      </c>
      <c r="N46" s="557"/>
    </row>
    <row r="47" spans="1:14" ht="18" customHeight="1" x14ac:dyDescent="0.3">
      <c r="A47" s="184">
        <v>4</v>
      </c>
      <c r="B47" s="208">
        <v>45359</v>
      </c>
      <c r="C47" s="557" t="s">
        <v>2147</v>
      </c>
      <c r="D47" s="557"/>
      <c r="E47" s="182" t="s">
        <v>2144</v>
      </c>
      <c r="F47" s="557" t="s">
        <v>2148</v>
      </c>
      <c r="G47" s="557"/>
      <c r="H47" s="209" t="s">
        <v>2134</v>
      </c>
      <c r="I47" s="345">
        <v>2.7E-2</v>
      </c>
      <c r="J47" s="557" t="s">
        <v>2146</v>
      </c>
      <c r="K47" s="557"/>
      <c r="L47" s="557"/>
      <c r="M47" s="558" t="s">
        <v>2136</v>
      </c>
      <c r="N47" s="557"/>
    </row>
    <row r="48" spans="1:14" ht="18" customHeight="1" x14ac:dyDescent="0.3">
      <c r="A48" s="184">
        <v>5</v>
      </c>
      <c r="B48" s="208">
        <v>45387</v>
      </c>
      <c r="C48" s="557" t="s">
        <v>2149</v>
      </c>
      <c r="D48" s="557"/>
      <c r="E48" s="182" t="s">
        <v>2144</v>
      </c>
      <c r="F48" s="557" t="s">
        <v>2150</v>
      </c>
      <c r="G48" s="557"/>
      <c r="H48" s="209" t="s">
        <v>2134</v>
      </c>
      <c r="I48" s="345">
        <v>1.4E-2</v>
      </c>
      <c r="J48" s="557" t="s">
        <v>2146</v>
      </c>
      <c r="K48" s="557"/>
      <c r="L48" s="557"/>
      <c r="M48" s="558" t="s">
        <v>2136</v>
      </c>
      <c r="N48" s="557"/>
    </row>
    <row r="49" spans="1:14" ht="18" customHeight="1" x14ac:dyDescent="0.3">
      <c r="A49" s="187">
        <v>6</v>
      </c>
      <c r="B49" s="212">
        <v>45412</v>
      </c>
      <c r="C49" s="554" t="s">
        <v>2151</v>
      </c>
      <c r="D49" s="554"/>
      <c r="E49" s="186" t="s">
        <v>2152</v>
      </c>
      <c r="F49" s="554" t="s">
        <v>2153</v>
      </c>
      <c r="G49" s="554"/>
      <c r="H49" s="213" t="s">
        <v>2154</v>
      </c>
      <c r="I49" s="346" t="s">
        <v>2155</v>
      </c>
      <c r="J49" s="554" t="s">
        <v>164</v>
      </c>
      <c r="K49" s="554"/>
      <c r="L49" s="554"/>
      <c r="M49" s="555" t="s">
        <v>2136</v>
      </c>
      <c r="N49" s="554"/>
    </row>
    <row r="50" spans="1:14" ht="18" customHeight="1" x14ac:dyDescent="0.3">
      <c r="A50" s="214">
        <v>7</v>
      </c>
      <c r="B50" s="215">
        <v>45424</v>
      </c>
      <c r="C50" s="387" t="s">
        <v>2156</v>
      </c>
      <c r="D50" s="387"/>
      <c r="E50" s="138" t="s">
        <v>2066</v>
      </c>
      <c r="F50" s="387" t="s">
        <v>2157</v>
      </c>
      <c r="G50" s="387"/>
      <c r="H50" s="216" t="s">
        <v>2158</v>
      </c>
      <c r="I50" s="347">
        <v>-8.0000000000000002E-3</v>
      </c>
      <c r="J50" s="387" t="s">
        <v>152</v>
      </c>
      <c r="K50" s="387"/>
      <c r="L50" s="387"/>
      <c r="M50" s="562" t="s">
        <v>2159</v>
      </c>
      <c r="N50" s="387"/>
    </row>
    <row r="51" spans="1:14" ht="18" customHeight="1" x14ac:dyDescent="0.3">
      <c r="A51" s="184">
        <v>8</v>
      </c>
      <c r="B51" s="208">
        <v>45457</v>
      </c>
      <c r="C51" s="557" t="s">
        <v>2160</v>
      </c>
      <c r="D51" s="557"/>
      <c r="E51" s="182" t="s">
        <v>2161</v>
      </c>
      <c r="F51" s="557" t="s">
        <v>2162</v>
      </c>
      <c r="G51" s="557"/>
      <c r="H51" s="209" t="s">
        <v>2134</v>
      </c>
      <c r="I51" s="345">
        <v>5.0000000000000001E-3</v>
      </c>
      <c r="J51" s="557" t="s">
        <v>2163</v>
      </c>
      <c r="K51" s="557"/>
      <c r="L51" s="557"/>
      <c r="M51" s="558" t="s">
        <v>2136</v>
      </c>
      <c r="N51" s="557"/>
    </row>
    <row r="52" spans="1:14" ht="18" customHeight="1" x14ac:dyDescent="0.3">
      <c r="A52" s="192">
        <v>9</v>
      </c>
      <c r="B52" s="217">
        <v>45495</v>
      </c>
      <c r="C52" s="560" t="s">
        <v>2164</v>
      </c>
      <c r="D52" s="560"/>
      <c r="E52" s="190" t="s">
        <v>2165</v>
      </c>
      <c r="F52" s="560" t="s">
        <v>2166</v>
      </c>
      <c r="G52" s="560"/>
      <c r="H52" s="218" t="s">
        <v>2167</v>
      </c>
      <c r="I52" s="348" t="s">
        <v>2168</v>
      </c>
      <c r="J52" s="560" t="s">
        <v>2142</v>
      </c>
      <c r="K52" s="560"/>
      <c r="L52" s="560"/>
      <c r="M52" s="561" t="s">
        <v>2136</v>
      </c>
      <c r="N52" s="560"/>
    </row>
    <row r="53" spans="1:14" ht="18" customHeight="1" x14ac:dyDescent="0.3">
      <c r="A53" s="187">
        <v>10</v>
      </c>
      <c r="B53" s="212">
        <v>45535</v>
      </c>
      <c r="C53" s="554" t="s">
        <v>2169</v>
      </c>
      <c r="D53" s="554"/>
      <c r="E53" s="186" t="s">
        <v>2152</v>
      </c>
      <c r="F53" s="554" t="s">
        <v>2170</v>
      </c>
      <c r="G53" s="554"/>
      <c r="H53" s="213" t="s">
        <v>2154</v>
      </c>
      <c r="I53" s="346" t="s">
        <v>2171</v>
      </c>
      <c r="J53" s="554" t="s">
        <v>164</v>
      </c>
      <c r="K53" s="554"/>
      <c r="L53" s="554"/>
      <c r="M53" s="555" t="s">
        <v>2136</v>
      </c>
      <c r="N53" s="554"/>
    </row>
    <row r="54" spans="1:14" ht="18" customHeight="1" x14ac:dyDescent="0.3">
      <c r="A54" s="214">
        <v>11</v>
      </c>
      <c r="B54" s="215">
        <v>45545</v>
      </c>
      <c r="C54" s="387" t="s">
        <v>2172</v>
      </c>
      <c r="D54" s="387"/>
      <c r="E54" s="138" t="s">
        <v>2066</v>
      </c>
      <c r="F54" s="387" t="s">
        <v>2173</v>
      </c>
      <c r="G54" s="387"/>
      <c r="H54" s="216" t="s">
        <v>2158</v>
      </c>
      <c r="I54" s="347">
        <v>-1.2E-2</v>
      </c>
      <c r="J54" s="387" t="s">
        <v>152</v>
      </c>
      <c r="K54" s="387"/>
      <c r="L54" s="387"/>
      <c r="M54" s="559" t="s">
        <v>2174</v>
      </c>
      <c r="N54" s="387"/>
    </row>
    <row r="55" spans="1:14" ht="18" customHeight="1" x14ac:dyDescent="0.3">
      <c r="A55" s="184">
        <v>12</v>
      </c>
      <c r="B55" s="208">
        <v>45583</v>
      </c>
      <c r="C55" s="557" t="s">
        <v>2175</v>
      </c>
      <c r="D55" s="557"/>
      <c r="E55" s="182" t="s">
        <v>2084</v>
      </c>
      <c r="F55" s="557" t="s">
        <v>2176</v>
      </c>
      <c r="G55" s="557"/>
      <c r="H55" s="209" t="s">
        <v>2134</v>
      </c>
      <c r="I55" s="343" t="s">
        <v>2177</v>
      </c>
      <c r="J55" s="557" t="s">
        <v>2178</v>
      </c>
      <c r="K55" s="557"/>
      <c r="L55" s="557"/>
      <c r="M55" s="558" t="s">
        <v>2136</v>
      </c>
      <c r="N55" s="557"/>
    </row>
    <row r="56" spans="1:14" ht="18" customHeight="1" x14ac:dyDescent="0.3">
      <c r="A56" s="184">
        <v>13</v>
      </c>
      <c r="B56" s="208">
        <v>45601</v>
      </c>
      <c r="C56" s="557" t="s">
        <v>2179</v>
      </c>
      <c r="D56" s="557"/>
      <c r="E56" s="182" t="s">
        <v>2144</v>
      </c>
      <c r="F56" s="557" t="s">
        <v>2180</v>
      </c>
      <c r="G56" s="557"/>
      <c r="H56" s="209" t="s">
        <v>2134</v>
      </c>
      <c r="I56" s="345">
        <v>0.19800000000000001</v>
      </c>
      <c r="J56" s="557" t="s">
        <v>2146</v>
      </c>
      <c r="K56" s="557"/>
      <c r="L56" s="557"/>
      <c r="M56" s="558" t="s">
        <v>2136</v>
      </c>
      <c r="N56" s="557"/>
    </row>
    <row r="57" spans="1:14" ht="18" customHeight="1" x14ac:dyDescent="0.3">
      <c r="A57" s="189">
        <v>14</v>
      </c>
      <c r="B57" s="219">
        <v>45616</v>
      </c>
      <c r="C57" s="506" t="s">
        <v>2181</v>
      </c>
      <c r="D57" s="506"/>
      <c r="E57" s="134" t="s">
        <v>2182</v>
      </c>
      <c r="F57" s="506" t="s">
        <v>2183</v>
      </c>
      <c r="G57" s="506"/>
      <c r="H57" s="220" t="s">
        <v>2126</v>
      </c>
      <c r="I57" s="349" t="s">
        <v>2184</v>
      </c>
      <c r="J57" s="506" t="s">
        <v>2142</v>
      </c>
      <c r="K57" s="506"/>
      <c r="L57" s="506"/>
      <c r="M57" s="556" t="s">
        <v>2136</v>
      </c>
      <c r="N57" s="506"/>
    </row>
    <row r="58" spans="1:14" ht="18" customHeight="1" x14ac:dyDescent="0.3">
      <c r="A58" s="184">
        <v>15</v>
      </c>
      <c r="B58" s="208">
        <v>45641</v>
      </c>
      <c r="C58" s="557" t="s">
        <v>2185</v>
      </c>
      <c r="D58" s="557"/>
      <c r="E58" s="182" t="s">
        <v>2144</v>
      </c>
      <c r="F58" s="557" t="s">
        <v>2186</v>
      </c>
      <c r="G58" s="557"/>
      <c r="H58" s="209" t="s">
        <v>2134</v>
      </c>
      <c r="I58" s="345">
        <v>2.8000000000000001E-2</v>
      </c>
      <c r="J58" s="557" t="s">
        <v>2146</v>
      </c>
      <c r="K58" s="557"/>
      <c r="L58" s="557"/>
      <c r="M58" s="558" t="s">
        <v>2136</v>
      </c>
      <c r="N58" s="557"/>
    </row>
    <row r="59" spans="1:14" ht="18" customHeight="1" x14ac:dyDescent="0.3">
      <c r="A59" s="187">
        <v>16</v>
      </c>
      <c r="B59" s="212">
        <v>45657</v>
      </c>
      <c r="C59" s="554" t="s">
        <v>2187</v>
      </c>
      <c r="D59" s="554"/>
      <c r="E59" s="186" t="s">
        <v>2188</v>
      </c>
      <c r="F59" s="554" t="s">
        <v>2189</v>
      </c>
      <c r="G59" s="554"/>
      <c r="H59" s="213" t="s">
        <v>2154</v>
      </c>
      <c r="I59" s="346" t="s">
        <v>2190</v>
      </c>
      <c r="J59" s="554" t="s">
        <v>164</v>
      </c>
      <c r="K59" s="554"/>
      <c r="L59" s="554"/>
      <c r="M59" s="555" t="s">
        <v>2136</v>
      </c>
      <c r="N59" s="554"/>
    </row>
    <row r="60" spans="1:14" ht="18" customHeight="1" x14ac:dyDescent="0.3">
      <c r="A60" s="195">
        <v>17</v>
      </c>
      <c r="B60" s="221">
        <v>45657</v>
      </c>
      <c r="C60" s="550" t="s">
        <v>2191</v>
      </c>
      <c r="D60" s="550"/>
      <c r="E60" s="193" t="s">
        <v>2107</v>
      </c>
      <c r="F60" s="550" t="s">
        <v>2192</v>
      </c>
      <c r="G60" s="550"/>
      <c r="H60" s="222" t="s">
        <v>2193</v>
      </c>
      <c r="I60" s="350" t="s">
        <v>1177</v>
      </c>
      <c r="J60" s="550" t="s">
        <v>152</v>
      </c>
      <c r="K60" s="550"/>
      <c r="L60" s="550"/>
      <c r="M60" s="551" t="s">
        <v>2136</v>
      </c>
      <c r="N60" s="550"/>
    </row>
    <row r="61" spans="1:14" ht="18" customHeight="1" x14ac:dyDescent="0.3">
      <c r="A61" s="195">
        <v>18</v>
      </c>
      <c r="B61" s="221">
        <v>45657</v>
      </c>
      <c r="C61" s="550" t="s">
        <v>2194</v>
      </c>
      <c r="D61" s="550"/>
      <c r="E61" s="193" t="s">
        <v>2112</v>
      </c>
      <c r="F61" s="550" t="s">
        <v>2195</v>
      </c>
      <c r="G61" s="550"/>
      <c r="H61" s="222" t="s">
        <v>2193</v>
      </c>
      <c r="I61" s="350" t="s">
        <v>1177</v>
      </c>
      <c r="J61" s="550" t="s">
        <v>152</v>
      </c>
      <c r="K61" s="550"/>
      <c r="L61" s="550"/>
      <c r="M61" s="551" t="s">
        <v>2136</v>
      </c>
      <c r="N61" s="550"/>
    </row>
    <row r="62" spans="1:14" ht="18" customHeight="1" x14ac:dyDescent="0.3">
      <c r="A62" s="195">
        <v>19</v>
      </c>
      <c r="B62" s="221">
        <v>45657</v>
      </c>
      <c r="C62" s="550" t="s">
        <v>2196</v>
      </c>
      <c r="D62" s="550"/>
      <c r="E62" s="193" t="s">
        <v>2115</v>
      </c>
      <c r="F62" s="550" t="s">
        <v>2197</v>
      </c>
      <c r="G62" s="550"/>
      <c r="H62" s="222" t="s">
        <v>2193</v>
      </c>
      <c r="I62" s="350" t="s">
        <v>1177</v>
      </c>
      <c r="J62" s="550" t="s">
        <v>152</v>
      </c>
      <c r="K62" s="550"/>
      <c r="L62" s="550"/>
      <c r="M62" s="551" t="s">
        <v>2136</v>
      </c>
      <c r="N62" s="550"/>
    </row>
    <row r="63" spans="1:14" ht="18" customHeight="1" x14ac:dyDescent="0.3">
      <c r="A63" s="195">
        <v>20</v>
      </c>
      <c r="B63" s="221">
        <v>45657</v>
      </c>
      <c r="C63" s="550" t="s">
        <v>2198</v>
      </c>
      <c r="D63" s="550"/>
      <c r="E63" s="193" t="s">
        <v>2119</v>
      </c>
      <c r="F63" s="550" t="s">
        <v>2199</v>
      </c>
      <c r="G63" s="550"/>
      <c r="H63" s="222" t="s">
        <v>2193</v>
      </c>
      <c r="I63" s="350" t="s">
        <v>1177</v>
      </c>
      <c r="J63" s="550" t="s">
        <v>152</v>
      </c>
      <c r="K63" s="550"/>
      <c r="L63" s="550"/>
      <c r="M63" s="551" t="s">
        <v>2136</v>
      </c>
      <c r="N63" s="550"/>
    </row>
    <row r="64" spans="1:14" ht="18" customHeight="1" x14ac:dyDescent="0.3"/>
    <row r="65" spans="1:14" ht="18" customHeight="1" x14ac:dyDescent="0.3">
      <c r="A65" s="111"/>
      <c r="B65" s="111"/>
      <c r="C65" s="111"/>
      <c r="D65" s="111"/>
      <c r="E65" s="111"/>
      <c r="F65" s="111"/>
      <c r="G65" s="111"/>
      <c r="H65" s="111"/>
      <c r="I65" s="339"/>
      <c r="J65" s="111"/>
      <c r="K65" s="111"/>
      <c r="L65" s="111"/>
      <c r="M65" s="111"/>
      <c r="N65" s="111"/>
    </row>
    <row r="66" spans="1:14" ht="18" customHeight="1" x14ac:dyDescent="0.3">
      <c r="A66" s="552" t="s">
        <v>2200</v>
      </c>
      <c r="B66" s="552"/>
      <c r="C66" s="552"/>
      <c r="D66" s="552"/>
      <c r="E66" s="552"/>
      <c r="F66" s="552"/>
      <c r="G66" s="552"/>
      <c r="H66" s="552"/>
      <c r="I66" s="552"/>
      <c r="J66" s="552"/>
      <c r="K66" s="552"/>
      <c r="L66" s="552"/>
      <c r="M66" s="552"/>
      <c r="N66" s="552"/>
    </row>
    <row r="67" spans="1:14" ht="18" customHeight="1" x14ac:dyDescent="0.3">
      <c r="A67" s="553" t="s">
        <v>2201</v>
      </c>
      <c r="B67" s="553"/>
      <c r="C67" s="553" t="s">
        <v>2202</v>
      </c>
      <c r="D67" s="553"/>
      <c r="E67" s="553"/>
      <c r="F67" s="553"/>
      <c r="G67" s="553" t="s">
        <v>1783</v>
      </c>
      <c r="H67" s="553"/>
      <c r="I67" s="553" t="s">
        <v>2203</v>
      </c>
      <c r="J67" s="553"/>
      <c r="K67" s="553" t="s">
        <v>1749</v>
      </c>
      <c r="L67" s="553"/>
      <c r="M67" s="553"/>
      <c r="N67" s="553"/>
    </row>
    <row r="68" spans="1:14" ht="18" customHeight="1" x14ac:dyDescent="0.3">
      <c r="A68" s="409" t="s">
        <v>2204</v>
      </c>
      <c r="B68" s="410"/>
      <c r="C68" s="410" t="s">
        <v>2205</v>
      </c>
      <c r="D68" s="410"/>
      <c r="E68" s="410"/>
      <c r="F68" s="410"/>
      <c r="G68" s="542">
        <f>H14_CALCULO_ICPI!D4</f>
        <v>0</v>
      </c>
      <c r="H68" s="410"/>
      <c r="I68" s="542" t="s">
        <v>2206</v>
      </c>
      <c r="J68" s="410"/>
      <c r="K68" s="543" t="s">
        <v>2136</v>
      </c>
      <c r="L68" s="410"/>
      <c r="M68" s="410"/>
      <c r="N68" s="410"/>
    </row>
    <row r="69" spans="1:14" ht="18" customHeight="1" x14ac:dyDescent="0.3">
      <c r="A69" s="409" t="s">
        <v>2207</v>
      </c>
      <c r="B69" s="410"/>
      <c r="C69" s="410" t="s">
        <v>2208</v>
      </c>
      <c r="D69" s="410"/>
      <c r="E69" s="410"/>
      <c r="F69" s="410"/>
      <c r="G69" s="549">
        <v>0.41239999999999999</v>
      </c>
      <c r="H69" s="412"/>
      <c r="I69" s="542" t="s">
        <v>2209</v>
      </c>
      <c r="J69" s="410"/>
      <c r="K69" s="543" t="s">
        <v>2136</v>
      </c>
      <c r="L69" s="410"/>
      <c r="M69" s="410"/>
      <c r="N69" s="410"/>
    </row>
    <row r="70" spans="1:14" ht="18" customHeight="1" x14ac:dyDescent="0.3">
      <c r="A70" s="409" t="s">
        <v>2210</v>
      </c>
      <c r="B70" s="410"/>
      <c r="C70" s="410" t="s">
        <v>2211</v>
      </c>
      <c r="D70" s="410"/>
      <c r="E70" s="410"/>
      <c r="F70" s="410"/>
      <c r="G70" s="542">
        <f>SUMPRODUCT(H14_CALCULO_ICPI!K6:K25)</f>
        <v>10.700000000000001</v>
      </c>
      <c r="H70" s="410"/>
      <c r="I70" s="542">
        <f xml:space="preserve"> 1</f>
        <v>1</v>
      </c>
      <c r="J70" s="410"/>
      <c r="K70" s="543" t="s">
        <v>2136</v>
      </c>
      <c r="L70" s="410"/>
      <c r="M70" s="410"/>
      <c r="N70" s="410"/>
    </row>
    <row r="71" spans="1:14" ht="18" customHeight="1" x14ac:dyDescent="0.3">
      <c r="A71" s="409" t="s">
        <v>2212</v>
      </c>
      <c r="B71" s="410"/>
      <c r="C71" s="410" t="s">
        <v>2213</v>
      </c>
      <c r="D71" s="410"/>
      <c r="E71" s="410"/>
      <c r="F71" s="410"/>
      <c r="G71" s="542" t="s">
        <v>2214</v>
      </c>
      <c r="H71" s="410"/>
      <c r="I71" s="542">
        <f xml:space="preserve"> 240</f>
        <v>240</v>
      </c>
      <c r="J71" s="410"/>
      <c r="K71" s="543" t="s">
        <v>2136</v>
      </c>
      <c r="L71" s="410"/>
      <c r="M71" s="410"/>
      <c r="N71" s="410"/>
    </row>
    <row r="72" spans="1:14" ht="18" customHeight="1" x14ac:dyDescent="0.3">
      <c r="A72" s="409" t="s">
        <v>2215</v>
      </c>
      <c r="B72" s="410"/>
      <c r="C72" s="410" t="s">
        <v>2216</v>
      </c>
      <c r="D72" s="410"/>
      <c r="E72" s="410"/>
      <c r="F72" s="410"/>
      <c r="G72" s="542" t="s">
        <v>2217</v>
      </c>
      <c r="H72" s="410"/>
      <c r="I72" s="542" t="s">
        <v>2218</v>
      </c>
      <c r="J72" s="410"/>
      <c r="K72" s="543" t="s">
        <v>2136</v>
      </c>
      <c r="L72" s="410"/>
      <c r="M72" s="410"/>
      <c r="N72" s="410"/>
    </row>
    <row r="73" spans="1:14" ht="18" customHeight="1" x14ac:dyDescent="0.3">
      <c r="A73" s="409" t="s">
        <v>2219</v>
      </c>
      <c r="B73" s="410"/>
      <c r="C73" s="410" t="s">
        <v>2220</v>
      </c>
      <c r="D73" s="410"/>
      <c r="E73" s="410"/>
      <c r="F73" s="410"/>
      <c r="G73" s="549">
        <v>0.86699999999999999</v>
      </c>
      <c r="H73" s="412"/>
      <c r="I73" s="542" t="s">
        <v>2209</v>
      </c>
      <c r="J73" s="410"/>
      <c r="K73" s="543" t="s">
        <v>2136</v>
      </c>
      <c r="L73" s="410"/>
      <c r="M73" s="410"/>
      <c r="N73" s="410"/>
    </row>
    <row r="74" spans="1:14" ht="18" customHeight="1" x14ac:dyDescent="0.3">
      <c r="A74" s="544" t="s">
        <v>2221</v>
      </c>
      <c r="B74" s="381"/>
      <c r="C74" s="381" t="s">
        <v>2222</v>
      </c>
      <c r="D74" s="381"/>
      <c r="E74" s="381"/>
      <c r="F74" s="381"/>
      <c r="G74" s="545">
        <v>2.8500000000000001E-2</v>
      </c>
      <c r="H74" s="546"/>
      <c r="I74" s="547" t="s">
        <v>2209</v>
      </c>
      <c r="J74" s="381"/>
      <c r="K74" s="548" t="s">
        <v>1770</v>
      </c>
      <c r="L74" s="381"/>
      <c r="M74" s="381"/>
      <c r="N74" s="381"/>
    </row>
    <row r="75" spans="1:14" ht="18" customHeight="1" x14ac:dyDescent="0.3">
      <c r="A75" s="409" t="s">
        <v>2223</v>
      </c>
      <c r="B75" s="410"/>
      <c r="C75" s="410" t="s">
        <v>2224</v>
      </c>
      <c r="D75" s="410"/>
      <c r="E75" s="410"/>
      <c r="F75" s="410"/>
      <c r="G75" s="542">
        <f>H16_ITAM_TRANSPARENCIA!D4</f>
        <v>0</v>
      </c>
      <c r="H75" s="410"/>
      <c r="I75" s="542" t="s">
        <v>2206</v>
      </c>
      <c r="J75" s="410"/>
      <c r="K75" s="543" t="s">
        <v>2136</v>
      </c>
      <c r="L75" s="410"/>
      <c r="M75" s="410"/>
      <c r="N75" s="410"/>
    </row>
    <row r="76" spans="1:14" ht="18" customHeight="1" x14ac:dyDescent="0.3">
      <c r="A76" s="409" t="s">
        <v>2225</v>
      </c>
      <c r="B76" s="410"/>
      <c r="C76" s="410" t="s">
        <v>2226</v>
      </c>
      <c r="D76" s="410"/>
      <c r="E76" s="410"/>
      <c r="F76" s="410"/>
      <c r="G76" s="542" t="s">
        <v>2227</v>
      </c>
      <c r="H76" s="410"/>
      <c r="I76" s="542" t="s">
        <v>2206</v>
      </c>
      <c r="J76" s="410"/>
      <c r="K76" s="543" t="s">
        <v>2136</v>
      </c>
      <c r="L76" s="410"/>
      <c r="M76" s="410"/>
      <c r="N76" s="410"/>
    </row>
    <row r="77" spans="1:14" ht="18" customHeight="1" x14ac:dyDescent="0.3">
      <c r="A77" s="409" t="s">
        <v>2228</v>
      </c>
      <c r="B77" s="410"/>
      <c r="C77" s="410" t="s">
        <v>2229</v>
      </c>
      <c r="D77" s="410"/>
      <c r="E77" s="410"/>
      <c r="F77" s="410"/>
      <c r="G77" s="542" t="s">
        <v>2230</v>
      </c>
      <c r="H77" s="410"/>
      <c r="I77" s="542" t="s">
        <v>2231</v>
      </c>
      <c r="J77" s="410"/>
      <c r="K77" s="543" t="s">
        <v>2136</v>
      </c>
      <c r="L77" s="410"/>
      <c r="M77" s="410"/>
      <c r="N77" s="410"/>
    </row>
    <row r="78" spans="1:14" ht="18" customHeight="1" x14ac:dyDescent="0.3">
      <c r="A78" s="409" t="s">
        <v>2232</v>
      </c>
      <c r="B78" s="410"/>
      <c r="C78" s="410" t="s">
        <v>2233</v>
      </c>
      <c r="D78" s="410"/>
      <c r="E78" s="410"/>
      <c r="F78" s="410"/>
      <c r="G78" s="542" t="s">
        <v>2234</v>
      </c>
      <c r="H78" s="410"/>
      <c r="I78" s="542">
        <f xml:space="preserve"> 26</f>
        <v>26</v>
      </c>
      <c r="J78" s="410"/>
      <c r="K78" s="543" t="s">
        <v>2136</v>
      </c>
      <c r="L78" s="410"/>
      <c r="M78" s="410"/>
      <c r="N78" s="410"/>
    </row>
    <row r="79" spans="1:14" ht="18" customHeight="1" x14ac:dyDescent="0.3">
      <c r="A79" s="409" t="s">
        <v>2235</v>
      </c>
      <c r="B79" s="410"/>
      <c r="C79" s="410" t="s">
        <v>2236</v>
      </c>
      <c r="D79" s="410"/>
      <c r="E79" s="410"/>
      <c r="F79" s="410"/>
      <c r="G79" s="542" t="s">
        <v>831</v>
      </c>
      <c r="H79" s="410"/>
      <c r="I79" s="542" t="s">
        <v>831</v>
      </c>
      <c r="J79" s="410"/>
      <c r="K79" s="543" t="s">
        <v>2136</v>
      </c>
      <c r="L79" s="410"/>
      <c r="M79" s="410"/>
      <c r="N79" s="410"/>
    </row>
    <row r="80" spans="1:14" ht="18" customHeight="1" x14ac:dyDescent="0.3"/>
    <row r="81" spans="1:14" ht="18" customHeight="1" x14ac:dyDescent="0.3">
      <c r="A81" s="111"/>
      <c r="B81" s="111"/>
      <c r="C81" s="111"/>
      <c r="D81" s="111"/>
      <c r="E81" s="111"/>
      <c r="F81" s="111"/>
      <c r="G81" s="111"/>
      <c r="H81" s="111"/>
      <c r="I81" s="339"/>
      <c r="J81" s="111"/>
      <c r="K81" s="111"/>
      <c r="L81" s="111"/>
      <c r="M81" s="111"/>
      <c r="N81" s="111"/>
    </row>
    <row r="82" spans="1:14" ht="18" customHeight="1" x14ac:dyDescent="0.3">
      <c r="A82" s="376" t="s">
        <v>2237</v>
      </c>
      <c r="B82" s="376"/>
      <c r="C82" s="376"/>
      <c r="D82" s="376"/>
      <c r="E82" s="376"/>
      <c r="F82" s="376"/>
      <c r="G82" s="376"/>
      <c r="H82" s="376"/>
      <c r="I82" s="376"/>
      <c r="J82" s="376"/>
      <c r="K82" s="376"/>
      <c r="L82" s="376"/>
      <c r="M82" s="376"/>
      <c r="N82" s="376"/>
    </row>
    <row r="83" spans="1:14" ht="18" customHeight="1" x14ac:dyDescent="0.3">
      <c r="A83" s="113" t="s">
        <v>2238</v>
      </c>
      <c r="B83" s="113"/>
      <c r="C83" s="113"/>
      <c r="D83" s="113"/>
      <c r="E83" s="113"/>
      <c r="F83" s="113"/>
      <c r="G83" s="113"/>
      <c r="H83" s="113" t="s">
        <v>2239</v>
      </c>
      <c r="I83" s="351"/>
      <c r="J83" s="113"/>
      <c r="K83" s="113"/>
      <c r="L83" s="113"/>
      <c r="M83" s="113"/>
      <c r="N83" s="113"/>
    </row>
    <row r="84" spans="1:14" ht="18" customHeight="1" x14ac:dyDescent="0.3">
      <c r="A84" s="224" t="s">
        <v>2134</v>
      </c>
      <c r="B84" s="223" t="s">
        <v>2240</v>
      </c>
      <c r="C84" s="223"/>
      <c r="D84" s="223"/>
      <c r="E84" s="223"/>
      <c r="F84" s="223"/>
      <c r="G84" s="223"/>
      <c r="H84" s="223" t="s">
        <v>2241</v>
      </c>
      <c r="I84" s="352" t="s">
        <v>2242</v>
      </c>
      <c r="J84" s="223"/>
      <c r="K84" s="223"/>
      <c r="L84" s="223" t="s">
        <v>2243</v>
      </c>
      <c r="M84" s="223"/>
      <c r="N84" s="223"/>
    </row>
    <row r="85" spans="1:14" ht="18" customHeight="1" x14ac:dyDescent="0.3">
      <c r="A85" s="226" t="s">
        <v>2140</v>
      </c>
      <c r="B85" s="225" t="s">
        <v>2244</v>
      </c>
      <c r="C85" s="225"/>
      <c r="D85" s="225"/>
      <c r="E85" s="225"/>
      <c r="F85" s="225"/>
      <c r="G85" s="225"/>
      <c r="H85" s="225" t="s">
        <v>1945</v>
      </c>
      <c r="I85" s="353" t="s">
        <v>2245</v>
      </c>
      <c r="J85" s="225"/>
      <c r="K85" s="225"/>
      <c r="L85" s="225" t="s">
        <v>2246</v>
      </c>
      <c r="M85" s="225"/>
      <c r="N85" s="225"/>
    </row>
    <row r="86" spans="1:14" ht="18" customHeight="1" x14ac:dyDescent="0.3">
      <c r="A86" s="224" t="s">
        <v>2154</v>
      </c>
      <c r="B86" s="223" t="s">
        <v>2247</v>
      </c>
      <c r="C86" s="223"/>
      <c r="D86" s="223"/>
      <c r="E86" s="223"/>
      <c r="F86" s="223"/>
      <c r="G86" s="223"/>
      <c r="H86" s="223" t="s">
        <v>1940</v>
      </c>
      <c r="I86" s="352" t="s">
        <v>2248</v>
      </c>
      <c r="J86" s="223"/>
      <c r="K86" s="223"/>
      <c r="L86" s="223" t="s">
        <v>2249</v>
      </c>
      <c r="M86" s="223"/>
      <c r="N86" s="223"/>
    </row>
    <row r="87" spans="1:14" ht="18" customHeight="1" x14ac:dyDescent="0.3">
      <c r="A87" s="226" t="s">
        <v>2158</v>
      </c>
      <c r="B87" s="225" t="s">
        <v>2250</v>
      </c>
      <c r="C87" s="225"/>
      <c r="D87" s="225"/>
      <c r="E87" s="225"/>
      <c r="F87" s="225"/>
      <c r="G87" s="225"/>
      <c r="H87" s="225" t="s">
        <v>2251</v>
      </c>
      <c r="I87" s="353" t="s">
        <v>2252</v>
      </c>
      <c r="J87" s="225"/>
      <c r="K87" s="225"/>
      <c r="L87" s="225" t="s">
        <v>2253</v>
      </c>
      <c r="M87" s="225"/>
      <c r="N87" s="225"/>
    </row>
    <row r="88" spans="1:14" ht="18" customHeight="1" x14ac:dyDescent="0.3">
      <c r="A88" s="224" t="s">
        <v>2167</v>
      </c>
      <c r="B88" s="223" t="s">
        <v>2254</v>
      </c>
      <c r="C88" s="223"/>
      <c r="D88" s="223"/>
      <c r="E88" s="223"/>
      <c r="F88" s="223"/>
      <c r="G88" s="223"/>
      <c r="H88" s="223"/>
      <c r="I88" s="352"/>
      <c r="J88" s="223"/>
      <c r="K88" s="223"/>
      <c r="L88" s="223"/>
      <c r="M88" s="223"/>
      <c r="N88" s="223"/>
    </row>
    <row r="89" spans="1:14" ht="18" customHeight="1" x14ac:dyDescent="0.3">
      <c r="A89" s="226" t="s">
        <v>2126</v>
      </c>
      <c r="B89" s="225" t="s">
        <v>2255</v>
      </c>
      <c r="C89" s="225"/>
      <c r="D89" s="225"/>
      <c r="E89" s="225"/>
      <c r="F89" s="225"/>
      <c r="G89" s="225"/>
      <c r="H89" s="225"/>
      <c r="I89" s="353"/>
      <c r="J89" s="225"/>
      <c r="K89" s="225"/>
      <c r="L89" s="225"/>
      <c r="M89" s="225"/>
      <c r="N89" s="225"/>
    </row>
    <row r="90" spans="1:14" ht="18" customHeight="1" x14ac:dyDescent="0.3">
      <c r="A90" s="224" t="s">
        <v>2193</v>
      </c>
      <c r="B90" s="223" t="s">
        <v>2256</v>
      </c>
      <c r="C90" s="223"/>
      <c r="D90" s="223"/>
      <c r="E90" s="223"/>
      <c r="F90" s="223"/>
      <c r="G90" s="223"/>
      <c r="H90" s="223"/>
      <c r="I90" s="352"/>
      <c r="J90" s="223"/>
      <c r="K90" s="223"/>
      <c r="L90" s="223"/>
      <c r="M90" s="223"/>
      <c r="N90" s="223"/>
    </row>
    <row r="91" spans="1:14" ht="18" customHeight="1" x14ac:dyDescent="0.3"/>
    <row r="92" spans="1:14" ht="4.95" customHeight="1" x14ac:dyDescent="0.3">
      <c r="A92" s="111"/>
      <c r="B92" s="111"/>
      <c r="C92" s="111"/>
      <c r="D92" s="111"/>
      <c r="E92" s="111"/>
      <c r="F92" s="111"/>
      <c r="G92" s="111"/>
      <c r="H92" s="111"/>
      <c r="I92" s="339"/>
      <c r="J92" s="111"/>
      <c r="K92" s="111"/>
      <c r="L92" s="111"/>
      <c r="M92" s="111"/>
      <c r="N92" s="111"/>
    </row>
    <row r="93" spans="1:14" x14ac:dyDescent="0.3">
      <c r="A93" s="362" t="s">
        <v>2257</v>
      </c>
      <c r="B93" s="362"/>
      <c r="C93" s="362"/>
      <c r="D93" s="362"/>
      <c r="E93" s="362"/>
      <c r="F93" s="362"/>
      <c r="G93" s="362"/>
      <c r="H93" s="362"/>
      <c r="I93" s="362"/>
      <c r="J93" s="362"/>
      <c r="K93" s="362"/>
      <c r="L93" s="362"/>
      <c r="M93" s="362"/>
      <c r="N93" s="362"/>
    </row>
  </sheetData>
  <mergeCells count="265">
    <mergeCell ref="D14:F14"/>
    <mergeCell ref="G14:I14"/>
    <mergeCell ref="K14:L14"/>
    <mergeCell ref="M14:N14"/>
    <mergeCell ref="D15:F15"/>
    <mergeCell ref="G15:I15"/>
    <mergeCell ref="K15:L15"/>
    <mergeCell ref="M15:N15"/>
    <mergeCell ref="A1:N1"/>
    <mergeCell ref="A2:N2"/>
    <mergeCell ref="A4:N4"/>
    <mergeCell ref="A12:N12"/>
    <mergeCell ref="D13:F13"/>
    <mergeCell ref="G13:I13"/>
    <mergeCell ref="K13:L13"/>
    <mergeCell ref="M13:N13"/>
    <mergeCell ref="D18:F18"/>
    <mergeCell ref="G18:I18"/>
    <mergeCell ref="K18:L18"/>
    <mergeCell ref="M18:N18"/>
    <mergeCell ref="D19:F19"/>
    <mergeCell ref="G19:I19"/>
    <mergeCell ref="K19:L19"/>
    <mergeCell ref="M19:N19"/>
    <mergeCell ref="D16:F16"/>
    <mergeCell ref="G16:I16"/>
    <mergeCell ref="K16:L16"/>
    <mergeCell ref="M16:N16"/>
    <mergeCell ref="D17:F17"/>
    <mergeCell ref="G17:I17"/>
    <mergeCell ref="K17:L17"/>
    <mergeCell ref="M17:N17"/>
    <mergeCell ref="D22:F22"/>
    <mergeCell ref="G22:I22"/>
    <mergeCell ref="K22:L22"/>
    <mergeCell ref="M22:N22"/>
    <mergeCell ref="D23:F23"/>
    <mergeCell ref="G23:I23"/>
    <mergeCell ref="K23:L23"/>
    <mergeCell ref="M23:N23"/>
    <mergeCell ref="D20:F20"/>
    <mergeCell ref="G20:I20"/>
    <mergeCell ref="K20:L20"/>
    <mergeCell ref="M20:N20"/>
    <mergeCell ref="D21:F21"/>
    <mergeCell ref="G21:I21"/>
    <mergeCell ref="K21:L21"/>
    <mergeCell ref="M21:N21"/>
    <mergeCell ref="D26:F26"/>
    <mergeCell ref="G26:I26"/>
    <mergeCell ref="K26:L26"/>
    <mergeCell ref="M26:N26"/>
    <mergeCell ref="D27:F27"/>
    <mergeCell ref="G27:I27"/>
    <mergeCell ref="K27:L27"/>
    <mergeCell ref="M27:N27"/>
    <mergeCell ref="D24:F24"/>
    <mergeCell ref="G24:I24"/>
    <mergeCell ref="K24:L24"/>
    <mergeCell ref="M24:N24"/>
    <mergeCell ref="D25:F25"/>
    <mergeCell ref="G25:I25"/>
    <mergeCell ref="K25:L25"/>
    <mergeCell ref="M25:N25"/>
    <mergeCell ref="D30:F30"/>
    <mergeCell ref="G30:I30"/>
    <mergeCell ref="K30:L30"/>
    <mergeCell ref="M30:N30"/>
    <mergeCell ref="D31:F31"/>
    <mergeCell ref="G31:I31"/>
    <mergeCell ref="K31:L31"/>
    <mergeCell ref="M31:N31"/>
    <mergeCell ref="D28:F28"/>
    <mergeCell ref="G28:I28"/>
    <mergeCell ref="K28:L28"/>
    <mergeCell ref="M28:N28"/>
    <mergeCell ref="D29:F29"/>
    <mergeCell ref="G29:I29"/>
    <mergeCell ref="K29:L29"/>
    <mergeCell ref="M29:N29"/>
    <mergeCell ref="D34:F34"/>
    <mergeCell ref="G34:I34"/>
    <mergeCell ref="K34:L34"/>
    <mergeCell ref="M34:N34"/>
    <mergeCell ref="D35:F35"/>
    <mergeCell ref="G35:I35"/>
    <mergeCell ref="K35:L35"/>
    <mergeCell ref="M35:N35"/>
    <mergeCell ref="D32:F32"/>
    <mergeCell ref="G32:I32"/>
    <mergeCell ref="K32:L32"/>
    <mergeCell ref="M32:N32"/>
    <mergeCell ref="D33:F33"/>
    <mergeCell ref="G33:I33"/>
    <mergeCell ref="K33:L33"/>
    <mergeCell ref="M33:N33"/>
    <mergeCell ref="D38:F38"/>
    <mergeCell ref="G38:I38"/>
    <mergeCell ref="K38:L38"/>
    <mergeCell ref="M38:N38"/>
    <mergeCell ref="D39:F39"/>
    <mergeCell ref="G39:I39"/>
    <mergeCell ref="K39:L39"/>
    <mergeCell ref="M39:N39"/>
    <mergeCell ref="D36:F36"/>
    <mergeCell ref="G36:I36"/>
    <mergeCell ref="K36:L36"/>
    <mergeCell ref="M36:N36"/>
    <mergeCell ref="D37:F37"/>
    <mergeCell ref="G37:I37"/>
    <mergeCell ref="K37:L37"/>
    <mergeCell ref="M37:N37"/>
    <mergeCell ref="C45:D45"/>
    <mergeCell ref="F45:G45"/>
    <mergeCell ref="J45:L45"/>
    <mergeCell ref="M45:N45"/>
    <mergeCell ref="C46:D46"/>
    <mergeCell ref="F46:G46"/>
    <mergeCell ref="J46:L46"/>
    <mergeCell ref="M46:N46"/>
    <mergeCell ref="A42:N42"/>
    <mergeCell ref="C43:D43"/>
    <mergeCell ref="F43:G43"/>
    <mergeCell ref="J43:L43"/>
    <mergeCell ref="M43:N43"/>
    <mergeCell ref="C44:D44"/>
    <mergeCell ref="F44:G44"/>
    <mergeCell ref="J44:L44"/>
    <mergeCell ref="M44:N44"/>
    <mergeCell ref="C49:D49"/>
    <mergeCell ref="F49:G49"/>
    <mergeCell ref="J49:L49"/>
    <mergeCell ref="M49:N49"/>
    <mergeCell ref="C50:D50"/>
    <mergeCell ref="F50:G50"/>
    <mergeCell ref="J50:L50"/>
    <mergeCell ref="M50:N50"/>
    <mergeCell ref="C47:D47"/>
    <mergeCell ref="F47:G47"/>
    <mergeCell ref="J47:L47"/>
    <mergeCell ref="M47:N47"/>
    <mergeCell ref="C48:D48"/>
    <mergeCell ref="F48:G48"/>
    <mergeCell ref="J48:L48"/>
    <mergeCell ref="M48:N48"/>
    <mergeCell ref="C53:D53"/>
    <mergeCell ref="F53:G53"/>
    <mergeCell ref="J53:L53"/>
    <mergeCell ref="M53:N53"/>
    <mergeCell ref="C54:D54"/>
    <mergeCell ref="F54:G54"/>
    <mergeCell ref="J54:L54"/>
    <mergeCell ref="M54:N54"/>
    <mergeCell ref="C51:D51"/>
    <mergeCell ref="F51:G51"/>
    <mergeCell ref="J51:L51"/>
    <mergeCell ref="M51:N51"/>
    <mergeCell ref="C52:D52"/>
    <mergeCell ref="F52:G52"/>
    <mergeCell ref="J52:L52"/>
    <mergeCell ref="M52:N52"/>
    <mergeCell ref="C57:D57"/>
    <mergeCell ref="F57:G57"/>
    <mergeCell ref="J57:L57"/>
    <mergeCell ref="M57:N57"/>
    <mergeCell ref="C58:D58"/>
    <mergeCell ref="F58:G58"/>
    <mergeCell ref="J58:L58"/>
    <mergeCell ref="M58:N58"/>
    <mergeCell ref="C55:D55"/>
    <mergeCell ref="F55:G55"/>
    <mergeCell ref="J55:L55"/>
    <mergeCell ref="M55:N55"/>
    <mergeCell ref="C56:D56"/>
    <mergeCell ref="F56:G56"/>
    <mergeCell ref="J56:L56"/>
    <mergeCell ref="M56:N56"/>
    <mergeCell ref="C61:D61"/>
    <mergeCell ref="F61:G61"/>
    <mergeCell ref="J61:L61"/>
    <mergeCell ref="M61:N61"/>
    <mergeCell ref="C62:D62"/>
    <mergeCell ref="F62:G62"/>
    <mergeCell ref="J62:L62"/>
    <mergeCell ref="M62:N62"/>
    <mergeCell ref="C59:D59"/>
    <mergeCell ref="F59:G59"/>
    <mergeCell ref="J59:L59"/>
    <mergeCell ref="M59:N59"/>
    <mergeCell ref="C60:D60"/>
    <mergeCell ref="F60:G60"/>
    <mergeCell ref="J60:L60"/>
    <mergeCell ref="M60:N60"/>
    <mergeCell ref="C63:D63"/>
    <mergeCell ref="F63:G63"/>
    <mergeCell ref="J63:L63"/>
    <mergeCell ref="M63:N63"/>
    <mergeCell ref="A66:N66"/>
    <mergeCell ref="A67:B67"/>
    <mergeCell ref="C67:F67"/>
    <mergeCell ref="G67:H67"/>
    <mergeCell ref="I67:J67"/>
    <mergeCell ref="K67:N67"/>
    <mergeCell ref="A68:B68"/>
    <mergeCell ref="C68:F68"/>
    <mergeCell ref="G68:H68"/>
    <mergeCell ref="I68:J68"/>
    <mergeCell ref="K68:N68"/>
    <mergeCell ref="A69:B69"/>
    <mergeCell ref="C69:F69"/>
    <mergeCell ref="G69:H69"/>
    <mergeCell ref="I69:J69"/>
    <mergeCell ref="K69:N69"/>
    <mergeCell ref="A70:B70"/>
    <mergeCell ref="C70:F70"/>
    <mergeCell ref="G70:H70"/>
    <mergeCell ref="I70:J70"/>
    <mergeCell ref="K70:N70"/>
    <mergeCell ref="A71:B71"/>
    <mergeCell ref="C71:F71"/>
    <mergeCell ref="G71:H71"/>
    <mergeCell ref="I71:J71"/>
    <mergeCell ref="K71:N71"/>
    <mergeCell ref="A72:B72"/>
    <mergeCell ref="C72:F72"/>
    <mergeCell ref="G72:H72"/>
    <mergeCell ref="I72:J72"/>
    <mergeCell ref="K72:N72"/>
    <mergeCell ref="A73:B73"/>
    <mergeCell ref="C73:F73"/>
    <mergeCell ref="G73:H73"/>
    <mergeCell ref="I73:J73"/>
    <mergeCell ref="K73:N73"/>
    <mergeCell ref="A74:B74"/>
    <mergeCell ref="C74:F74"/>
    <mergeCell ref="G74:H74"/>
    <mergeCell ref="I74:J74"/>
    <mergeCell ref="K74:N74"/>
    <mergeCell ref="A75:B75"/>
    <mergeCell ref="C75:F75"/>
    <mergeCell ref="G75:H75"/>
    <mergeCell ref="I75:J75"/>
    <mergeCell ref="K75:N75"/>
    <mergeCell ref="A76:B76"/>
    <mergeCell ref="C76:F76"/>
    <mergeCell ref="G76:H76"/>
    <mergeCell ref="I76:J76"/>
    <mergeCell ref="K76:N76"/>
    <mergeCell ref="A77:B77"/>
    <mergeCell ref="C77:F77"/>
    <mergeCell ref="G77:H77"/>
    <mergeCell ref="I77:J77"/>
    <mergeCell ref="K77:N77"/>
    <mergeCell ref="A82:N82"/>
    <mergeCell ref="A93:N93"/>
    <mergeCell ref="A78:B78"/>
    <mergeCell ref="C78:F78"/>
    <mergeCell ref="G78:H78"/>
    <mergeCell ref="I78:J78"/>
    <mergeCell ref="K78:N78"/>
    <mergeCell ref="A79:B79"/>
    <mergeCell ref="C79:F79"/>
    <mergeCell ref="G79:H79"/>
    <mergeCell ref="I79:J79"/>
    <mergeCell ref="K79:N79"/>
  </mergeCells>
  <hyperlinks>
    <hyperlink ref="A1" location="'H01_PARAMETROS_GENERALES'!A1" tooltip="Volver a H01_PARAMETROS_GENERALES" display="🔙 Volver al Índice" xr:uid="{324B871A-FA21-4BEF-A381-BF8F59AC31DF}"/>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D562-6D38-4EAA-AE5F-ACFD2D80CEC2}">
  <dimension ref="A1:F39"/>
  <sheetViews>
    <sheetView zoomScale="122" zoomScaleNormal="122" workbookViewId="0">
      <pane ySplit="5" topLeftCell="A6" activePane="bottomLeft" state="frozen"/>
      <selection pane="bottomLeft" activeCell="D28" sqref="D28"/>
    </sheetView>
  </sheetViews>
  <sheetFormatPr baseColWidth="10" defaultRowHeight="14.4" x14ac:dyDescent="0.3"/>
  <cols>
    <col min="1" max="1" width="40.77734375" customWidth="1"/>
    <col min="2" max="2" width="18.5546875" customWidth="1"/>
    <col min="3" max="3" width="40.77734375" customWidth="1"/>
    <col min="4" max="4" width="27.77734375" customWidth="1"/>
  </cols>
  <sheetData>
    <row r="1" spans="1:6" x14ac:dyDescent="0.3">
      <c r="A1" s="318" t="s">
        <v>2717</v>
      </c>
    </row>
    <row r="2" spans="1:6" ht="18" x14ac:dyDescent="0.35">
      <c r="A2" s="583" t="s">
        <v>2624</v>
      </c>
      <c r="B2" s="471"/>
      <c r="C2" s="471"/>
      <c r="D2" s="471"/>
      <c r="E2" s="471"/>
      <c r="F2" s="471"/>
    </row>
    <row r="3" spans="1:6" x14ac:dyDescent="0.3">
      <c r="A3" s="584" t="s">
        <v>2625</v>
      </c>
      <c r="B3" s="471"/>
      <c r="C3" s="471"/>
      <c r="D3" s="471"/>
      <c r="E3" s="471"/>
      <c r="F3" s="471"/>
    </row>
    <row r="5" spans="1:6" x14ac:dyDescent="0.3">
      <c r="A5" s="457" t="s">
        <v>2626</v>
      </c>
      <c r="B5" s="471"/>
      <c r="C5" s="471"/>
      <c r="D5" s="471"/>
      <c r="E5" s="471"/>
      <c r="F5" s="471"/>
    </row>
    <row r="6" spans="1:6" x14ac:dyDescent="0.3">
      <c r="A6" s="14" t="s">
        <v>2201</v>
      </c>
      <c r="B6" s="14" t="s">
        <v>1904</v>
      </c>
      <c r="C6" s="14" t="s">
        <v>1749</v>
      </c>
      <c r="D6" s="14" t="s">
        <v>2627</v>
      </c>
    </row>
    <row r="7" spans="1:6" x14ac:dyDescent="0.3">
      <c r="A7" s="7" t="s">
        <v>2628</v>
      </c>
      <c r="B7" s="56">
        <f>H14_CALCULO_ICPI!B32</f>
        <v>41.236255973405342</v>
      </c>
      <c r="C7" s="7" t="str">
        <f>IF(H14_CALCULO_ICPI!B32&gt;0,"✅ MOTOR ACTIVO","❌ INACTIVO")</f>
        <v>✅ MOTOR ACTIVO</v>
      </c>
      <c r="D7" s="336" t="s">
        <v>2629</v>
      </c>
    </row>
    <row r="8" spans="1:6" x14ac:dyDescent="0.3">
      <c r="A8" s="6" t="s">
        <v>2630</v>
      </c>
      <c r="B8" s="22">
        <f>SUM(H14_CALCULO_ICPI!B6:B25)</f>
        <v>1</v>
      </c>
      <c r="C8" s="6" t="str">
        <f>IF(ABS(SUM(H14_CALCULO_ICPI!B6:B25)-1)&lt;0.0001,"✅ ΣPi=1 OK","❌ ERROR PONDERACIÓN")</f>
        <v>✅ ΣPi=1 OK</v>
      </c>
      <c r="D8" s="335">
        <v>1</v>
      </c>
    </row>
    <row r="9" spans="1:6" x14ac:dyDescent="0.3">
      <c r="A9" s="7" t="s">
        <v>2631</v>
      </c>
      <c r="B9" s="7">
        <f>COUNTA(H05_METAS_PDOT!A7:A26)</f>
        <v>20</v>
      </c>
      <c r="C9" s="7" t="str">
        <f>IF(COUNTA(H05_METAS_PDOT!A7:A26)=20,"✅ n=20 OK","❌ VERIFICAR")</f>
        <v>✅ n=20 OK</v>
      </c>
      <c r="D9" s="336">
        <v>20</v>
      </c>
    </row>
    <row r="10" spans="1:6" x14ac:dyDescent="0.3">
      <c r="A10" s="6" t="s">
        <v>2632</v>
      </c>
      <c r="B10" s="6">
        <f>H01_PARAMETROS_GENERALES!B12</f>
        <v>1</v>
      </c>
      <c r="C10" s="6" t="str">
        <f>IF(AND(H01_PARAMETROS_GENERALES!B12&gt;0,H01_PARAMETROS_GENERALES!B12&lt;=1),"✅ ICM válido","❌ Revisar")</f>
        <v>✅ ICM válido</v>
      </c>
      <c r="D10" s="335" t="s">
        <v>2311</v>
      </c>
    </row>
    <row r="11" spans="1:6" x14ac:dyDescent="0.3">
      <c r="A11" s="7" t="s">
        <v>213</v>
      </c>
      <c r="B11" s="56">
        <f>H01_PARAMETROS_GENERALES!B12*100-H14_CALCULO_ICPI!B32</f>
        <v>58.763744026594658</v>
      </c>
      <c r="C11" s="7" t="str">
        <f>IF(ABS(H01_PARAMETROS_GENERALES!B12*100-H14_CALCULO_ICPI!B32)&gt;30,"⚠️ BRECHA CRÍTICA &gt;30pp","✅ Brecha registrada")</f>
        <v>⚠️ BRECHA CRÍTICA &gt;30pp</v>
      </c>
      <c r="D11" s="336" t="s">
        <v>2633</v>
      </c>
    </row>
    <row r="12" spans="1:6" x14ac:dyDescent="0.3">
      <c r="A12" s="6" t="s">
        <v>2634</v>
      </c>
      <c r="B12" s="6">
        <f>COUNTIF(H14_CALCULO_ICPI!J6:J25,1)</f>
        <v>15</v>
      </c>
      <c r="C12" s="6" t="str">
        <f>IF(COUNTIF(H14_CALCULO_ICPI!J6:J25,1)&gt;=8,"✅ Metas certificadas","⚠️ Pocas metas certificadas")</f>
        <v>✅ Metas certificadas</v>
      </c>
      <c r="D12" s="335" t="s">
        <v>2635</v>
      </c>
    </row>
    <row r="13" spans="1:6" x14ac:dyDescent="0.3">
      <c r="A13" s="7" t="s">
        <v>2636</v>
      </c>
      <c r="B13" s="312">
        <f>H16_ITAM_TRANSPARENCIA!B27</f>
        <v>0.62093175853018368</v>
      </c>
      <c r="C13" s="7" t="str">
        <f>IF(H16_ITAM_TRANSPARENCIA!B27&gt;0,"✅ ITAM activo","⚠️ ITAM revisar")</f>
        <v>✅ ITAM activo</v>
      </c>
      <c r="D13" s="336" t="s">
        <v>2637</v>
      </c>
    </row>
    <row r="14" spans="1:6" x14ac:dyDescent="0.3">
      <c r="A14" s="6" t="s">
        <v>2638</v>
      </c>
      <c r="B14" s="6">
        <f>COUNTIF(H11_ALERTAS_MOM!B15:B24,"⚠️*")</f>
        <v>2</v>
      </c>
      <c r="C14" s="6" t="s">
        <v>2639</v>
      </c>
      <c r="D14" s="335" t="s">
        <v>2640</v>
      </c>
    </row>
    <row r="16" spans="1:6" x14ac:dyDescent="0.3">
      <c r="A16" s="457" t="s">
        <v>2728</v>
      </c>
      <c r="B16" s="471"/>
      <c r="C16" s="471"/>
      <c r="D16" s="471"/>
    </row>
    <row r="17" spans="1:4" x14ac:dyDescent="0.3">
      <c r="A17" s="14" t="s">
        <v>385</v>
      </c>
      <c r="B17" s="14" t="s">
        <v>2641</v>
      </c>
      <c r="C17" s="14" t="s">
        <v>2642</v>
      </c>
      <c r="D17" s="14" t="s">
        <v>43</v>
      </c>
    </row>
    <row r="18" spans="1:4" x14ac:dyDescent="0.3">
      <c r="A18" s="6" t="str">
        <f>H05_METAS_PDOT!A7</f>
        <v>PDOT-001</v>
      </c>
      <c r="B18" s="6">
        <f>IFERROR(_xlfn.XLOOKUP(A18,H14_CALCULO_ICPI!A6:A25,H14_CALCULO_ICPI!J6:J25),"❌ Sin conexión")</f>
        <v>1</v>
      </c>
      <c r="C18" s="6">
        <f>IFERROR(_xlfn.XLOOKUP(A18,H09_EJECUCION_PRESUPUESTARIA!B5:B24,H09_EJECUCION_PRESUPUESTARIA!K5:K24),"❌ Sin conexión")</f>
        <v>0.85</v>
      </c>
      <c r="D18" s="6" t="str">
        <f t="shared" ref="D18:D37" si="0">IF(AND(ISNUMBER(B18),ISNUMBER(C18)),"✅ Hilo íntegro","❌ Ruptura detectada")</f>
        <v>✅ Hilo íntegro</v>
      </c>
    </row>
    <row r="19" spans="1:4" x14ac:dyDescent="0.3">
      <c r="A19" s="7" t="str">
        <f>H05_METAS_PDOT!A8</f>
        <v>PDOT-002</v>
      </c>
      <c r="B19" s="7">
        <f>IFERROR(_xlfn.XLOOKUP(A19,H14_CALCULO_ICPI!A6:A25,H14_CALCULO_ICPI!J6:J25),"❌ Sin conexión")</f>
        <v>1</v>
      </c>
      <c r="C19" s="7">
        <f>IFERROR(_xlfn.XLOOKUP(A19,H09_EJECUCION_PRESUPUESTARIA!B5:B24,H09_EJECUCION_PRESUPUESTARIA!K5:K24),"❌ Sin conexión")</f>
        <v>0.06</v>
      </c>
      <c r="D19" s="7" t="str">
        <f t="shared" si="0"/>
        <v>✅ Hilo íntegro</v>
      </c>
    </row>
    <row r="20" spans="1:4" x14ac:dyDescent="0.3">
      <c r="A20" s="6" t="str">
        <f>H05_METAS_PDOT!A9</f>
        <v>PDOT-003</v>
      </c>
      <c r="B20" s="6">
        <f>IFERROR(_xlfn.XLOOKUP(A20,H14_CALCULO_ICPI!A6:A25,H14_CALCULO_ICPI!J6:J25),"❌ Sin conexión")</f>
        <v>0</v>
      </c>
      <c r="C20" s="6">
        <f>IFERROR(_xlfn.XLOOKUP(A20,H09_EJECUCION_PRESUPUESTARIA!B5:B24,H09_EJECUCION_PRESUPUESTARIA!K5:K24),"❌ Sin conexión")</f>
        <v>0</v>
      </c>
      <c r="D20" s="6" t="str">
        <f t="shared" si="0"/>
        <v>✅ Hilo íntegro</v>
      </c>
    </row>
    <row r="21" spans="1:4" x14ac:dyDescent="0.3">
      <c r="A21" s="7" t="str">
        <f>H05_METAS_PDOT!A10</f>
        <v>PDOT-004</v>
      </c>
      <c r="B21" s="7">
        <f>IFERROR(_xlfn.XLOOKUP(A21,H14_CALCULO_ICPI!A6:A25,H14_CALCULO_ICPI!J6:J25),"❌ Sin conexión")</f>
        <v>1</v>
      </c>
      <c r="C21" s="7">
        <f>IFERROR(_xlfn.XLOOKUP(A21,H09_EJECUCION_PRESUPUESTARIA!B5:B24,H09_EJECUCION_PRESUPUESTARIA!K5:K24),"❌ Sin conexión")</f>
        <v>0.9</v>
      </c>
      <c r="D21" s="7" t="str">
        <f t="shared" si="0"/>
        <v>✅ Hilo íntegro</v>
      </c>
    </row>
    <row r="22" spans="1:4" x14ac:dyDescent="0.3">
      <c r="A22" s="6" t="str">
        <f>H05_METAS_PDOT!A11</f>
        <v>PDOT-005</v>
      </c>
      <c r="B22" s="6">
        <f>IFERROR(_xlfn.XLOOKUP(A22,H14_CALCULO_ICPI!A6:A25,H14_CALCULO_ICPI!J6:J25),"❌ Sin conexión")</f>
        <v>1</v>
      </c>
      <c r="C22" s="6">
        <f>IFERROR(_xlfn.XLOOKUP(A22,H09_EJECUCION_PRESUPUESTARIA!B5:B24,H09_EJECUCION_PRESUPUESTARIA!K5:K24),"❌ Sin conexión")</f>
        <v>0.75</v>
      </c>
      <c r="D22" s="6" t="str">
        <f t="shared" si="0"/>
        <v>✅ Hilo íntegro</v>
      </c>
    </row>
    <row r="23" spans="1:4" x14ac:dyDescent="0.3">
      <c r="A23" s="7" t="str">
        <f>H05_METAS_PDOT!A12</f>
        <v>PDOT-006</v>
      </c>
      <c r="B23" s="7">
        <f>IFERROR(_xlfn.XLOOKUP(A23,H14_CALCULO_ICPI!A6:A25,H14_CALCULO_ICPI!J6:J25),"❌ Sin conexión")</f>
        <v>0</v>
      </c>
      <c r="C23" s="7">
        <f>IFERROR(_xlfn.XLOOKUP(A23,H09_EJECUCION_PRESUPUESTARIA!B5:B24,H09_EJECUCION_PRESUPUESTARIA!K5:K24),"❌ Sin conexión")</f>
        <v>0.08</v>
      </c>
      <c r="D23" s="7" t="str">
        <f t="shared" si="0"/>
        <v>✅ Hilo íntegro</v>
      </c>
    </row>
    <row r="24" spans="1:4" x14ac:dyDescent="0.3">
      <c r="A24" s="6" t="str">
        <f>H05_METAS_PDOT!A13</f>
        <v>PDOT-007</v>
      </c>
      <c r="B24" s="6">
        <f>IFERROR(_xlfn.XLOOKUP(A24,H14_CALCULO_ICPI!A6:A25,H14_CALCULO_ICPI!J6:J25),"❌ Sin conexión")</f>
        <v>1</v>
      </c>
      <c r="C24" s="6">
        <f>IFERROR(_xlfn.XLOOKUP(A24,H09_EJECUCION_PRESUPUESTARIA!B5:B24,H09_EJECUCION_PRESUPUESTARIA!K5:K24),"❌ Sin conexión")</f>
        <v>0.78</v>
      </c>
      <c r="D24" s="6" t="str">
        <f t="shared" si="0"/>
        <v>✅ Hilo íntegro</v>
      </c>
    </row>
    <row r="25" spans="1:4" x14ac:dyDescent="0.3">
      <c r="A25" s="7" t="str">
        <f>H05_METAS_PDOT!A14</f>
        <v>PDOT-008</v>
      </c>
      <c r="B25" s="7">
        <f>IFERROR(_xlfn.XLOOKUP(A25,H14_CALCULO_ICPI!A6:A25,H14_CALCULO_ICPI!J6:J25),"❌ Sin conexión")</f>
        <v>0</v>
      </c>
      <c r="C25" s="7">
        <f>IFERROR(_xlfn.XLOOKUP(A25,H09_EJECUCION_PRESUPUESTARIA!B5:B24,H09_EJECUCION_PRESUPUESTARIA!K5:K24),"❌ Sin conexión")</f>
        <v>0</v>
      </c>
      <c r="D25" s="7" t="str">
        <f t="shared" si="0"/>
        <v>✅ Hilo íntegro</v>
      </c>
    </row>
    <row r="26" spans="1:4" x14ac:dyDescent="0.3">
      <c r="A26" s="6" t="str">
        <f>H05_METAS_PDOT!A15</f>
        <v>PDOT-009</v>
      </c>
      <c r="B26" s="6">
        <f>IFERROR(_xlfn.XLOOKUP(A26,H14_CALCULO_ICPI!A6:A25,H14_CALCULO_ICPI!J6:J25),"❌ Sin conexión")</f>
        <v>0</v>
      </c>
      <c r="C26" s="6">
        <f>IFERROR(_xlfn.XLOOKUP(A26,H09_EJECUCION_PRESUPUESTARIA!B5:B24,H09_EJECUCION_PRESUPUESTARIA!K5:K24),"❌ Sin conexión")</f>
        <v>0.1</v>
      </c>
      <c r="D26" s="6" t="str">
        <f t="shared" si="0"/>
        <v>✅ Hilo íntegro</v>
      </c>
    </row>
    <row r="27" spans="1:4" x14ac:dyDescent="0.3">
      <c r="A27" s="7" t="str">
        <f>H05_METAS_PDOT!A16</f>
        <v>PDOT-010</v>
      </c>
      <c r="B27" s="7">
        <f>IFERROR(_xlfn.XLOOKUP(A27,H14_CALCULO_ICPI!A6:A25,H14_CALCULO_ICPI!J6:J25),"❌ Sin conexión")</f>
        <v>1</v>
      </c>
      <c r="C27" s="7">
        <f>IFERROR(_xlfn.XLOOKUP(A27,H09_EJECUCION_PRESUPUESTARIA!B5:B24,H09_EJECUCION_PRESUPUESTARIA!K5:K24),"❌ Sin conexión")</f>
        <v>1</v>
      </c>
      <c r="D27" s="7" t="str">
        <f t="shared" si="0"/>
        <v>✅ Hilo íntegro</v>
      </c>
    </row>
    <row r="28" spans="1:4" x14ac:dyDescent="0.3">
      <c r="A28" s="6" t="str">
        <f>H05_METAS_PDOT!A17</f>
        <v>PDOT-011</v>
      </c>
      <c r="B28" s="6">
        <f>IFERROR(_xlfn.XLOOKUP(A28,H14_CALCULO_ICPI!A6:A25,H14_CALCULO_ICPI!J6:J25),"❌ Sin conexión")</f>
        <v>1</v>
      </c>
      <c r="C28" s="6">
        <f>IFERROR(_xlfn.XLOOKUP(A28,H09_EJECUCION_PRESUPUESTARIA!B5:B24,H09_EJECUCION_PRESUPUESTARIA!K5:K24),"❌ Sin conexión")</f>
        <v>0.7</v>
      </c>
      <c r="D28" s="6" t="str">
        <f t="shared" si="0"/>
        <v>✅ Hilo íntegro</v>
      </c>
    </row>
    <row r="29" spans="1:4" x14ac:dyDescent="0.3">
      <c r="A29" s="7" t="str">
        <f>H05_METAS_PDOT!A18</f>
        <v>PDOT-012</v>
      </c>
      <c r="B29" s="7">
        <f>IFERROR(_xlfn.XLOOKUP(A29,H14_CALCULO_ICPI!A6:A25,H14_CALCULO_ICPI!J6:J25),"❌ Sin conexión")</f>
        <v>1</v>
      </c>
      <c r="C29" s="7">
        <f>IFERROR(_xlfn.XLOOKUP(A29,H09_EJECUCION_PRESUPUESTARIA!B5:B24,H09_EJECUCION_PRESUPUESTARIA!K5:K24),"❌ Sin conexión")</f>
        <v>0.08</v>
      </c>
      <c r="D29" s="7" t="str">
        <f t="shared" si="0"/>
        <v>✅ Hilo íntegro</v>
      </c>
    </row>
    <row r="30" spans="1:4" x14ac:dyDescent="0.3">
      <c r="A30" s="6" t="str">
        <f>H05_METAS_PDOT!A19</f>
        <v>PDOT-013</v>
      </c>
      <c r="B30" s="6">
        <f>IFERROR(_xlfn.XLOOKUP(A30,H14_CALCULO_ICPI!A6:A25,H14_CALCULO_ICPI!J6:J25),"❌ Sin conexión")</f>
        <v>1</v>
      </c>
      <c r="C30" s="6">
        <f>IFERROR(_xlfn.XLOOKUP(A30,H09_EJECUCION_PRESUPUESTARIA!B5:B24,H09_EJECUCION_PRESUPUESTARIA!K5:K24),"❌ Sin conexión")</f>
        <v>1</v>
      </c>
      <c r="D30" s="6" t="str">
        <f t="shared" si="0"/>
        <v>✅ Hilo íntegro</v>
      </c>
    </row>
    <row r="31" spans="1:4" x14ac:dyDescent="0.3">
      <c r="A31" s="7" t="str">
        <f>H05_METAS_PDOT!A20</f>
        <v>PDOT-014</v>
      </c>
      <c r="B31" s="7">
        <f>IFERROR(_xlfn.XLOOKUP(A31,H14_CALCULO_ICPI!A6:A25,H14_CALCULO_ICPI!J6:J25),"❌ Sin conexión")</f>
        <v>1</v>
      </c>
      <c r="C31" s="7">
        <f>IFERROR(_xlfn.XLOOKUP(A31,H09_EJECUCION_PRESUPUESTARIA!B5:B24,H09_EJECUCION_PRESUPUESTARIA!K5:K24),"❌ Sin conexión")</f>
        <v>0.7</v>
      </c>
      <c r="D31" s="7" t="str">
        <f t="shared" si="0"/>
        <v>✅ Hilo íntegro</v>
      </c>
    </row>
    <row r="32" spans="1:4" x14ac:dyDescent="0.3">
      <c r="A32" s="6" t="str">
        <f>H05_METAS_PDOT!A21</f>
        <v>PDOT-015</v>
      </c>
      <c r="B32" s="6">
        <f>IFERROR(_xlfn.XLOOKUP(A32,H14_CALCULO_ICPI!A6:A25,H14_CALCULO_ICPI!J6:J25),"❌ Sin conexión")</f>
        <v>1</v>
      </c>
      <c r="C32" s="6">
        <f>IFERROR(_xlfn.XLOOKUP(A32,H09_EJECUCION_PRESUPUESTARIA!B5:B24,H09_EJECUCION_PRESUPUESTARIA!K5:K24),"❌ Sin conexión")</f>
        <v>1</v>
      </c>
      <c r="D32" s="6" t="str">
        <f t="shared" si="0"/>
        <v>✅ Hilo íntegro</v>
      </c>
    </row>
    <row r="33" spans="1:4" x14ac:dyDescent="0.3">
      <c r="A33" s="7" t="str">
        <f>H05_METAS_PDOT!A22</f>
        <v>PDOT-016</v>
      </c>
      <c r="B33" s="7">
        <f>IFERROR(_xlfn.XLOOKUP(A33,H14_CALCULO_ICPI!A6:A25,H14_CALCULO_ICPI!J6:J25),"❌ Sin conexión")</f>
        <v>1</v>
      </c>
      <c r="C33" s="7">
        <f>IFERROR(_xlfn.XLOOKUP(A33,H09_EJECUCION_PRESUPUESTARIA!B5:B24,H09_EJECUCION_PRESUPUESTARIA!K5:K24),"❌ Sin conexión")</f>
        <v>0.8</v>
      </c>
      <c r="D33" s="7" t="str">
        <f t="shared" si="0"/>
        <v>✅ Hilo íntegro</v>
      </c>
    </row>
    <row r="34" spans="1:4" x14ac:dyDescent="0.3">
      <c r="A34" s="6" t="str">
        <f>H05_METAS_PDOT!A23</f>
        <v>PDOT-017</v>
      </c>
      <c r="B34" s="6">
        <f>IFERROR(_xlfn.XLOOKUP(A34,H14_CALCULO_ICPI!A6:A25,H14_CALCULO_ICPI!J6:J25),"❌ Sin conexión")</f>
        <v>1</v>
      </c>
      <c r="C34" s="6">
        <f>IFERROR(_xlfn.XLOOKUP(A34,H09_EJECUCION_PRESUPUESTARIA!B5:B24,H09_EJECUCION_PRESUPUESTARIA!K5:K24),"❌ Sin conexión")</f>
        <v>0.9</v>
      </c>
      <c r="D34" s="6" t="str">
        <f t="shared" si="0"/>
        <v>✅ Hilo íntegro</v>
      </c>
    </row>
    <row r="35" spans="1:4" x14ac:dyDescent="0.3">
      <c r="A35" s="7" t="str">
        <f>H05_METAS_PDOT!A24</f>
        <v>PDOT-018</v>
      </c>
      <c r="B35" s="7">
        <f>IFERROR(_xlfn.XLOOKUP(A35,H14_CALCULO_ICPI!A6:A25,H14_CALCULO_ICPI!J6:J25),"❌ Sin conexión")</f>
        <v>0</v>
      </c>
      <c r="C35" s="7">
        <f>IFERROR(_xlfn.XLOOKUP(A35,H09_EJECUCION_PRESUPUESTARIA!B5:B24,H09_EJECUCION_PRESUPUESTARIA!K5:K24),"❌ Sin conexión")</f>
        <v>0</v>
      </c>
      <c r="D35" s="7" t="str">
        <f t="shared" si="0"/>
        <v>✅ Hilo íntegro</v>
      </c>
    </row>
    <row r="36" spans="1:4" x14ac:dyDescent="0.3">
      <c r="A36" s="6" t="str">
        <f>H05_METAS_PDOT!A25</f>
        <v>PDOT-019</v>
      </c>
      <c r="B36" s="6">
        <f>IFERROR(_xlfn.XLOOKUP(A36,H14_CALCULO_ICPI!A6:A25,H14_CALCULO_ICPI!J6:J25),"❌ Sin conexión")</f>
        <v>1</v>
      </c>
      <c r="C36" s="6">
        <f>IFERROR(_xlfn.XLOOKUP(A36,H09_EJECUCION_PRESUPUESTARIA!B5:B24,H09_EJECUCION_PRESUPUESTARIA!K5:K24),"❌ Sin conexión")</f>
        <v>0.8</v>
      </c>
      <c r="D36" s="6" t="str">
        <f t="shared" si="0"/>
        <v>✅ Hilo íntegro</v>
      </c>
    </row>
    <row r="37" spans="1:4" x14ac:dyDescent="0.3">
      <c r="A37" s="7" t="str">
        <f>H05_METAS_PDOT!A26</f>
        <v>PDOT-020</v>
      </c>
      <c r="B37" s="7">
        <f>IFERROR(_xlfn.XLOOKUP(A37,H14_CALCULO_ICPI!A6:A25,H14_CALCULO_ICPI!J6:J25),"❌ Sin conexión")</f>
        <v>1</v>
      </c>
      <c r="C37" s="7" t="str">
        <f>IFERROR(_xlfn.XLOOKUP(A37,H09_EJECUCION_PRESUPUESTARIA!B5:B24,H09_EJECUCION_PRESUPUESTARIA!K5:K24),"❌ Sin conexión")</f>
        <v>❌ Sin conexión</v>
      </c>
      <c r="D37" s="7" t="str">
        <f t="shared" si="0"/>
        <v>❌ Ruptura detectada</v>
      </c>
    </row>
    <row r="39" spans="1:4" x14ac:dyDescent="0.3">
      <c r="A39" s="585" t="s">
        <v>2643</v>
      </c>
      <c r="B39" s="471"/>
      <c r="C39" s="471"/>
      <c r="D39" s="471"/>
    </row>
  </sheetData>
  <mergeCells count="5">
    <mergeCell ref="A2:F2"/>
    <mergeCell ref="A3:F3"/>
    <mergeCell ref="A5:F5"/>
    <mergeCell ref="A16:D16"/>
    <mergeCell ref="A39:D39"/>
  </mergeCells>
  <hyperlinks>
    <hyperlink ref="A1" location="'H01_PARAMETROS_GENERALES'!A1" tooltip="Volver a H01_PARAMETROS_GENERALES" display="🔙 Volver al Índice" xr:uid="{718B607D-F6D9-457E-91F5-529105438B2B}"/>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D17E-2B4D-4C45-BD73-ED438FF1F864}">
  <dimension ref="A1:G27"/>
  <sheetViews>
    <sheetView workbookViewId="0">
      <pane ySplit="5" topLeftCell="A6" activePane="bottomLeft" state="frozen"/>
      <selection pane="bottomLeft" activeCell="B7" sqref="B7"/>
    </sheetView>
  </sheetViews>
  <sheetFormatPr baseColWidth="10" defaultRowHeight="14.4" x14ac:dyDescent="0.3"/>
  <cols>
    <col min="1" max="1" width="7.44140625" customWidth="1"/>
    <col min="2" max="2" width="33.33203125" customWidth="1"/>
    <col min="3" max="3" width="25.77734375" bestFit="1" customWidth="1"/>
    <col min="4" max="4" width="17.77734375" bestFit="1" customWidth="1"/>
    <col min="5" max="5" width="33.77734375" bestFit="1" customWidth="1"/>
    <col min="6" max="6" width="37" customWidth="1"/>
    <col min="7" max="7" width="42.5546875" customWidth="1"/>
  </cols>
  <sheetData>
    <row r="1" spans="1:7" x14ac:dyDescent="0.3">
      <c r="A1" s="318" t="s">
        <v>2717</v>
      </c>
    </row>
    <row r="2" spans="1:7" ht="18" x14ac:dyDescent="0.35">
      <c r="A2" s="583" t="s">
        <v>2644</v>
      </c>
      <c r="B2" s="471"/>
      <c r="C2" s="471"/>
      <c r="D2" s="471"/>
      <c r="E2" s="471"/>
      <c r="F2" s="471"/>
      <c r="G2" s="471"/>
    </row>
    <row r="3" spans="1:7" x14ac:dyDescent="0.3">
      <c r="A3" s="584" t="s">
        <v>2645</v>
      </c>
      <c r="B3" s="471"/>
      <c r="C3" s="471"/>
      <c r="D3" s="471"/>
      <c r="E3" s="471"/>
      <c r="F3" s="471"/>
      <c r="G3" s="471"/>
    </row>
    <row r="5" spans="1:7" x14ac:dyDescent="0.3">
      <c r="A5" s="457" t="s">
        <v>2646</v>
      </c>
      <c r="B5" s="471"/>
      <c r="C5" s="471"/>
      <c r="D5" s="471"/>
      <c r="E5" s="471"/>
      <c r="F5" s="471"/>
      <c r="G5" s="471"/>
    </row>
    <row r="6" spans="1:7" x14ac:dyDescent="0.3">
      <c r="A6" s="14" t="s">
        <v>2628</v>
      </c>
      <c r="B6" s="14" t="s">
        <v>2647</v>
      </c>
      <c r="C6" s="14" t="s">
        <v>213</v>
      </c>
      <c r="D6" s="14" t="s">
        <v>2648</v>
      </c>
    </row>
    <row r="7" spans="1:7" ht="18" x14ac:dyDescent="0.35">
      <c r="A7" s="103" t="str">
        <f>TEXT(H14_CALCULO_ICPI!B32,"0.0")&amp;"%"</f>
        <v>41%</v>
      </c>
      <c r="B7" s="103" t="str">
        <f>TEXT(H01_PARAMETROS_GENERALES!B12*100,"0.0")&amp;"%"</f>
        <v>100%</v>
      </c>
      <c r="C7" s="103" t="str">
        <f>TEXT(H01_PARAMETROS_GENERALES!B12*100-H14_CALCULO_ICPI!B32,"0.0")&amp;" pp"</f>
        <v>59 pp</v>
      </c>
      <c r="D7" s="103">
        <f>COUNTA(H18_IED_EFICIENCIA_DIRECTIVA!A7:A14)</f>
        <v>8</v>
      </c>
    </row>
    <row r="9" spans="1:7" x14ac:dyDescent="0.3">
      <c r="A9" s="457" t="s">
        <v>2649</v>
      </c>
      <c r="B9" s="471"/>
      <c r="C9" s="471"/>
      <c r="D9" s="471"/>
      <c r="E9" s="471"/>
      <c r="F9" s="471"/>
      <c r="G9" s="471"/>
    </row>
    <row r="10" spans="1:7" x14ac:dyDescent="0.3">
      <c r="A10" s="14" t="s">
        <v>1644</v>
      </c>
      <c r="B10" s="14" t="s">
        <v>2650</v>
      </c>
      <c r="C10" s="14" t="s">
        <v>1266</v>
      </c>
      <c r="D10" s="14" t="s">
        <v>1937</v>
      </c>
      <c r="E10" s="14" t="s">
        <v>2651</v>
      </c>
      <c r="F10" s="14" t="s">
        <v>2652</v>
      </c>
      <c r="G10" s="14" t="s">
        <v>2653</v>
      </c>
    </row>
    <row r="11" spans="1:7" x14ac:dyDescent="0.3">
      <c r="A11" s="7">
        <v>1</v>
      </c>
      <c r="B11" s="7" t="str">
        <f>H18_IED_EFICIENCIA_DIRECTIVA!A7</f>
        <v>Dir. Obras Públicas</v>
      </c>
      <c r="C11" s="312">
        <f>IFERROR(_xlfn.XLOOKUP(B11,H18_IED_EFICIENCIA_DIRECTIVA!A7:A14,H18_IED_EFICIENCIA_DIRECTIVA!C7:C14,0),0)</f>
        <v>0.45500000000000002</v>
      </c>
      <c r="D11" s="7" t="str">
        <f t="shared" ref="D11:D18" si="0">IF(C11&gt;=0.85,"🟢",IF(C11&gt;=0.7,"🟡",IF(C11&gt;=0.55,"🟠","🔴")))</f>
        <v>🔴</v>
      </c>
      <c r="E11" s="7" t="str">
        <f t="shared" ref="E11:E18" si="1">IF(C11&gt;=0.95,"⭐ Proceso Ejemplar",IF(C11&gt;=0.85,"✅ Proceso Sólido",IF(C11&gt;=0.7,"✅ En Desarrollo",IF(C11&gt;=0.55,"⚠️ Proceso con Brechas","🔴 Proceso Crítico — Requiere atención"))))</f>
        <v>🔴 Proceso Crítico — Requiere atención</v>
      </c>
      <c r="F11" s="7" t="str">
        <f>IFERROR(_xlfn.XLOOKUP(B11,H13_MAO_ATRIBUCION_ORGANICA!D2:D21,H13_MAO_ATRIBUCION_ORGANICA!H2:H21,"Ver H13"),"Ver H13")</f>
        <v>B</v>
      </c>
      <c r="G11" s="7" t="str">
        <f t="shared" ref="G11:G18" si="2">IF(C11&gt;=0.85,"Mantener y documentar buenas prácticas",IF(C11&gt;=0.7,"Completar documentación documental faltante",IF(C11&gt;=0.55,"Revisar flujos contractuales del proceso","Priorizar regularización documental: publicar en LOTAIP y SERCOP")))</f>
        <v>Priorizar regularización documental: publicar en LOTAIP y SERCOP</v>
      </c>
    </row>
    <row r="12" spans="1:7" x14ac:dyDescent="0.3">
      <c r="A12" s="6">
        <v>2</v>
      </c>
      <c r="B12" s="6" t="str">
        <f>H18_IED_EFICIENCIA_DIRECTIVA!A8</f>
        <v>Dir. Planificación</v>
      </c>
      <c r="C12" s="313">
        <f>IFERROR(_xlfn.XLOOKUP(B12,H18_IED_EFICIENCIA_DIRECTIVA!A7:A14,H18_IED_EFICIENCIA_DIRECTIVA!C7:C14,0),0)</f>
        <v>0.26100000000000001</v>
      </c>
      <c r="D12" s="6" t="str">
        <f t="shared" si="0"/>
        <v>🔴</v>
      </c>
      <c r="E12" s="6" t="str">
        <f t="shared" si="1"/>
        <v>🔴 Proceso Crítico — Requiere atención</v>
      </c>
      <c r="F12" s="6" t="str">
        <f>IFERROR(_xlfn.XLOOKUP(B12,H13_MAO_ATRIBUCION_ORGANICA!D2:D21,H13_MAO_ATRIBUCION_ORGANICA!H2:H21,"Ver H13"),"Ver H13")</f>
        <v>B</v>
      </c>
      <c r="G12" s="6" t="str">
        <f t="shared" si="2"/>
        <v>Priorizar regularización documental: publicar en LOTAIP y SERCOP</v>
      </c>
    </row>
    <row r="13" spans="1:7" x14ac:dyDescent="0.3">
      <c r="A13" s="7">
        <v>3</v>
      </c>
      <c r="B13" s="7" t="str">
        <f>H18_IED_EFICIENCIA_DIRECTIVA!A9</f>
        <v>Dir. Cultura / Deporte</v>
      </c>
      <c r="C13" s="312">
        <f>IFERROR(_xlfn.XLOOKUP(B13,H18_IED_EFICIENCIA_DIRECTIVA!A7:A14,H18_IED_EFICIENCIA_DIRECTIVA!C7:C14,0),0)</f>
        <v>0.95799999999999996</v>
      </c>
      <c r="D13" s="7" t="str">
        <f t="shared" si="0"/>
        <v>🟢</v>
      </c>
      <c r="E13" s="7" t="str">
        <f t="shared" si="1"/>
        <v>⭐ Proceso Ejemplar</v>
      </c>
      <c r="F13" s="7" t="str">
        <f>IFERROR(_xlfn.XLOOKUP(B13,H13_MAO_ATRIBUCION_ORGANICA!D2:D21,H13_MAO_ATRIBUCION_ORGANICA!H2:H21,"Ver H13"),"Ver H13")</f>
        <v>Ver H13</v>
      </c>
      <c r="G13" s="7" t="str">
        <f t="shared" si="2"/>
        <v>Mantener y documentar buenas prácticas</v>
      </c>
    </row>
    <row r="14" spans="1:7" x14ac:dyDescent="0.3">
      <c r="A14" s="6">
        <v>4</v>
      </c>
      <c r="B14" s="6" t="str">
        <f>H18_IED_EFICIENCIA_DIRECTIVA!A10</f>
        <v>Dir. Turismo</v>
      </c>
      <c r="C14" s="313">
        <f>IFERROR(_xlfn.XLOOKUP(B14,H18_IED_EFICIENCIA_DIRECTIVA!A7:A14,H18_IED_EFICIENCIA_DIRECTIVA!C7:C14,0),0)</f>
        <v>0.873</v>
      </c>
      <c r="D14" s="6" t="str">
        <f t="shared" si="0"/>
        <v>🟢</v>
      </c>
      <c r="E14" s="6" t="str">
        <f t="shared" si="1"/>
        <v>✅ Proceso Sólido</v>
      </c>
      <c r="F14" s="6" t="str">
        <f>IFERROR(_xlfn.XLOOKUP(B14,H13_MAO_ATRIBUCION_ORGANICA!D2:D21,H13_MAO_ATRIBUCION_ORGANICA!H2:H21,"Ver H13"),"Ver H13")</f>
        <v>B</v>
      </c>
      <c r="G14" s="6" t="str">
        <f t="shared" si="2"/>
        <v>Mantener y documentar buenas prácticas</v>
      </c>
    </row>
    <row r="15" spans="1:7" x14ac:dyDescent="0.3">
      <c r="A15" s="7">
        <v>5</v>
      </c>
      <c r="B15" s="7" t="str">
        <f>H18_IED_EFICIENCIA_DIRECTIVA!A11</f>
        <v>Dir. Social / Gestión Social</v>
      </c>
      <c r="C15" s="312">
        <f>IFERROR(_xlfn.XLOOKUP(B15,H18_IED_EFICIENCIA_DIRECTIVA!A7:A14,H18_IED_EFICIENCIA_DIRECTIVA!C7:C14,0),0)</f>
        <v>0.34899999999999998</v>
      </c>
      <c r="D15" s="7" t="str">
        <f t="shared" si="0"/>
        <v>🔴</v>
      </c>
      <c r="E15" s="7" t="str">
        <f t="shared" si="1"/>
        <v>🔴 Proceso Crítico — Requiere atención</v>
      </c>
      <c r="F15" s="7" t="str">
        <f>IFERROR(_xlfn.XLOOKUP(B15,H13_MAO_ATRIBUCION_ORGANICA!D2:D21,H13_MAO_ATRIBUCION_ORGANICA!H2:H21,"Ver H13"),"Ver H13")</f>
        <v>Ver H13</v>
      </c>
      <c r="G15" s="7" t="str">
        <f t="shared" si="2"/>
        <v>Priorizar regularización documental: publicar en LOTAIP y SERCOP</v>
      </c>
    </row>
    <row r="16" spans="1:7" x14ac:dyDescent="0.3">
      <c r="A16" s="6">
        <v>6</v>
      </c>
      <c r="B16" s="6" t="str">
        <f>H18_IED_EFICIENCIA_DIRECTIVA!A12</f>
        <v>Dir. Ambiental</v>
      </c>
      <c r="C16" s="313">
        <f>IFERROR(_xlfn.XLOOKUP(B16,H18_IED_EFICIENCIA_DIRECTIVA!A7:A14,H18_IED_EFICIENCIA_DIRECTIVA!C7:C14,0),0)</f>
        <v>0.8</v>
      </c>
      <c r="D16" s="6" t="str">
        <f t="shared" si="0"/>
        <v>🟡</v>
      </c>
      <c r="E16" s="6" t="str">
        <f t="shared" si="1"/>
        <v>✅ En Desarrollo</v>
      </c>
      <c r="F16" s="6" t="str">
        <f>IFERROR(_xlfn.XLOOKUP(B16,H13_MAO_ATRIBUCION_ORGANICA!D2:D21,H13_MAO_ATRIBUCION_ORGANICA!H2:H21,"Ver H13"),"Ver H13")</f>
        <v>B</v>
      </c>
      <c r="G16" s="6" t="str">
        <f t="shared" si="2"/>
        <v>Completar documentación documental faltante</v>
      </c>
    </row>
    <row r="17" spans="1:7" x14ac:dyDescent="0.3">
      <c r="A17" s="7">
        <v>7</v>
      </c>
      <c r="B17" s="7" t="str">
        <f>H18_IED_EFICIENCIA_DIRECTIVA!A13</f>
        <v>Dir. Financiera</v>
      </c>
      <c r="C17" s="312">
        <f>IFERROR(_xlfn.XLOOKUP(B17,H18_IED_EFICIENCIA_DIRECTIVA!A7:A14,H18_IED_EFICIENCIA_DIRECTIVA!C7:C14,0),0)</f>
        <v>0.8</v>
      </c>
      <c r="D17" s="7" t="str">
        <f t="shared" si="0"/>
        <v>🟡</v>
      </c>
      <c r="E17" s="7" t="str">
        <f t="shared" si="1"/>
        <v>✅ En Desarrollo</v>
      </c>
      <c r="F17" s="7" t="str">
        <f>IFERROR(_xlfn.XLOOKUP(B17,H13_MAO_ATRIBUCION_ORGANICA!D2:D21,H13_MAO_ATRIBUCION_ORGANICA!H2:H21,"Ver H13"),"Ver H13")</f>
        <v>Ver H13</v>
      </c>
      <c r="G17" s="7" t="str">
        <f t="shared" si="2"/>
        <v>Completar documentación documental faltante</v>
      </c>
    </row>
    <row r="18" spans="1:7" x14ac:dyDescent="0.3">
      <c r="A18" s="6">
        <v>8</v>
      </c>
      <c r="B18" s="6" t="str">
        <f>H18_IED_EFICIENCIA_DIRECTIVA!A14</f>
        <v>Patronato Municipal</v>
      </c>
      <c r="C18" s="313">
        <f>IFERROR(_xlfn.XLOOKUP(B18,H18_IED_EFICIENCIA_DIRECTIVA!A7:A14,H18_IED_EFICIENCIA_DIRECTIVA!C7:C14,0),0)</f>
        <v>2.9000000000000001E-2</v>
      </c>
      <c r="D18" s="6" t="str">
        <f t="shared" si="0"/>
        <v>🔴</v>
      </c>
      <c r="E18" s="6" t="str">
        <f t="shared" si="1"/>
        <v>🔴 Proceso Crítico — Requiere atención</v>
      </c>
      <c r="F18" s="6" t="str">
        <f>IFERROR(_xlfn.XLOOKUP(B18,H13_MAO_ATRIBUCION_ORGANICA!D2:D21,H13_MAO_ATRIBUCION_ORGANICA!H2:H21,"Ver H13"),"Ver H13")</f>
        <v>Ver H13</v>
      </c>
      <c r="G18" s="6" t="str">
        <f t="shared" si="2"/>
        <v>Priorizar regularización documental: publicar en LOTAIP y SERCOP</v>
      </c>
    </row>
    <row r="20" spans="1:7" x14ac:dyDescent="0.3">
      <c r="A20" s="456" t="s">
        <v>1391</v>
      </c>
      <c r="B20" s="471"/>
      <c r="C20" s="471"/>
      <c r="D20" s="471"/>
      <c r="E20" s="471"/>
      <c r="F20" s="471"/>
      <c r="G20" s="471"/>
    </row>
    <row r="21" spans="1:7" x14ac:dyDescent="0.3">
      <c r="A21" s="7" t="s">
        <v>2654</v>
      </c>
      <c r="B21" s="7" t="s">
        <v>1691</v>
      </c>
      <c r="C21" s="7" t="s">
        <v>2655</v>
      </c>
      <c r="D21" s="7"/>
      <c r="E21" s="7"/>
      <c r="F21" s="7"/>
      <c r="G21" s="7"/>
    </row>
    <row r="22" spans="1:7" x14ac:dyDescent="0.3">
      <c r="A22" s="6" t="s">
        <v>1396</v>
      </c>
      <c r="B22" s="6" t="s">
        <v>1692</v>
      </c>
      <c r="C22" s="6" t="s">
        <v>2656</v>
      </c>
      <c r="D22" s="6"/>
      <c r="E22" s="6"/>
      <c r="F22" s="6"/>
      <c r="G22" s="6"/>
    </row>
    <row r="23" spans="1:7" x14ac:dyDescent="0.3">
      <c r="A23" s="7" t="s">
        <v>1399</v>
      </c>
      <c r="B23" s="7" t="s">
        <v>2657</v>
      </c>
      <c r="C23" s="7" t="s">
        <v>2658</v>
      </c>
      <c r="D23" s="7"/>
      <c r="E23" s="7"/>
      <c r="F23" s="7"/>
      <c r="G23" s="7"/>
    </row>
    <row r="24" spans="1:7" x14ac:dyDescent="0.3">
      <c r="A24" s="6" t="s">
        <v>1402</v>
      </c>
      <c r="B24" s="6" t="s">
        <v>2659</v>
      </c>
      <c r="C24" s="6" t="s">
        <v>2660</v>
      </c>
      <c r="D24" s="6"/>
      <c r="E24" s="6"/>
      <c r="F24" s="6"/>
      <c r="G24" s="6"/>
    </row>
    <row r="25" spans="1:7" x14ac:dyDescent="0.3">
      <c r="A25" s="7" t="s">
        <v>1405</v>
      </c>
      <c r="B25" s="7" t="s">
        <v>1693</v>
      </c>
      <c r="C25" s="7" t="s">
        <v>2661</v>
      </c>
      <c r="D25" s="7"/>
      <c r="E25" s="7"/>
      <c r="F25" s="7"/>
      <c r="G25" s="7"/>
    </row>
    <row r="27" spans="1:7" x14ac:dyDescent="0.3">
      <c r="A27" s="586" t="s">
        <v>2662</v>
      </c>
      <c r="B27" s="471"/>
      <c r="C27" s="471"/>
      <c r="D27" s="471"/>
      <c r="E27" s="471"/>
      <c r="F27" s="471"/>
      <c r="G27" s="471"/>
    </row>
  </sheetData>
  <mergeCells count="6">
    <mergeCell ref="A27:G27"/>
    <mergeCell ref="A2:G2"/>
    <mergeCell ref="A3:G3"/>
    <mergeCell ref="A5:G5"/>
    <mergeCell ref="A9:G9"/>
    <mergeCell ref="A20:G20"/>
  </mergeCells>
  <hyperlinks>
    <hyperlink ref="A1" location="'H01_PARAMETROS_GENERALES'!A1" tooltip="Volver a H01_PARAMETROS_GENERALES" display="🔙 Volver al Índice" xr:uid="{AD4200FA-D711-4010-99E7-D8544102B01B}"/>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47DE-B832-4BF3-8D88-F18E36D6B518}">
  <dimension ref="A1:E25"/>
  <sheetViews>
    <sheetView zoomScale="91" zoomScaleNormal="91" workbookViewId="0">
      <pane ySplit="5" topLeftCell="A6" activePane="bottomLeft" state="frozen"/>
      <selection pane="bottomLeft" activeCell="D18" sqref="D18"/>
    </sheetView>
  </sheetViews>
  <sheetFormatPr baseColWidth="10" defaultRowHeight="14.4" x14ac:dyDescent="0.3"/>
  <cols>
    <col min="1" max="1" width="7.44140625" customWidth="1"/>
    <col min="2" max="2" width="33.33203125" customWidth="1"/>
    <col min="3" max="3" width="13" customWidth="1"/>
    <col min="4" max="4" width="29.6640625" customWidth="1"/>
    <col min="5" max="5" width="74.109375" customWidth="1"/>
  </cols>
  <sheetData>
    <row r="1" spans="1:5" x14ac:dyDescent="0.3">
      <c r="A1" s="318" t="s">
        <v>2717</v>
      </c>
    </row>
    <row r="2" spans="1:5" ht="18" x14ac:dyDescent="0.35">
      <c r="A2" s="583" t="s">
        <v>2663</v>
      </c>
      <c r="B2" s="471"/>
      <c r="C2" s="471"/>
      <c r="D2" s="471"/>
      <c r="E2" s="471"/>
    </row>
    <row r="3" spans="1:5" x14ac:dyDescent="0.3">
      <c r="A3" s="584" t="s">
        <v>2664</v>
      </c>
      <c r="B3" s="471"/>
      <c r="C3" s="471"/>
      <c r="D3" s="471"/>
      <c r="E3" s="471"/>
    </row>
    <row r="5" spans="1:5" x14ac:dyDescent="0.3">
      <c r="A5" s="457" t="s">
        <v>2665</v>
      </c>
      <c r="B5" s="471"/>
      <c r="C5" s="471"/>
      <c r="D5" s="471"/>
      <c r="E5" s="471"/>
    </row>
    <row r="6" spans="1:5" x14ac:dyDescent="0.3">
      <c r="A6" s="12" t="s">
        <v>2666</v>
      </c>
      <c r="B6" s="6" t="str">
        <f>H01_PARAMETROS_GENERALES!B6</f>
        <v>GAD Municipal de Montecristi</v>
      </c>
      <c r="C6" s="6"/>
      <c r="D6" s="6"/>
      <c r="E6" s="6"/>
    </row>
    <row r="7" spans="1:5" x14ac:dyDescent="0.3">
      <c r="A7" s="13" t="s">
        <v>2003</v>
      </c>
      <c r="B7" s="7" t="str">
        <f>H01_PARAMETROS_GENERALES!B10</f>
        <v>2023-2027</v>
      </c>
      <c r="C7" s="7"/>
      <c r="D7" s="7"/>
      <c r="E7" s="7"/>
    </row>
    <row r="8" spans="1:5" x14ac:dyDescent="0.3">
      <c r="A8" s="12" t="s">
        <v>2667</v>
      </c>
      <c r="B8" s="23">
        <f>H14_CALCULO_ICPI!B32</f>
        <v>41.236255973405342</v>
      </c>
      <c r="C8" s="6"/>
      <c r="D8" s="6"/>
      <c r="E8" s="6"/>
    </row>
    <row r="9" spans="1:5" x14ac:dyDescent="0.3">
      <c r="A9" s="13" t="s">
        <v>2668</v>
      </c>
      <c r="B9" s="7" t="str">
        <f>H14_CALCULO_ICPI!B36</f>
        <v>⚠️ Transición Crítica</v>
      </c>
      <c r="C9" s="7"/>
      <c r="D9" s="7"/>
      <c r="E9" s="7"/>
    </row>
    <row r="10" spans="1:5" x14ac:dyDescent="0.3">
      <c r="A10" s="12" t="s">
        <v>2669</v>
      </c>
      <c r="B10" s="8">
        <f ca="1">TODAY()</f>
        <v>46110</v>
      </c>
      <c r="C10" s="6"/>
      <c r="D10" s="6"/>
      <c r="E10" s="6"/>
    </row>
    <row r="11" spans="1:5" x14ac:dyDescent="0.3">
      <c r="A11" s="13" t="s">
        <v>2670</v>
      </c>
      <c r="B11" s="7" t="str">
        <f>H01_PARAMETROS_GENERALES!B15</f>
        <v>Ronald Javier Delgado Santana</v>
      </c>
      <c r="C11" s="7"/>
      <c r="D11" s="7"/>
      <c r="E11" s="7"/>
    </row>
    <row r="13" spans="1:5" x14ac:dyDescent="0.3">
      <c r="A13" s="457" t="s">
        <v>2671</v>
      </c>
      <c r="B13" s="471"/>
      <c r="C13" s="471"/>
      <c r="D13" s="471"/>
      <c r="E13" s="471"/>
    </row>
    <row r="14" spans="1:5" x14ac:dyDescent="0.3">
      <c r="A14" s="14" t="s">
        <v>1644</v>
      </c>
      <c r="B14" s="14" t="s">
        <v>2672</v>
      </c>
      <c r="C14" s="14" t="s">
        <v>1266</v>
      </c>
      <c r="D14" s="14" t="s">
        <v>2673</v>
      </c>
      <c r="E14" s="14" t="s">
        <v>2674</v>
      </c>
    </row>
    <row r="15" spans="1:5" ht="57.6" x14ac:dyDescent="0.3">
      <c r="A15" s="7">
        <v>1</v>
      </c>
      <c r="B15" s="7" t="str">
        <f>H18_IED_EFICIENCIA_DIRECTIVA!A7</f>
        <v>Dir. Obras Públicas</v>
      </c>
      <c r="C15" s="312">
        <f>IFERROR(_xlfn.XLOOKUP(B15,H18_IED_EFICIENCIA_DIRECTIVA!A7:A14,H18_IED_EFICIENCIA_DIRECTIVA!C7:C14,0),0)</f>
        <v>0.45500000000000002</v>
      </c>
      <c r="D15" s="7" t="str">
        <f t="shared" ref="D15:D22" si="0">IF(C15&gt;=0.85,"Informe de Reconocimiento",IF(C15&gt;=0.55,"Informe de Seguimiento","Informe de Atención Prioritaria"))</f>
        <v>Informe de Atención Prioritaria</v>
      </c>
      <c r="E15" s="314" t="str">
        <f ca="1">"INFORME TÉCNICO DE CONGRUENCIA N°-"&amp;ROW()-14&amp;"-"&amp;YEAR(TODAY())&amp;" | UNIDAD: "&amp;B15&amp;" | ICPI Global del período: "&amp;TEXT(H14_CALCULO_ICPI!B32,"0.0")&amp;"% | IED de la unidad: "&amp;TEXT(C15*100,"0.0")&amp;"% | Nivel: "&amp;D15&amp;". "&amp;IF(C15&gt;=0.85,"La unidad registra trazabilidad completa en sus procesos. Se recomienda documentar las buenas prácticas para replicabilidad.",IF(C15&gt;=0.55,"La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N°-1-2026 | UNIDAD: Dir. Obras Públicas | ICPI Global del período: 41% | IED de la unidad: 46% | Nivel: Informe de Atención Prioritaria. La unidad presenta brechas sistémicas en la cadena de trazabilidad. Se recomienda activar plan de fortalecimiento de flujos documentales con seguimiento mensual.</v>
      </c>
    </row>
    <row r="16" spans="1:5" ht="57.6" x14ac:dyDescent="0.3">
      <c r="A16" s="6">
        <v>2</v>
      </c>
      <c r="B16" s="6" t="str">
        <f>H18_IED_EFICIENCIA_DIRECTIVA!A8</f>
        <v>Dir. Planificación</v>
      </c>
      <c r="C16" s="313">
        <f>IFERROR(_xlfn.XLOOKUP(B16,H18_IED_EFICIENCIA_DIRECTIVA!A7:A14,H18_IED_EFICIENCIA_DIRECTIVA!C7:C14,0),0)</f>
        <v>0.26100000000000001</v>
      </c>
      <c r="D16" s="6" t="str">
        <f t="shared" si="0"/>
        <v>Informe de Atención Prioritaria</v>
      </c>
      <c r="E16" s="315" t="str">
        <f ca="1">"INFORME TÉCNICO DE CONGRUENCIA N°-"&amp;ROW()-14&amp;"-"&amp;YEAR(TODAY())&amp;" | UNIDAD: "&amp;B16&amp;" | ICPI Global del período: "&amp;TEXT(H14_CALCULO_ICPI!B32,"0.0")&amp;"% | IED de la unidad: "&amp;TEXT(C16*100,"0.0")&amp;"% | Nivel: "&amp;D16&amp;". "&amp;IF(C16&gt;=0.85,"La unidad registra trazabilidad completa en sus procesos. Se recomienda documentar las buenas prácticas para replicabilidad.",IF(C16&gt;=0.55,"La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N°-2-2026 | UNIDAD: Dir. Planificación | ICPI Global del período: 41% | IED de la unidad: 26% | Nivel: Informe de Atención Prioritaria. La unidad presenta brechas sistémicas en la cadena de trazabilidad. Se recomienda activar plan de fortalecimiento de flujos documentales con seguimiento mensual.</v>
      </c>
    </row>
    <row r="17" spans="1:5" ht="57.6" x14ac:dyDescent="0.3">
      <c r="A17" s="7">
        <v>3</v>
      </c>
      <c r="B17" s="7" t="str">
        <f>H18_IED_EFICIENCIA_DIRECTIVA!A9</f>
        <v>Dir. Cultura / Deporte</v>
      </c>
      <c r="C17" s="312">
        <f>IFERROR(_xlfn.XLOOKUP(B17,H18_IED_EFICIENCIA_DIRECTIVA!A7:A14,H18_IED_EFICIENCIA_DIRECTIVA!C7:C14,0),0)</f>
        <v>0.95799999999999996</v>
      </c>
      <c r="D17" s="7" t="str">
        <f t="shared" si="0"/>
        <v>Informe de Reconocimiento</v>
      </c>
      <c r="E17" s="314" t="str">
        <f ca="1">"INFORME TÉCNICO DE CONGRUENCIA N°-"&amp;ROW()-14&amp;"-"&amp;YEAR(TODAY())&amp;" | UNIDAD: "&amp;B17&amp;" | ICPI Global del período: "&amp;TEXT(H14_CALCULO_ICPI!B32,"0.0")&amp;"% | IED de la unidad: "&amp;TEXT(C17*100,"0.0")&amp;"% | Nivel: "&amp;D17&amp;". "&amp;IF(C17&gt;=0.85,"La unidad registra trazabilidad completa en sus procesos. Se recomienda documentar las buenas prácticas para replicabilidad.",IF(C17&gt;=0.55,"La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N°-3-2026 | UNIDAD: Dir. Cultura / Deporte | ICPI Global del período: 41% | IED de la unidad: 96% | Nivel: Informe de Reconocimiento. La unidad registra trazabilidad completa en sus procesos. Se recomienda documentar las buenas prácticas para replicabilidad.</v>
      </c>
    </row>
    <row r="18" spans="1:5" ht="57.6" x14ac:dyDescent="0.3">
      <c r="A18" s="6">
        <v>4</v>
      </c>
      <c r="B18" s="6" t="str">
        <f>H18_IED_EFICIENCIA_DIRECTIVA!A10</f>
        <v>Dir. Turismo</v>
      </c>
      <c r="C18" s="313">
        <f>IFERROR(_xlfn.XLOOKUP(B18,H18_IED_EFICIENCIA_DIRECTIVA!A7:A14,H18_IED_EFICIENCIA_DIRECTIVA!C7:C14,0),0)</f>
        <v>0.873</v>
      </c>
      <c r="D18" s="6" t="str">
        <f t="shared" si="0"/>
        <v>Informe de Reconocimiento</v>
      </c>
      <c r="E18" s="315" t="str">
        <f ca="1">"INFORME TÉCNICO DE CONGRUENCIA N°-"&amp;ROW()-14&amp;"-"&amp;YEAR(TODAY())&amp;" | UNIDAD: "&amp;B18&amp;" | ICPI Global del período: "&amp;TEXT(H14_CALCULO_ICPI!B32,"0.0")&amp;"% | IED de la unidad: "&amp;TEXT(C18*100,"0.0")&amp;"% | Nivel: "&amp;D18&amp;". "&amp;IF(C18&gt;=0.85,"La unidad registra trazabilidad completa en sus procesos. Se recomienda documentar las buenas prácticas para replicabilidad.",IF(C18&gt;=0.55,"La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N°-4-2026 | UNIDAD: Dir. Turismo | ICPI Global del período: 41% | IED de la unidad: 87% | Nivel: Informe de Reconocimiento. La unidad registra trazabilidad completa en sus procesos. Se recomienda documentar las buenas prácticas para replicabilidad.</v>
      </c>
    </row>
    <row r="19" spans="1:5" ht="72" x14ac:dyDescent="0.3">
      <c r="A19" s="7">
        <v>5</v>
      </c>
      <c r="B19" s="7" t="str">
        <f>H18_IED_EFICIENCIA_DIRECTIVA!A11</f>
        <v>Dir. Social / Gestión Social</v>
      </c>
      <c r="C19" s="312">
        <f>IFERROR(_xlfn.XLOOKUP(B19,H18_IED_EFICIENCIA_DIRECTIVA!A7:A14,H18_IED_EFICIENCIA_DIRECTIVA!C7:C14,0),0)</f>
        <v>0.34899999999999998</v>
      </c>
      <c r="D19" s="7" t="str">
        <f t="shared" si="0"/>
        <v>Informe de Atención Prioritaria</v>
      </c>
      <c r="E19" s="314" t="str">
        <f ca="1">"INFORME TÉCNICO DE CONGRUENCIA N°-"&amp;ROW()-14&amp;"-"&amp;YEAR(TODAY())&amp;" | UNIDAD: "&amp;B19&amp;" | ICPI Global del período: "&amp;TEXT(H14_CALCULO_ICPI!B32,"0.0")&amp;"% | IED de la unidad: "&amp;TEXT(C19*100,"0.0")&amp;"% | Nivel: "&amp;D19&amp;". "&amp;IF(C19&gt;=0.85,"La unidad registra trazabilidad completa en sus procesos. Se recomienda documentar las buenas prácticas para replicabilidad.",IF(C19&gt;=0.55,"La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N°-5-2026 | UNIDAD: Dir. Social / Gestión Social | ICPI Global del período: 41% | IED de la unidad: 35% | Nivel: Informe de Atención Prioritaria. La unidad presenta brechas sistémicas en la cadena de trazabilidad. Se recomienda activar plan de fortalecimiento de flujos documentales con seguimiento mensual.</v>
      </c>
    </row>
    <row r="20" spans="1:5" ht="57.6" x14ac:dyDescent="0.3">
      <c r="A20" s="6">
        <v>6</v>
      </c>
      <c r="B20" s="6" t="str">
        <f>H18_IED_EFICIENCIA_DIRECTIVA!A12</f>
        <v>Dir. Ambiental</v>
      </c>
      <c r="C20" s="313">
        <f>IFERROR(_xlfn.XLOOKUP(B20,H18_IED_EFICIENCIA_DIRECTIVA!A7:A14,H18_IED_EFICIENCIA_DIRECTIVA!C7:C14,0),0)</f>
        <v>0.8</v>
      </c>
      <c r="D20" s="6" t="str">
        <f t="shared" si="0"/>
        <v>Informe de Seguimiento</v>
      </c>
      <c r="E20" s="315" t="str">
        <f ca="1">"INFORME TÉCNICO DE CONGRUENCIA N°-"&amp;ROW()-14&amp;"-"&amp;YEAR(TODAY())&amp;" | UNIDAD: "&amp;B20&amp;" | ICPI Global del período: "&amp;TEXT(H14_CALCULO_ICPI!B32,"0.0")&amp;"% | IED de la unidad: "&amp;TEXT(C20*100,"0.0")&amp;"% | Nivel: "&amp;D20&amp;". "&amp;IF(C20&gt;=0.85,"La unidad registra trazabilidad completa en sus procesos. Se recomienda documentar las buenas prácticas para replicabilidad.",IF(C20&gt;=0.55,"La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N°-6-2026 | UNIDAD: Dir. Ambiental | ICPI Global del período: 41% | IED de la unidad: 80% | Nivel: Informe de Seguimiento. La unidad presenta brechas documentales recuperables. Se recomienda regularizar la publicación en LOTAIP y SERCOP antes del próximo corte cuatrimestral.</v>
      </c>
    </row>
    <row r="21" spans="1:5" ht="57.6" x14ac:dyDescent="0.3">
      <c r="A21" s="7">
        <v>7</v>
      </c>
      <c r="B21" s="7" t="str">
        <f>H18_IED_EFICIENCIA_DIRECTIVA!A13</f>
        <v>Dir. Financiera</v>
      </c>
      <c r="C21" s="312">
        <f>IFERROR(_xlfn.XLOOKUP(B21,H18_IED_EFICIENCIA_DIRECTIVA!A7:A14,H18_IED_EFICIENCIA_DIRECTIVA!C7:C14,0),0)</f>
        <v>0.8</v>
      </c>
      <c r="D21" s="7" t="str">
        <f t="shared" si="0"/>
        <v>Informe de Seguimiento</v>
      </c>
      <c r="E21" s="314" t="str">
        <f ca="1">"INFORME TÉCNICO DE CONGRUENCIA N°-"&amp;ROW()-14&amp;"-"&amp;YEAR(TODAY())&amp;" | UNIDAD: "&amp;B21&amp;" | ICPI Global del período: "&amp;TEXT(H14_CALCULO_ICPI!B32,"0.0")&amp;"% | IED de la unidad: "&amp;TEXT(C21*100,"0.0")&amp;"% | Nivel: "&amp;D21&amp;". "&amp;IF(C21&gt;=0.85,"La unidad registra trazabilidad completa en sus procesos. Se recomienda documentar las buenas prácticas para replicabilidad.",IF(C21&gt;=0.55,"La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N°-7-2026 | UNIDAD: Dir. Financiera | ICPI Global del período: 41% | IED de la unidad: 80% | Nivel: Informe de Seguimiento. La unidad presenta brechas documentales recuperables. Se recomienda regularizar la publicación en LOTAIP y SERCOP antes del próximo corte cuatrimestral.</v>
      </c>
    </row>
    <row r="22" spans="1:5" ht="57.6" x14ac:dyDescent="0.3">
      <c r="A22" s="6">
        <v>8</v>
      </c>
      <c r="B22" s="6" t="str">
        <f>H18_IED_EFICIENCIA_DIRECTIVA!A14</f>
        <v>Patronato Municipal</v>
      </c>
      <c r="C22" s="313">
        <f>IFERROR(_xlfn.XLOOKUP(B22,H18_IED_EFICIENCIA_DIRECTIVA!A7:A14,H18_IED_EFICIENCIA_DIRECTIVA!C7:C14,0),0)</f>
        <v>2.9000000000000001E-2</v>
      </c>
      <c r="D22" s="6" t="str">
        <f t="shared" si="0"/>
        <v>Informe de Atención Prioritaria</v>
      </c>
      <c r="E22" s="315" t="str">
        <f ca="1">"INFORME TÉCNICO DE CONGRUENCIA N°-"&amp;ROW()-14&amp;"-"&amp;YEAR(TODAY())&amp;" | UNIDAD: "&amp;B22&amp;" | ICPI Global del período: "&amp;TEXT(H14_CALCULO_ICPI!B32,"0.0")&amp;"% | IED de la unidad: "&amp;TEXT(C22*100,"0.0")&amp;"% | Nivel: "&amp;D22&amp;". "&amp;IF(C22&gt;=0.85,"La unidad registra trazabilidad completa en sus procesos. Se recomienda documentar las buenas prácticas para replicabilidad.",IF(C22&gt;=0.55,"La unidad presenta brechas documentales recuperables. Se recomienda regularizar la publicación en LOTAIP y SERCOP antes del próximo corte cuatrimestral.","La unidad presenta brechas sistémicas en la cadena de trazabilidad. Se recomienda activar plan de fortalecimiento de flujos documentales con seguimiento mensual."))</f>
        <v>INFORME TÉCNICO DE CONGRUENCIA N°-8-2026 | UNIDAD: Patronato Municipal | ICPI Global del período: 41% | IED de la unidad: 03% | Nivel: Informe de Atención Prioritaria. La unidad presenta brechas sistémicas en la cadena de trazabilidad. Se recomienda activar plan de fortalecimiento de flujos documentales con seguimiento mensual.</v>
      </c>
    </row>
    <row r="24" spans="1:5" x14ac:dyDescent="0.3">
      <c r="A24" s="457" t="s">
        <v>2675</v>
      </c>
      <c r="B24" s="471"/>
      <c r="C24" s="471"/>
      <c r="D24" s="471"/>
      <c r="E24" s="471"/>
    </row>
    <row r="25" spans="1:5" x14ac:dyDescent="0.3">
      <c r="A25" s="586" t="s">
        <v>2676</v>
      </c>
      <c r="B25" s="471"/>
      <c r="C25" s="471"/>
      <c r="D25" s="471"/>
      <c r="E25" s="471"/>
    </row>
  </sheetData>
  <mergeCells count="6">
    <mergeCell ref="A25:E25"/>
    <mergeCell ref="A2:E2"/>
    <mergeCell ref="A3:E3"/>
    <mergeCell ref="A5:E5"/>
    <mergeCell ref="A13:E13"/>
    <mergeCell ref="A24:E24"/>
  </mergeCells>
  <hyperlinks>
    <hyperlink ref="A1" location="'H01_PARAMETROS_GENERALES'!A1" tooltip="Volver a H01_PARAMETROS_GENERALES" display="🔙 Volver al Índice" xr:uid="{93A2B21A-9E8B-496C-A371-00E5DE9E457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99B7-5FA6-4FA8-AB77-692006CF375A}">
  <dimension ref="A1:J34"/>
  <sheetViews>
    <sheetView zoomScale="146" zoomScaleNormal="146" workbookViewId="0">
      <pane ySplit="5" topLeftCell="A12" activePane="bottomLeft" state="frozen"/>
      <selection pane="bottomLeft" activeCell="F10" sqref="F10"/>
    </sheetView>
  </sheetViews>
  <sheetFormatPr baseColWidth="10" defaultRowHeight="14.4" x14ac:dyDescent="0.3"/>
  <cols>
    <col min="1" max="1" width="16.6640625" customWidth="1"/>
    <col min="2" max="2" width="40.77734375" customWidth="1"/>
    <col min="3" max="3" width="11.109375" customWidth="1"/>
    <col min="4" max="4" width="29.6640625" customWidth="1"/>
    <col min="5" max="6" width="20.33203125" customWidth="1"/>
    <col min="7" max="8" width="14.77734375" customWidth="1"/>
    <col min="9" max="9" width="37" customWidth="1"/>
    <col min="10" max="10" width="42.5546875" customWidth="1"/>
  </cols>
  <sheetData>
    <row r="1" spans="1:10" x14ac:dyDescent="0.3">
      <c r="A1" s="318" t="s">
        <v>2717</v>
      </c>
    </row>
    <row r="2" spans="1:10" ht="18" x14ac:dyDescent="0.35">
      <c r="A2" s="583" t="s">
        <v>2677</v>
      </c>
      <c r="B2" s="471"/>
      <c r="C2" s="471"/>
      <c r="D2" s="471"/>
      <c r="E2" s="471"/>
      <c r="F2" s="471"/>
      <c r="G2" s="471"/>
      <c r="H2" s="471"/>
      <c r="I2" s="471"/>
      <c r="J2" s="471"/>
    </row>
    <row r="3" spans="1:10" x14ac:dyDescent="0.3">
      <c r="A3" s="584" t="s">
        <v>2678</v>
      </c>
      <c r="B3" s="471"/>
      <c r="C3" s="471"/>
      <c r="D3" s="471"/>
      <c r="E3" s="471"/>
      <c r="F3" s="471"/>
      <c r="G3" s="471"/>
      <c r="H3" s="471"/>
      <c r="I3" s="471"/>
      <c r="J3" s="471"/>
    </row>
    <row r="5" spans="1:10" x14ac:dyDescent="0.3">
      <c r="A5" s="457" t="s">
        <v>2679</v>
      </c>
      <c r="B5" s="471"/>
      <c r="C5" s="471"/>
      <c r="D5" s="471"/>
      <c r="E5" s="471"/>
      <c r="F5" s="471"/>
      <c r="G5" s="471"/>
      <c r="H5" s="471"/>
      <c r="I5" s="471"/>
      <c r="J5" s="471"/>
    </row>
    <row r="6" spans="1:10" x14ac:dyDescent="0.3">
      <c r="A6" s="12" t="s">
        <v>2666</v>
      </c>
      <c r="B6" s="335" t="str">
        <f>H01_PARAMETROS_GENERALES!B6</f>
        <v>GAD Municipal de Montecristi</v>
      </c>
      <c r="C6" s="6"/>
      <c r="D6" s="6"/>
      <c r="E6" s="6"/>
      <c r="F6" s="6"/>
      <c r="G6" s="6"/>
      <c r="H6" s="6"/>
      <c r="I6" s="6"/>
      <c r="J6" s="6"/>
    </row>
    <row r="7" spans="1:10" x14ac:dyDescent="0.3">
      <c r="A7" s="13" t="s">
        <v>2003</v>
      </c>
      <c r="B7" s="336" t="str">
        <f>H01_PARAMETROS_GENERALES!B10</f>
        <v>2023-2027</v>
      </c>
      <c r="C7" s="7"/>
      <c r="D7" s="7"/>
      <c r="E7" s="7"/>
      <c r="F7" s="7"/>
      <c r="G7" s="7"/>
      <c r="H7" s="7"/>
      <c r="I7" s="7"/>
      <c r="J7" s="7"/>
    </row>
    <row r="8" spans="1:10" x14ac:dyDescent="0.3">
      <c r="A8" s="12" t="s">
        <v>2680</v>
      </c>
      <c r="B8" s="337">
        <f>H14_CALCULO_ICPI!B32/100</f>
        <v>0.41236255973405345</v>
      </c>
      <c r="C8" s="6"/>
      <c r="D8" s="6"/>
      <c r="E8" s="6"/>
      <c r="F8" s="6"/>
      <c r="G8" s="6"/>
      <c r="H8" s="6"/>
      <c r="I8" s="6"/>
      <c r="J8" s="6"/>
    </row>
    <row r="9" spans="1:10" x14ac:dyDescent="0.3">
      <c r="A9" s="13" t="s">
        <v>2681</v>
      </c>
      <c r="B9" s="338">
        <f ca="1">TODAY()</f>
        <v>46110</v>
      </c>
      <c r="C9" s="7"/>
      <c r="D9" s="7"/>
      <c r="E9" s="7"/>
      <c r="F9" s="7"/>
      <c r="G9" s="7"/>
      <c r="H9" s="7"/>
      <c r="I9" s="7"/>
      <c r="J9" s="7"/>
    </row>
    <row r="11" spans="1:10" x14ac:dyDescent="0.3">
      <c r="A11" s="457" t="s">
        <v>2682</v>
      </c>
      <c r="B11" s="471"/>
      <c r="C11" s="471"/>
      <c r="D11" s="471"/>
      <c r="E11" s="471"/>
      <c r="F11" s="471"/>
      <c r="G11" s="471"/>
      <c r="H11" s="471"/>
      <c r="I11" s="471"/>
      <c r="J11" s="471"/>
    </row>
    <row r="12" spans="1:10" x14ac:dyDescent="0.3">
      <c r="A12" s="14" t="s">
        <v>2683</v>
      </c>
      <c r="B12" s="14" t="s">
        <v>2684</v>
      </c>
      <c r="C12" s="14" t="s">
        <v>332</v>
      </c>
      <c r="D12" s="14" t="s">
        <v>2685</v>
      </c>
      <c r="E12" s="14" t="s">
        <v>2686</v>
      </c>
      <c r="F12" s="14" t="s">
        <v>2687</v>
      </c>
      <c r="G12" s="14" t="s">
        <v>2688</v>
      </c>
      <c r="H12" s="14" t="s">
        <v>2689</v>
      </c>
      <c r="I12" s="14" t="s">
        <v>2690</v>
      </c>
      <c r="J12" s="14" t="s">
        <v>2691</v>
      </c>
    </row>
    <row r="13" spans="1:10" x14ac:dyDescent="0.3">
      <c r="A13" s="7" t="str">
        <f>H05_METAS_PDOT!A7</f>
        <v>PDOT-001</v>
      </c>
      <c r="B13" s="7" t="str">
        <f>IFERROR(_xlfn.XLOOKUP(A13,H05_METAS_PDOT!A7:A26,H05_METAS_PDOT!B7:B26),"")</f>
        <v>Construcción sistema agua potable zonas rurales</v>
      </c>
      <c r="C13" s="7" t="str">
        <f>IFERROR(_xlfn.XLOOKUP(A13,H05_METAS_PDOT!A7:A26,H05_METAS_PDOT!C7:C26),"")</f>
        <v>AS</v>
      </c>
      <c r="D13" s="7" t="str">
        <f>IFERROR(_xlfn.XLOOKUP(A13,H05_METAS_PDOT!A7:A26,H05_METAS_PDOT!N7:N26),"")</f>
        <v>Dir. Obras Públicas</v>
      </c>
      <c r="E13" s="10">
        <f>IFERROR(_xlfn.XLOOKUP(A13,H09_EJECUCION_PRESUPUESTARIA!B5:B24,H09_EJECUCION_PRESUPUESTARIA!F5:F24),0)</f>
        <v>2125000</v>
      </c>
      <c r="F13" s="10">
        <f>IFERROR(_xlfn.XLOOKUP(A13,H09_EJECUCION_PRESUPUESTARIA!B5:B24,H09_EJECUCION_PRESUPUESTARIA!J5:J24),0)</f>
        <v>1806250</v>
      </c>
      <c r="G13" s="312">
        <f>IFERROR(_xlfn.XLOOKUP(A13,H09_EJECUCION_PRESUPUESTARIA!B5:B24,H09_EJECUCION_PRESUPUESTARIA!K5:K24),0)</f>
        <v>0.85</v>
      </c>
      <c r="H13" s="7">
        <f>IFERROR(_xlfn.XLOOKUP(A13,H14_CALCULO_ICPI!A6:A25,H14_CALCULO_ICPI!J6:J25),0)</f>
        <v>1</v>
      </c>
      <c r="I13" s="7" t="str">
        <f t="shared" ref="I13:I32" si="0">IF(AND(G13&gt;=0.9,H13=1),"COMPLETADO",IF(AND(G13&gt;=0.4,H13=1),"EN EJECUCIÓN",IF(G13&gt;0,"EN PROCESO — Documentación incompleta","PENDIENTE DE INICIO")))</f>
        <v>EN EJECUCIÓN</v>
      </c>
      <c r="J13" s="7" t="str">
        <f t="shared" ref="J13:J32" si="1">IF(H13=0,"Sin trazabilidad documental completa en uno o más silos",IF(G13&lt;0.5,"Ejecución presupuestaria menor al 50%","Avance con trazabilidad verificada"))</f>
        <v>Avance con trazabilidad verificada</v>
      </c>
    </row>
    <row r="14" spans="1:10" x14ac:dyDescent="0.3">
      <c r="A14" s="6" t="str">
        <f>H05_METAS_PDOT!A8</f>
        <v>PDOT-002</v>
      </c>
      <c r="B14" s="6" t="str">
        <f>IFERROR(_xlfn.XLOOKUP(A14,H05_METAS_PDOT!A7:A26,H05_METAS_PDOT!B7:B26),"")</f>
        <v>Ampliación red alcantarillado sanitario</v>
      </c>
      <c r="C14" s="6" t="str">
        <f>IFERROR(_xlfn.XLOOKUP(A14,H05_METAS_PDOT!A7:A26,H05_METAS_PDOT!C7:C26),"")</f>
        <v>AS</v>
      </c>
      <c r="D14" s="6" t="str">
        <f>IFERROR(_xlfn.XLOOKUP(A14,H05_METAS_PDOT!A7:A26,H05_METAS_PDOT!N7:N26),"")</f>
        <v>Dir. Obras Públicas</v>
      </c>
      <c r="E14" s="24">
        <f>IFERROR(_xlfn.XLOOKUP(A14,H09_EJECUCION_PRESUPUESTARIA!B5:B24,H09_EJECUCION_PRESUPUESTARIA!F5:F24),0)</f>
        <v>1550000</v>
      </c>
      <c r="F14" s="24">
        <f>IFERROR(_xlfn.XLOOKUP(A14,H09_EJECUCION_PRESUPUESTARIA!B5:B24,H09_EJECUCION_PRESUPUESTARIA!J5:J24),0)</f>
        <v>93000</v>
      </c>
      <c r="G14" s="313">
        <f>IFERROR(_xlfn.XLOOKUP(A14,H09_EJECUCION_PRESUPUESTARIA!B5:B24,H09_EJECUCION_PRESUPUESTARIA!K5:K24),0)</f>
        <v>0.06</v>
      </c>
      <c r="H14" s="6">
        <f>IFERROR(_xlfn.XLOOKUP(A14,H14_CALCULO_ICPI!A6:A25,H14_CALCULO_ICPI!J6:J25),0)</f>
        <v>1</v>
      </c>
      <c r="I14" s="6" t="str">
        <f t="shared" si="0"/>
        <v>EN PROCESO — Documentación incompleta</v>
      </c>
      <c r="J14" s="6" t="str">
        <f t="shared" si="1"/>
        <v>Ejecución presupuestaria menor al 50%</v>
      </c>
    </row>
    <row r="15" spans="1:10" x14ac:dyDescent="0.3">
      <c r="A15" s="7" t="str">
        <f>H05_METAS_PDOT!A9</f>
        <v>PDOT-003</v>
      </c>
      <c r="B15" s="7" t="str">
        <f>IFERROR(_xlfn.XLOOKUP(A15,H05_METAS_PDOT!A7:A26,H05_METAS_PDOT!B7:B26),"")</f>
        <v>Sistema manejo integral desechos sólidos</v>
      </c>
      <c r="C15" s="7" t="str">
        <f>IFERROR(_xlfn.XLOOKUP(A15,H05_METAS_PDOT!A7:A26,H05_METAS_PDOT!C7:C26),"")</f>
        <v>AS</v>
      </c>
      <c r="D15" s="7" t="str">
        <f>IFERROR(_xlfn.XLOOKUP(A15,H05_METAS_PDOT!A7:A26,H05_METAS_PDOT!N7:N26),"")</f>
        <v>EP Aseo</v>
      </c>
      <c r="E15" s="10">
        <f>IFERROR(_xlfn.XLOOKUP(A15,H09_EJECUCION_PRESUPUESTARIA!B5:B24,H09_EJECUCION_PRESUPUESTARIA!F5:F24),0)</f>
        <v>450000</v>
      </c>
      <c r="F15" s="10">
        <f>IFERROR(_xlfn.XLOOKUP(A15,H09_EJECUCION_PRESUPUESTARIA!B5:B24,H09_EJECUCION_PRESUPUESTARIA!J5:J24),0)</f>
        <v>0</v>
      </c>
      <c r="G15" s="312">
        <f>IFERROR(_xlfn.XLOOKUP(A15,H09_EJECUCION_PRESUPUESTARIA!B5:B24,H09_EJECUCION_PRESUPUESTARIA!K5:K24),0)</f>
        <v>0</v>
      </c>
      <c r="H15" s="7">
        <f>IFERROR(_xlfn.XLOOKUP(A15,H14_CALCULO_ICPI!A6:A25,H14_CALCULO_ICPI!J6:J25),0)</f>
        <v>0</v>
      </c>
      <c r="I15" s="7" t="str">
        <f t="shared" si="0"/>
        <v>PENDIENTE DE INICIO</v>
      </c>
      <c r="J15" s="7" t="str">
        <f t="shared" si="1"/>
        <v>Sin trazabilidad documental completa en uno o más silos</v>
      </c>
    </row>
    <row r="16" spans="1:10" x14ac:dyDescent="0.3">
      <c r="A16" s="6" t="str">
        <f>H05_METAS_PDOT!A10</f>
        <v>PDOT-004</v>
      </c>
      <c r="B16" s="6" t="str">
        <f>IFERROR(_xlfn.XLOOKUP(A16,H05_METAS_PDOT!A7:A26,H05_METAS_PDOT!B7:B26),"")</f>
        <v>Mejoramiento vialidad urbana cantonal</v>
      </c>
      <c r="C16" s="6" t="str">
        <f>IFERROR(_xlfn.XLOOKUP(A16,H05_METAS_PDOT!A7:A26,H05_METAS_PDOT!C7:C26),"")</f>
        <v>OT</v>
      </c>
      <c r="D16" s="6" t="str">
        <f>IFERROR(_xlfn.XLOOKUP(A16,H05_METAS_PDOT!A7:A26,H05_METAS_PDOT!N7:N26),"")</f>
        <v>Dir. Obras Públicas</v>
      </c>
      <c r="E16" s="24">
        <f>IFERROR(_xlfn.XLOOKUP(A16,H09_EJECUCION_PRESUPUESTARIA!B5:B24,H09_EJECUCION_PRESUPUESTARIA!F5:F24),0)</f>
        <v>800000</v>
      </c>
      <c r="F16" s="24">
        <f>IFERROR(_xlfn.XLOOKUP(A16,H09_EJECUCION_PRESUPUESTARIA!B5:B24,H09_EJECUCION_PRESUPUESTARIA!J5:J24),0)</f>
        <v>720000</v>
      </c>
      <c r="G16" s="313">
        <f>IFERROR(_xlfn.XLOOKUP(A16,H09_EJECUCION_PRESUPUESTARIA!B5:B24,H09_EJECUCION_PRESUPUESTARIA!K5:K24),0)</f>
        <v>0.9</v>
      </c>
      <c r="H16" s="6">
        <f>IFERROR(_xlfn.XLOOKUP(A16,H14_CALCULO_ICPI!A6:A25,H14_CALCULO_ICPI!J6:J25),0)</f>
        <v>1</v>
      </c>
      <c r="I16" s="6" t="str">
        <f t="shared" si="0"/>
        <v>COMPLETADO</v>
      </c>
      <c r="J16" s="6" t="str">
        <f t="shared" si="1"/>
        <v>Avance con trazabilidad verificada</v>
      </c>
    </row>
    <row r="17" spans="1:10" x14ac:dyDescent="0.3">
      <c r="A17" s="7" t="str">
        <f>H05_METAS_PDOT!A11</f>
        <v>PDOT-005</v>
      </c>
      <c r="B17" s="7" t="str">
        <f>IFERROR(_xlfn.XLOOKUP(A17,H05_METAS_PDOT!A7:A26,H05_METAS_PDOT!B7:B26),"")</f>
        <v>Construcción y rehabilitación mercado municipal</v>
      </c>
      <c r="C17" s="7" t="str">
        <f>IFERROR(_xlfn.XLOOKUP(A17,H05_METAS_PDOT!A7:A26,H05_METAS_PDOT!C7:C26),"")</f>
        <v>EC</v>
      </c>
      <c r="D17" s="7" t="str">
        <f>IFERROR(_xlfn.XLOOKUP(A17,H05_METAS_PDOT!A7:A26,H05_METAS_PDOT!N7:N26),"")</f>
        <v>Dir. Gestión Social</v>
      </c>
      <c r="E17" s="10">
        <f>IFERROR(_xlfn.XLOOKUP(A17,H09_EJECUCION_PRESUPUESTARIA!B5:B24,H09_EJECUCION_PRESUPUESTARIA!F5:F24),0)</f>
        <v>375000</v>
      </c>
      <c r="F17" s="10">
        <f>IFERROR(_xlfn.XLOOKUP(A17,H09_EJECUCION_PRESUPUESTARIA!B5:B24,H09_EJECUCION_PRESUPUESTARIA!J5:J24),0)</f>
        <v>281250</v>
      </c>
      <c r="G17" s="312">
        <f>IFERROR(_xlfn.XLOOKUP(A17,H09_EJECUCION_PRESUPUESTARIA!B5:B24,H09_EJECUCION_PRESUPUESTARIA!K5:K24),0)</f>
        <v>0.75</v>
      </c>
      <c r="H17" s="7">
        <f>IFERROR(_xlfn.XLOOKUP(A17,H14_CALCULO_ICPI!A6:A25,H14_CALCULO_ICPI!J6:J25),0)</f>
        <v>1</v>
      </c>
      <c r="I17" s="7" t="str">
        <f t="shared" si="0"/>
        <v>EN EJECUCIÓN</v>
      </c>
      <c r="J17" s="7" t="str">
        <f t="shared" si="1"/>
        <v>Avance con trazabilidad verificada</v>
      </c>
    </row>
    <row r="18" spans="1:10" x14ac:dyDescent="0.3">
      <c r="A18" s="6" t="str">
        <f>H05_METAS_PDOT!A12</f>
        <v>PDOT-006</v>
      </c>
      <c r="B18" s="6" t="str">
        <f>IFERROR(_xlfn.XLOOKUP(A18,H05_METAS_PDOT!A7:A26,H05_METAS_PDOT!B7:B26),"")</f>
        <v>Centro salud tipo C parroquia Aníbal San Andrés</v>
      </c>
      <c r="C18" s="6" t="str">
        <f>IFERROR(_xlfn.XLOOKUP(A18,H05_METAS_PDOT!A7:A26,H05_METAS_PDOT!C7:C26),"")</f>
        <v>SC</v>
      </c>
      <c r="D18" s="6" t="str">
        <f>IFERROR(_xlfn.XLOOKUP(A18,H05_METAS_PDOT!A7:A26,H05_METAS_PDOT!N7:N26),"")</f>
        <v>Dir. Planificación</v>
      </c>
      <c r="E18" s="24">
        <f>IFERROR(_xlfn.XLOOKUP(A18,H09_EJECUCION_PRESUPUESTARIA!B5:B24,H09_EJECUCION_PRESUPUESTARIA!F5:F24),0)</f>
        <v>700000</v>
      </c>
      <c r="F18" s="24">
        <f>IFERROR(_xlfn.XLOOKUP(A18,H09_EJECUCION_PRESUPUESTARIA!B5:B24,H09_EJECUCION_PRESUPUESTARIA!J5:J24),0)</f>
        <v>56000</v>
      </c>
      <c r="G18" s="313">
        <f>IFERROR(_xlfn.XLOOKUP(A18,H09_EJECUCION_PRESUPUESTARIA!B5:B24,H09_EJECUCION_PRESUPUESTARIA!K5:K24),0)</f>
        <v>0.08</v>
      </c>
      <c r="H18" s="6">
        <f>IFERROR(_xlfn.XLOOKUP(A18,H14_CALCULO_ICPI!A6:A25,H14_CALCULO_ICPI!J6:J25),0)</f>
        <v>0</v>
      </c>
      <c r="I18" s="6" t="str">
        <f t="shared" si="0"/>
        <v>EN PROCESO — Documentación incompleta</v>
      </c>
      <c r="J18" s="6" t="str">
        <f t="shared" si="1"/>
        <v>Sin trazabilidad documental completa en uno o más silos</v>
      </c>
    </row>
    <row r="19" spans="1:10" x14ac:dyDescent="0.3">
      <c r="A19" s="7" t="str">
        <f>H05_METAS_PDOT!A13</f>
        <v>PDOT-007</v>
      </c>
      <c r="B19" s="7" t="str">
        <f>IFERROR(_xlfn.XLOOKUP(A19,H05_METAS_PDOT!A7:A26,H05_METAS_PDOT!B7:B26),"")</f>
        <v>Equipamiento educativo establecimientos rurales</v>
      </c>
      <c r="C19" s="7" t="str">
        <f>IFERROR(_xlfn.XLOOKUP(A19,H05_METAS_PDOT!A7:A26,H05_METAS_PDOT!C7:C26),"")</f>
        <v>SC</v>
      </c>
      <c r="D19" s="7" t="str">
        <f>IFERROR(_xlfn.XLOOKUP(A19,H05_METAS_PDOT!A7:A26,H05_METAS_PDOT!N7:N26),"")</f>
        <v>Dir. Planificación</v>
      </c>
      <c r="E19" s="10">
        <f>IFERROR(_xlfn.XLOOKUP(A19,H09_EJECUCION_PRESUPUESTARIA!B5:B24,H09_EJECUCION_PRESUPUESTARIA!F5:F24),0)</f>
        <v>237500</v>
      </c>
      <c r="F19" s="10">
        <f>IFERROR(_xlfn.XLOOKUP(A19,H09_EJECUCION_PRESUPUESTARIA!B5:B24,H09_EJECUCION_PRESUPUESTARIA!J5:J24),0)</f>
        <v>185250</v>
      </c>
      <c r="G19" s="312">
        <f>IFERROR(_xlfn.XLOOKUP(A19,H09_EJECUCION_PRESUPUESTARIA!B5:B24,H09_EJECUCION_PRESUPUESTARIA!K5:K24),0)</f>
        <v>0.78</v>
      </c>
      <c r="H19" s="7">
        <f>IFERROR(_xlfn.XLOOKUP(A19,H14_CALCULO_ICPI!A6:A25,H14_CALCULO_ICPI!J6:J25),0)</f>
        <v>1</v>
      </c>
      <c r="I19" s="7" t="str">
        <f t="shared" si="0"/>
        <v>EN EJECUCIÓN</v>
      </c>
      <c r="J19" s="7" t="str">
        <f t="shared" si="1"/>
        <v>Avance con trazabilidad verificada</v>
      </c>
    </row>
    <row r="20" spans="1:10" x14ac:dyDescent="0.3">
      <c r="A20" s="6" t="str">
        <f>H05_METAS_PDOT!A14</f>
        <v>PDOT-008</v>
      </c>
      <c r="B20" s="6" t="str">
        <f>IFERROR(_xlfn.XLOOKUP(A20,H05_METAS_PDOT!A7:A26,H05_METAS_PDOT!B7:B26),"")</f>
        <v>Guardería municipal comunitaria El Carmen</v>
      </c>
      <c r="C20" s="6" t="str">
        <f>IFERROR(_xlfn.XLOOKUP(A20,H05_METAS_PDOT!A7:A26,H05_METAS_PDOT!C7:C26),"")</f>
        <v>SC</v>
      </c>
      <c r="D20" s="6" t="str">
        <f>IFERROR(_xlfn.XLOOKUP(A20,H05_METAS_PDOT!A7:A26,H05_METAS_PDOT!N7:N26),"")</f>
        <v>Dir. Social</v>
      </c>
      <c r="E20" s="24">
        <f>IFERROR(_xlfn.XLOOKUP(A20,H09_EJECUCION_PRESUPUESTARIA!B5:B24,H09_EJECUCION_PRESUPUESTARIA!F5:F24),0)</f>
        <v>300000</v>
      </c>
      <c r="F20" s="24">
        <f>IFERROR(_xlfn.XLOOKUP(A20,H09_EJECUCION_PRESUPUESTARIA!B5:B24,H09_EJECUCION_PRESUPUESTARIA!J5:J24),0)</f>
        <v>0</v>
      </c>
      <c r="G20" s="313">
        <f>IFERROR(_xlfn.XLOOKUP(A20,H09_EJECUCION_PRESUPUESTARIA!B5:B24,H09_EJECUCION_PRESUPUESTARIA!K5:K24),0)</f>
        <v>0</v>
      </c>
      <c r="H20" s="6">
        <f>IFERROR(_xlfn.XLOOKUP(A20,H14_CALCULO_ICPI!A6:A25,H14_CALCULO_ICPI!J6:J25),0)</f>
        <v>0</v>
      </c>
      <c r="I20" s="6" t="str">
        <f t="shared" si="0"/>
        <v>PENDIENTE DE INICIO</v>
      </c>
      <c r="J20" s="6" t="str">
        <f t="shared" si="1"/>
        <v>Sin trazabilidad documental completa en uno o más silos</v>
      </c>
    </row>
    <row r="21" spans="1:10" x14ac:dyDescent="0.3">
      <c r="A21" s="7" t="str">
        <f>H05_METAS_PDOT!A15</f>
        <v>PDOT-009</v>
      </c>
      <c r="B21" s="7" t="str">
        <f>IFERROR(_xlfn.XLOOKUP(A21,H05_METAS_PDOT!A7:A26,H05_METAS_PDOT!B7:B26),"")</f>
        <v>Sistema drenaje pluvial casco urbano</v>
      </c>
      <c r="C21" s="7" t="str">
        <f>IFERROR(_xlfn.XLOOKUP(A21,H05_METAS_PDOT!A7:A26,H05_METAS_PDOT!C7:C26),"")</f>
        <v>OT</v>
      </c>
      <c r="D21" s="7" t="str">
        <f>IFERROR(_xlfn.XLOOKUP(A21,H05_METAS_PDOT!A7:A26,H05_METAS_PDOT!N7:N26),"")</f>
        <v>Dir. Obras Públicas</v>
      </c>
      <c r="E21" s="10">
        <f>IFERROR(_xlfn.XLOOKUP(A21,H09_EJECUCION_PRESUPUESTARIA!B5:B24,H09_EJECUCION_PRESUPUESTARIA!F5:F24),0)</f>
        <v>525000</v>
      </c>
      <c r="F21" s="10">
        <f>IFERROR(_xlfn.XLOOKUP(A21,H09_EJECUCION_PRESUPUESTARIA!B5:B24,H09_EJECUCION_PRESUPUESTARIA!J5:J24),0)</f>
        <v>52500</v>
      </c>
      <c r="G21" s="312">
        <f>IFERROR(_xlfn.XLOOKUP(A21,H09_EJECUCION_PRESUPUESTARIA!B5:B24,H09_EJECUCION_PRESUPUESTARIA!K5:K24),0)</f>
        <v>0.1</v>
      </c>
      <c r="H21" s="7">
        <f>IFERROR(_xlfn.XLOOKUP(A21,H14_CALCULO_ICPI!A6:A25,H14_CALCULO_ICPI!J6:J25),0)</f>
        <v>0</v>
      </c>
      <c r="I21" s="7" t="str">
        <f t="shared" si="0"/>
        <v>EN PROCESO — Documentación incompleta</v>
      </c>
      <c r="J21" s="7" t="str">
        <f t="shared" si="1"/>
        <v>Sin trazabilidad documental completa en uno o más silos</v>
      </c>
    </row>
    <row r="22" spans="1:10" x14ac:dyDescent="0.3">
      <c r="A22" s="6" t="str">
        <f>H05_METAS_PDOT!A16</f>
        <v>PDOT-010</v>
      </c>
      <c r="B22" s="6" t="str">
        <f>IFERROR(_xlfn.XLOOKUP(A22,H05_METAS_PDOT!A7:A26,H05_METAS_PDOT!B7:B26),"")</f>
        <v>Parque recreativo y deportivo sector norte</v>
      </c>
      <c r="C22" s="6" t="str">
        <f>IFERROR(_xlfn.XLOOKUP(A22,H05_METAS_PDOT!A7:A26,H05_METAS_PDOT!C7:C26),"")</f>
        <v>SC</v>
      </c>
      <c r="D22" s="6" t="str">
        <f>IFERROR(_xlfn.XLOOKUP(A22,H05_METAS_PDOT!A7:A26,H05_METAS_PDOT!N7:N26),"")</f>
        <v>Dir. Cultura</v>
      </c>
      <c r="E22" s="24">
        <f>IFERROR(_xlfn.XLOOKUP(A22,H09_EJECUCION_PRESUPUESTARIA!B5:B24,H09_EJECUCION_PRESUPUESTARIA!F5:F24),0)</f>
        <v>112500</v>
      </c>
      <c r="F22" s="24">
        <f>IFERROR(_xlfn.XLOOKUP(A22,H09_EJECUCION_PRESUPUESTARIA!B5:B24,H09_EJECUCION_PRESUPUESTARIA!J5:J24),0)</f>
        <v>112500</v>
      </c>
      <c r="G22" s="313">
        <f>IFERROR(_xlfn.XLOOKUP(A22,H09_EJECUCION_PRESUPUESTARIA!B5:B24,H09_EJECUCION_PRESUPUESTARIA!K5:K24),0)</f>
        <v>1</v>
      </c>
      <c r="H22" s="6">
        <f>IFERROR(_xlfn.XLOOKUP(A22,H14_CALCULO_ICPI!A6:A25,H14_CALCULO_ICPI!J6:J25),0)</f>
        <v>1</v>
      </c>
      <c r="I22" s="6" t="str">
        <f t="shared" si="0"/>
        <v>COMPLETADO</v>
      </c>
      <c r="J22" s="6" t="str">
        <f t="shared" si="1"/>
        <v>Avance con trazabilidad verificada</v>
      </c>
    </row>
    <row r="23" spans="1:10" x14ac:dyDescent="0.3">
      <c r="A23" s="7" t="str">
        <f>H05_METAS_PDOT!A17</f>
        <v>PDOT-011</v>
      </c>
      <c r="B23" s="7" t="str">
        <f>IFERROR(_xlfn.XLOOKUP(A23,H05_METAS_PDOT!A7:A26,H05_METAS_PDOT!B7:B26),"")</f>
        <v>Rehabilitación Malecón costero Montecristi</v>
      </c>
      <c r="C23" s="7" t="str">
        <f>IFERROR(_xlfn.XLOOKUP(A23,H05_METAS_PDOT!A7:A26,H05_METAS_PDOT!C7:C26),"")</f>
        <v>EC</v>
      </c>
      <c r="D23" s="7" t="str">
        <f>IFERROR(_xlfn.XLOOKUP(A23,H05_METAS_PDOT!A7:A26,H05_METAS_PDOT!N7:N26),"")</f>
        <v>Dir. Turismo</v>
      </c>
      <c r="E23" s="10">
        <f>IFERROR(_xlfn.XLOOKUP(A23,H09_EJECUCION_PRESUPUESTARIA!B5:B24,H09_EJECUCION_PRESUPUESTARIA!F5:F24),0)</f>
        <v>450000</v>
      </c>
      <c r="F23" s="10">
        <f>IFERROR(_xlfn.XLOOKUP(A23,H09_EJECUCION_PRESUPUESTARIA!B5:B24,H09_EJECUCION_PRESUPUESTARIA!J5:J24),0)</f>
        <v>315000</v>
      </c>
      <c r="G23" s="312">
        <f>IFERROR(_xlfn.XLOOKUP(A23,H09_EJECUCION_PRESUPUESTARIA!B5:B24,H09_EJECUCION_PRESUPUESTARIA!K5:K24),0)</f>
        <v>0.7</v>
      </c>
      <c r="H23" s="7">
        <f>IFERROR(_xlfn.XLOOKUP(A23,H14_CALCULO_ICPI!A6:A25,H14_CALCULO_ICPI!J6:J25),0)</f>
        <v>1</v>
      </c>
      <c r="I23" s="7" t="str">
        <f t="shared" si="0"/>
        <v>EN EJECUCIÓN</v>
      </c>
      <c r="J23" s="7" t="str">
        <f t="shared" si="1"/>
        <v>Avance con trazabilidad verificada</v>
      </c>
    </row>
    <row r="24" spans="1:10" x14ac:dyDescent="0.3">
      <c r="A24" s="6" t="str">
        <f>H05_METAS_PDOT!A18</f>
        <v>PDOT-012</v>
      </c>
      <c r="B24" s="6" t="str">
        <f>IFERROR(_xlfn.XLOOKUP(A24,H05_METAS_PDOT!A7:A26,H05_METAS_PDOT!B7:B26),"")</f>
        <v>Unidad móvil de salud comunitaria</v>
      </c>
      <c r="C24" s="6" t="str">
        <f>IFERROR(_xlfn.XLOOKUP(A24,H05_METAS_PDOT!A7:A26,H05_METAS_PDOT!C7:C26),"")</f>
        <v>SC</v>
      </c>
      <c r="D24" s="6" t="str">
        <f>IFERROR(_xlfn.XLOOKUP(A24,H05_METAS_PDOT!A7:A26,H05_METAS_PDOT!N7:N26),"")</f>
        <v>Patronato</v>
      </c>
      <c r="E24" s="24">
        <f>IFERROR(_xlfn.XLOOKUP(A24,H09_EJECUCION_PRESUPUESTARIA!B5:B24,H09_EJECUCION_PRESUPUESTARIA!F5:F24),0)</f>
        <v>95000</v>
      </c>
      <c r="F24" s="24">
        <f>IFERROR(_xlfn.XLOOKUP(A24,H09_EJECUCION_PRESUPUESTARIA!B5:B24,H09_EJECUCION_PRESUPUESTARIA!J5:J24),0)</f>
        <v>7600</v>
      </c>
      <c r="G24" s="313">
        <f>IFERROR(_xlfn.XLOOKUP(A24,H09_EJECUCION_PRESUPUESTARIA!B5:B24,H09_EJECUCION_PRESUPUESTARIA!K5:K24),0)</f>
        <v>0.08</v>
      </c>
      <c r="H24" s="6">
        <f>IFERROR(_xlfn.XLOOKUP(A24,H14_CALCULO_ICPI!A6:A25,H14_CALCULO_ICPI!J6:J25),0)</f>
        <v>1</v>
      </c>
      <c r="I24" s="6" t="str">
        <f t="shared" si="0"/>
        <v>EN PROCESO — Documentación incompleta</v>
      </c>
      <c r="J24" s="6" t="str">
        <f t="shared" si="1"/>
        <v>Ejecución presupuestaria menor al 50%</v>
      </c>
    </row>
    <row r="25" spans="1:10" x14ac:dyDescent="0.3">
      <c r="A25" s="7" t="str">
        <f>H05_METAS_PDOT!A19</f>
        <v>PDOT-013</v>
      </c>
      <c r="B25" s="7" t="str">
        <f>IFERROR(_xlfn.XLOOKUP(A25,H05_METAS_PDOT!A7:A26,H05_METAS_PDOT!B7:B26),"")</f>
        <v>Capacitación artesanos sombrero paja toquilla</v>
      </c>
      <c r="C25" s="7" t="str">
        <f>IFERROR(_xlfn.XLOOKUP(A25,H05_METAS_PDOT!A7:A26,H05_METAS_PDOT!C7:C26),"")</f>
        <v>EC</v>
      </c>
      <c r="D25" s="7" t="str">
        <f>IFERROR(_xlfn.XLOOKUP(A25,H05_METAS_PDOT!A7:A26,H05_METAS_PDOT!N7:N26),"")</f>
        <v>Dir. Turismo</v>
      </c>
      <c r="E25" s="10">
        <f>IFERROR(_xlfn.XLOOKUP(A25,H09_EJECUCION_PRESUPUESTARIA!B5:B24,H09_EJECUCION_PRESUPUESTARIA!F5:F24),0)</f>
        <v>45000</v>
      </c>
      <c r="F25" s="10">
        <f>IFERROR(_xlfn.XLOOKUP(A25,H09_EJECUCION_PRESUPUESTARIA!B5:B24,H09_EJECUCION_PRESUPUESTARIA!J5:J24),0)</f>
        <v>45000</v>
      </c>
      <c r="G25" s="312">
        <f>IFERROR(_xlfn.XLOOKUP(A25,H09_EJECUCION_PRESUPUESTARIA!B5:B24,H09_EJECUCION_PRESUPUESTARIA!K5:K24),0)</f>
        <v>1</v>
      </c>
      <c r="H25" s="7">
        <f>IFERROR(_xlfn.XLOOKUP(A25,H14_CALCULO_ICPI!A6:A25,H14_CALCULO_ICPI!J6:J25),0)</f>
        <v>1</v>
      </c>
      <c r="I25" s="7" t="str">
        <f t="shared" si="0"/>
        <v>COMPLETADO</v>
      </c>
      <c r="J25" s="7" t="str">
        <f t="shared" si="1"/>
        <v>Avance con trazabilidad verificada</v>
      </c>
    </row>
    <row r="26" spans="1:10" x14ac:dyDescent="0.3">
      <c r="A26" s="6" t="str">
        <f>H05_METAS_PDOT!A20</f>
        <v>PDOT-014</v>
      </c>
      <c r="B26" s="6" t="str">
        <f>IFERROR(_xlfn.XLOOKUP(A26,H05_METAS_PDOT!A7:A26,H05_METAS_PDOT!B7:B26),"")</f>
        <v>Ordenamiento territorial y catastro predial</v>
      </c>
      <c r="C26" s="6" t="str">
        <f>IFERROR(_xlfn.XLOOKUP(A26,H05_METAS_PDOT!A7:A26,H05_METAS_PDOT!C7:C26),"")</f>
        <v>PI</v>
      </c>
      <c r="D26" s="6" t="str">
        <f>IFERROR(_xlfn.XLOOKUP(A26,H05_METAS_PDOT!A7:A26,H05_METAS_PDOT!N7:N26),"")</f>
        <v>Dir. Planificación</v>
      </c>
      <c r="E26" s="24">
        <f>IFERROR(_xlfn.XLOOKUP(A26,H09_EJECUCION_PRESUPUESTARIA!B5:B24,H09_EJECUCION_PRESUPUESTARIA!F5:F24),0)</f>
        <v>155000</v>
      </c>
      <c r="F26" s="24">
        <f>IFERROR(_xlfn.XLOOKUP(A26,H09_EJECUCION_PRESUPUESTARIA!B5:B24,H09_EJECUCION_PRESUPUESTARIA!J5:J24),0)</f>
        <v>108500</v>
      </c>
      <c r="G26" s="313">
        <f>IFERROR(_xlfn.XLOOKUP(A26,H09_EJECUCION_PRESUPUESTARIA!B5:B24,H09_EJECUCION_PRESUPUESTARIA!K5:K24),0)</f>
        <v>0.7</v>
      </c>
      <c r="H26" s="6">
        <f>IFERROR(_xlfn.XLOOKUP(A26,H14_CALCULO_ICPI!A6:A25,H14_CALCULO_ICPI!J6:J25),0)</f>
        <v>1</v>
      </c>
      <c r="I26" s="6" t="str">
        <f t="shared" si="0"/>
        <v>EN EJECUCIÓN</v>
      </c>
      <c r="J26" s="6" t="str">
        <f t="shared" si="1"/>
        <v>Avance con trazabilidad verificada</v>
      </c>
    </row>
    <row r="27" spans="1:10" x14ac:dyDescent="0.3">
      <c r="A27" s="7" t="str">
        <f>H05_METAS_PDOT!A21</f>
        <v>PDOT-015</v>
      </c>
      <c r="B27" s="7" t="str">
        <f>IFERROR(_xlfn.XLOOKUP(A27,H05_METAS_PDOT!A7:A26,H05_METAS_PDOT!B7:B26),"")</f>
        <v>Fortalecimiento transparencia municipal LOTAIP</v>
      </c>
      <c r="C27" s="7" t="str">
        <f>IFERROR(_xlfn.XLOOKUP(A27,H05_METAS_PDOT!A7:A26,H05_METAS_PDOT!C7:C26),"")</f>
        <v>PI</v>
      </c>
      <c r="D27" s="7" t="str">
        <f>IFERROR(_xlfn.XLOOKUP(A27,H05_METAS_PDOT!A7:A26,H05_METAS_PDOT!N7:N26),"")</f>
        <v>Dir. Planificación</v>
      </c>
      <c r="E27" s="10">
        <f>IFERROR(_xlfn.XLOOKUP(A27,H09_EJECUCION_PRESUPUESTARIA!B5:B24,H09_EJECUCION_PRESUPUESTARIA!F5:F24),0)</f>
        <v>70000</v>
      </c>
      <c r="F27" s="10">
        <f>IFERROR(_xlfn.XLOOKUP(A27,H09_EJECUCION_PRESUPUESTARIA!B5:B24,H09_EJECUCION_PRESUPUESTARIA!J5:J24),0)</f>
        <v>70000</v>
      </c>
      <c r="G27" s="312">
        <f>IFERROR(_xlfn.XLOOKUP(A27,H09_EJECUCION_PRESUPUESTARIA!B5:B24,H09_EJECUCION_PRESUPUESTARIA!K5:K24),0)</f>
        <v>1</v>
      </c>
      <c r="H27" s="7">
        <f>IFERROR(_xlfn.XLOOKUP(A27,H14_CALCULO_ICPI!A6:A25,H14_CALCULO_ICPI!J6:J25),0)</f>
        <v>1</v>
      </c>
      <c r="I27" s="7" t="str">
        <f t="shared" si="0"/>
        <v>COMPLETADO</v>
      </c>
      <c r="J27" s="7" t="str">
        <f t="shared" si="1"/>
        <v>Avance con trazabilidad verificada</v>
      </c>
    </row>
    <row r="28" spans="1:10" x14ac:dyDescent="0.3">
      <c r="A28" s="6" t="str">
        <f>H05_METAS_PDOT!A22</f>
        <v>PDOT-016</v>
      </c>
      <c r="B28" s="6" t="str">
        <f>IFERROR(_xlfn.XLOOKUP(A28,H05_METAS_PDOT!A7:A26,H05_METAS_PDOT!B7:B26),"")</f>
        <v>Reforestación cuencas hídricas</v>
      </c>
      <c r="C28" s="6" t="str">
        <f>IFERROR(_xlfn.XLOOKUP(A28,H05_METAS_PDOT!A7:A26,H05_METAS_PDOT!C7:C26),"")</f>
        <v>AS</v>
      </c>
      <c r="D28" s="6" t="str">
        <f>IFERROR(_xlfn.XLOOKUP(A28,H05_METAS_PDOT!A7:A26,H05_METAS_PDOT!N7:N26),"")</f>
        <v>Dir. Ambiental</v>
      </c>
      <c r="E28" s="24">
        <f>IFERROR(_xlfn.XLOOKUP(A28,H09_EJECUCION_PRESUPUESTARIA!B5:B24,H09_EJECUCION_PRESUPUESTARIA!F5:F24),0)</f>
        <v>80000</v>
      </c>
      <c r="F28" s="24">
        <f>IFERROR(_xlfn.XLOOKUP(A28,H09_EJECUCION_PRESUPUESTARIA!B5:B24,H09_EJECUCION_PRESUPUESTARIA!J5:J24),0)</f>
        <v>64000</v>
      </c>
      <c r="G28" s="313">
        <f>IFERROR(_xlfn.XLOOKUP(A28,H09_EJECUCION_PRESUPUESTARIA!B5:B24,H09_EJECUCION_PRESUPUESTARIA!K5:K24),0)</f>
        <v>0.8</v>
      </c>
      <c r="H28" s="6">
        <f>IFERROR(_xlfn.XLOOKUP(A28,H14_CALCULO_ICPI!A6:A25,H14_CALCULO_ICPI!J6:J25),0)</f>
        <v>1</v>
      </c>
      <c r="I28" s="6" t="str">
        <f t="shared" si="0"/>
        <v>EN EJECUCIÓN</v>
      </c>
      <c r="J28" s="6" t="str">
        <f t="shared" si="1"/>
        <v>Avance con trazabilidad verificada</v>
      </c>
    </row>
    <row r="29" spans="1:10" x14ac:dyDescent="0.3">
      <c r="A29" s="7" t="str">
        <f>H05_METAS_PDOT!A23</f>
        <v>PDOT-017</v>
      </c>
      <c r="B29" s="7" t="str">
        <f>IFERROR(_xlfn.XLOOKUP(A29,H05_METAS_PDOT!A7:A26,H05_METAS_PDOT!B7:B26),"")</f>
        <v>Bacheo y señalización vías parroquiales</v>
      </c>
      <c r="C29" s="7" t="str">
        <f>IFERROR(_xlfn.XLOOKUP(A29,H05_METAS_PDOT!A7:A26,H05_METAS_PDOT!C7:C26),"")</f>
        <v>OT</v>
      </c>
      <c r="D29" s="7" t="str">
        <f>IFERROR(_xlfn.XLOOKUP(A29,H05_METAS_PDOT!A7:A26,H05_METAS_PDOT!N7:N26),"")</f>
        <v>Dir. Obras Públicas</v>
      </c>
      <c r="E29" s="10">
        <f>IFERROR(_xlfn.XLOOKUP(A29,H09_EJECUCION_PRESUPUESTARIA!B5:B24,H09_EJECUCION_PRESUPUESTARIA!F5:F24),0)</f>
        <v>212500</v>
      </c>
      <c r="F29" s="10">
        <f>IFERROR(_xlfn.XLOOKUP(A29,H09_EJECUCION_PRESUPUESTARIA!B5:B24,H09_EJECUCION_PRESUPUESTARIA!J5:J24),0)</f>
        <v>191250</v>
      </c>
      <c r="G29" s="312">
        <f>IFERROR(_xlfn.XLOOKUP(A29,H09_EJECUCION_PRESUPUESTARIA!B5:B24,H09_EJECUCION_PRESUPUESTARIA!K5:K24),0)</f>
        <v>0.9</v>
      </c>
      <c r="H29" s="7">
        <f>IFERROR(_xlfn.XLOOKUP(A29,H14_CALCULO_ICPI!A6:A25,H14_CALCULO_ICPI!J6:J25),0)</f>
        <v>1</v>
      </c>
      <c r="I29" s="7" t="str">
        <f t="shared" si="0"/>
        <v>COMPLETADO</v>
      </c>
      <c r="J29" s="7" t="str">
        <f t="shared" si="1"/>
        <v>Avance con trazabilidad verificada</v>
      </c>
    </row>
    <row r="30" spans="1:10" x14ac:dyDescent="0.3">
      <c r="A30" s="6" t="str">
        <f>H05_METAS_PDOT!A24</f>
        <v>PDOT-018</v>
      </c>
      <c r="B30" s="6" t="str">
        <f>IFERROR(_xlfn.XLOOKUP(A30,H05_METAS_PDOT!A7:A26,H05_METAS_PDOT!B7:B26),"")</f>
        <v>Programa adulto mayor y discapacidad</v>
      </c>
      <c r="C30" s="6" t="str">
        <f>IFERROR(_xlfn.XLOOKUP(A30,H05_METAS_PDOT!A7:A26,H05_METAS_PDOT!C7:C26),"")</f>
        <v>SC</v>
      </c>
      <c r="D30" s="6" t="str">
        <f>IFERROR(_xlfn.XLOOKUP(A30,H05_METAS_PDOT!A7:A26,H05_METAS_PDOT!N7:N26),"")</f>
        <v>Patronato</v>
      </c>
      <c r="E30" s="24">
        <f>IFERROR(_xlfn.XLOOKUP(A30,H09_EJECUCION_PRESUPUESTARIA!B5:B24,H09_EJECUCION_PRESUPUESTARIA!F5:F24),0)</f>
        <v>105000</v>
      </c>
      <c r="F30" s="24">
        <f>IFERROR(_xlfn.XLOOKUP(A30,H09_EJECUCION_PRESUPUESTARIA!B5:B24,H09_EJECUCION_PRESUPUESTARIA!J5:J24),0)</f>
        <v>0</v>
      </c>
      <c r="G30" s="313">
        <f>IFERROR(_xlfn.XLOOKUP(A30,H09_EJECUCION_PRESUPUESTARIA!B5:B24,H09_EJECUCION_PRESUPUESTARIA!K5:K24),0)</f>
        <v>0</v>
      </c>
      <c r="H30" s="6">
        <f>IFERROR(_xlfn.XLOOKUP(A30,H14_CALCULO_ICPI!A6:A25,H14_CALCULO_ICPI!J6:J25),0)</f>
        <v>0</v>
      </c>
      <c r="I30" s="6" t="str">
        <f t="shared" si="0"/>
        <v>PENDIENTE DE INICIO</v>
      </c>
      <c r="J30" s="6" t="str">
        <f t="shared" si="1"/>
        <v>Sin trazabilidad documental completa en uno o más silos</v>
      </c>
    </row>
    <row r="31" spans="1:10" x14ac:dyDescent="0.3">
      <c r="A31" s="7" t="str">
        <f>H05_METAS_PDOT!A25</f>
        <v>PDOT-019</v>
      </c>
      <c r="B31" s="7" t="str">
        <f>IFERROR(_xlfn.XLOOKUP(A31,H05_METAS_PDOT!A7:A26,H05_METAS_PDOT!B7:B26),"")</f>
        <v>Modernización sistema recaudación municipal</v>
      </c>
      <c r="C31" s="7" t="str">
        <f>IFERROR(_xlfn.XLOOKUP(A31,H05_METAS_PDOT!A7:A26,H05_METAS_PDOT!C7:C26),"")</f>
        <v>PI</v>
      </c>
      <c r="D31" s="7" t="str">
        <f>IFERROR(_xlfn.XLOOKUP(A31,H05_METAS_PDOT!A7:A26,H05_METAS_PDOT!N7:N26),"")</f>
        <v>Dir. Financiera</v>
      </c>
      <c r="E31" s="10">
        <f>IFERROR(_xlfn.XLOOKUP(A31,H09_EJECUCION_PRESUPUESTARIA!B5:B24,H09_EJECUCION_PRESUPUESTARIA!F5:F24),0)</f>
        <v>87500</v>
      </c>
      <c r="F31" s="10">
        <f>IFERROR(_xlfn.XLOOKUP(A31,H09_EJECUCION_PRESUPUESTARIA!B5:B24,H09_EJECUCION_PRESUPUESTARIA!J5:J24),0)</f>
        <v>70000</v>
      </c>
      <c r="G31" s="312">
        <f>IFERROR(_xlfn.XLOOKUP(A31,H09_EJECUCION_PRESUPUESTARIA!B5:B24,H09_EJECUCION_PRESUPUESTARIA!K5:K24),0)</f>
        <v>0.8</v>
      </c>
      <c r="H31" s="7">
        <f>IFERROR(_xlfn.XLOOKUP(A31,H14_CALCULO_ICPI!A6:A25,H14_CALCULO_ICPI!J6:J25),0)</f>
        <v>1</v>
      </c>
      <c r="I31" s="7" t="str">
        <f t="shared" si="0"/>
        <v>EN EJECUCIÓN</v>
      </c>
      <c r="J31" s="7" t="str">
        <f t="shared" si="1"/>
        <v>Avance con trazabilidad verificada</v>
      </c>
    </row>
    <row r="32" spans="1:10" x14ac:dyDescent="0.3">
      <c r="A32" s="6" t="str">
        <f>H05_METAS_PDOT!A26</f>
        <v>PDOT-020</v>
      </c>
      <c r="B32" s="6" t="str">
        <f>IFERROR(_xlfn.XLOOKUP(A32,H05_METAS_PDOT!A7:A26,H05_METAS_PDOT!B7:B26),"")</f>
        <v>Planta tratamiento aguas residuales</v>
      </c>
      <c r="C32" s="6" t="str">
        <f>IFERROR(_xlfn.XLOOKUP(A32,H05_METAS_PDOT!A7:A26,H05_METAS_PDOT!C7:C26),"")</f>
        <v>AS</v>
      </c>
      <c r="D32" s="6" t="str">
        <f>IFERROR(_xlfn.XLOOKUP(A32,H05_METAS_PDOT!A7:A26,H05_METAS_PDOT!N7:N26),"")</f>
        <v>Dir. Obras Públicas</v>
      </c>
      <c r="E32" s="24">
        <f>IFERROR(_xlfn.XLOOKUP(A32,H09_EJECUCION_PRESUPUESTARIA!B5:B24,H09_EJECUCION_PRESUPUESTARIA!F5:F24),0)</f>
        <v>0</v>
      </c>
      <c r="F32" s="24">
        <f>IFERROR(_xlfn.XLOOKUP(A32,H09_EJECUCION_PRESUPUESTARIA!B5:B24,H09_EJECUCION_PRESUPUESTARIA!J5:J24),0)</f>
        <v>0</v>
      </c>
      <c r="G32" s="313">
        <f>IFERROR(_xlfn.XLOOKUP(A32,H09_EJECUCION_PRESUPUESTARIA!B5:B24,H09_EJECUCION_PRESUPUESTARIA!K5:K24),0)</f>
        <v>0</v>
      </c>
      <c r="H32" s="6">
        <f>IFERROR(_xlfn.XLOOKUP(A32,H14_CALCULO_ICPI!A6:A25,H14_CALCULO_ICPI!J6:J25),0)</f>
        <v>1</v>
      </c>
      <c r="I32" s="6" t="str">
        <f t="shared" si="0"/>
        <v>PENDIENTE DE INICIO</v>
      </c>
      <c r="J32" s="6" t="str">
        <f t="shared" si="1"/>
        <v>Ejecución presupuestaria menor al 50%</v>
      </c>
    </row>
    <row r="34" spans="1:10" x14ac:dyDescent="0.3">
      <c r="A34" s="586" t="s">
        <v>2692</v>
      </c>
      <c r="B34" s="471"/>
      <c r="C34" s="471"/>
      <c r="D34" s="471"/>
      <c r="E34" s="471"/>
      <c r="F34" s="471"/>
      <c r="G34" s="471"/>
      <c r="H34" s="471"/>
      <c r="I34" s="471"/>
      <c r="J34" s="471"/>
    </row>
  </sheetData>
  <mergeCells count="5">
    <mergeCell ref="A2:J2"/>
    <mergeCell ref="A3:J3"/>
    <mergeCell ref="A5:J5"/>
    <mergeCell ref="A11:J11"/>
    <mergeCell ref="A34:J34"/>
  </mergeCells>
  <hyperlinks>
    <hyperlink ref="A1" location="'H01_PARAMETROS_GENERALES'!A1" tooltip="Volver a H01_PARAMETROS_GENERALES" display="🔙 Volver al Índice" xr:uid="{0F6F7DD7-0DB4-4770-BE2E-A66DB6241FE4}"/>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BF40-F531-47F6-85AE-0796C8047F35}">
  <dimension ref="A1:G38"/>
  <sheetViews>
    <sheetView zoomScale="150" zoomScaleNormal="150" workbookViewId="0">
      <pane ySplit="5" topLeftCell="A6" activePane="bottomLeft" state="frozen"/>
      <selection pane="bottomLeft" activeCell="A33" sqref="A33"/>
    </sheetView>
  </sheetViews>
  <sheetFormatPr baseColWidth="10" defaultRowHeight="14.4" x14ac:dyDescent="0.3"/>
  <cols>
    <col min="1" max="1" width="22" bestFit="1" customWidth="1"/>
    <col min="2" max="2" width="40.77734375" customWidth="1"/>
    <col min="3" max="3" width="13" customWidth="1"/>
    <col min="4" max="4" width="14.77734375" customWidth="1"/>
    <col min="5" max="5" width="38.88671875" customWidth="1"/>
    <col min="6" max="6" width="37" customWidth="1"/>
    <col min="7" max="7" width="22.21875" customWidth="1"/>
  </cols>
  <sheetData>
    <row r="1" spans="1:7" x14ac:dyDescent="0.3">
      <c r="A1" s="318" t="s">
        <v>2717</v>
      </c>
    </row>
    <row r="2" spans="1:7" ht="18" x14ac:dyDescent="0.35">
      <c r="A2" s="583" t="s">
        <v>2693</v>
      </c>
      <c r="B2" s="471"/>
      <c r="C2" s="471"/>
      <c r="D2" s="471"/>
      <c r="E2" s="471"/>
      <c r="F2" s="471"/>
      <c r="G2" s="471"/>
    </row>
    <row r="3" spans="1:7" x14ac:dyDescent="0.3">
      <c r="A3" s="584" t="s">
        <v>2694</v>
      </c>
      <c r="B3" s="471"/>
      <c r="C3" s="471"/>
      <c r="D3" s="471"/>
      <c r="E3" s="471"/>
      <c r="F3" s="471"/>
      <c r="G3" s="471"/>
    </row>
    <row r="5" spans="1:7" x14ac:dyDescent="0.3">
      <c r="A5" s="457" t="s">
        <v>2695</v>
      </c>
      <c r="B5" s="471"/>
      <c r="C5" s="471"/>
      <c r="D5" s="471"/>
      <c r="E5" s="471"/>
      <c r="F5" s="471"/>
      <c r="G5" s="471"/>
    </row>
    <row r="6" spans="1:7" x14ac:dyDescent="0.3">
      <c r="A6" s="14" t="s">
        <v>2696</v>
      </c>
      <c r="B6" s="14" t="s">
        <v>2697</v>
      </c>
      <c r="C6" s="14" t="s">
        <v>2698</v>
      </c>
      <c r="D6" s="14" t="s">
        <v>2699</v>
      </c>
      <c r="E6" s="14" t="s">
        <v>2700</v>
      </c>
      <c r="F6" s="14" t="s">
        <v>2701</v>
      </c>
    </row>
    <row r="7" spans="1:7" ht="15.6" x14ac:dyDescent="0.3">
      <c r="A7" s="333">
        <f>H16_ITAM_TRANSPARENCIA!B27</f>
        <v>0.62093175853018368</v>
      </c>
      <c r="B7" s="334">
        <f>COUNTIF(H14_CALCULO_ICPI!H6:H25,1)</f>
        <v>10</v>
      </c>
      <c r="C7" s="334">
        <f>COUNTIF(H14_CALCULO_ICPI!H6:H25,0)</f>
        <v>10</v>
      </c>
      <c r="D7" s="334">
        <f>COUNTIF(H08_DOCUMENTOS_LOTAIP!F2:F70,"Accesible")</f>
        <v>35</v>
      </c>
      <c r="E7" s="334">
        <f>COUNTIF(H08_DOCUMENTOS_LOTAIP!F2:F70,"Roto")</f>
        <v>2</v>
      </c>
      <c r="F7" s="334">
        <f>COUNTIF(H08_DOCUMENTOS_LOTAIP!F2:F70,"Ausente")</f>
        <v>22</v>
      </c>
    </row>
    <row r="9" spans="1:7" x14ac:dyDescent="0.3">
      <c r="A9" s="457" t="s">
        <v>2702</v>
      </c>
      <c r="B9" s="471"/>
      <c r="C9" s="471"/>
      <c r="D9" s="471"/>
      <c r="E9" s="471"/>
      <c r="F9" s="471"/>
      <c r="G9" s="471"/>
    </row>
    <row r="10" spans="1:7" x14ac:dyDescent="0.3">
      <c r="A10" s="14" t="s">
        <v>385</v>
      </c>
      <c r="B10" s="14" t="s">
        <v>6</v>
      </c>
      <c r="C10" s="14" t="s">
        <v>1083</v>
      </c>
      <c r="D10" s="14" t="s">
        <v>2703</v>
      </c>
      <c r="E10" s="14" t="s">
        <v>2704</v>
      </c>
      <c r="F10" s="14" t="s">
        <v>2705</v>
      </c>
      <c r="G10" s="14" t="s">
        <v>2706</v>
      </c>
    </row>
    <row r="11" spans="1:7" x14ac:dyDescent="0.3">
      <c r="A11" s="7" t="str">
        <f>H05_METAS_PDOT!A7</f>
        <v>PDOT-001</v>
      </c>
      <c r="B11" s="7" t="str">
        <f>IFERROR(_xlfn.XLOOKUP(A11,H05_METAS_PDOT!A7:A26,H05_METAS_PDOT!B7:B26),"")</f>
        <v>Construcción sistema agua potable zonas rurales</v>
      </c>
      <c r="C11" s="7">
        <f>IFERROR(_xlfn.XLOOKUP(A11,H14_CALCULO_ICPI!A6:A25,H14_CALCULO_ICPI!H6:H25),0)</f>
        <v>0</v>
      </c>
      <c r="D11" s="312">
        <f>IFERROR(_xlfn.XLOOKUP(A11,H16_ITAM_TRANSPARENCIA!A7:A26,H16_ITAM_TRANSPARENCIA!G7:G26)/_xlfn.XLOOKUP(A11,H16_ITAM_TRANSPARENCIA!A7:A26,H16_ITAM_TRANSPARENCIA!F7:F26),0)</f>
        <v>0.5</v>
      </c>
      <c r="E11" s="7" t="str">
        <f t="shared" ref="E11:E30" si="0">IF(AND(C11=1,D11&gt;=0.8),"✅ Transparencia plena",IF(AND(C11=1,D11&gt;=0.6),"🟡 Transparencia parcial — revisar actas",IF(D11&gt;0,"🟠 Documentos con acceso deficiente","🔴 Sin documentación pública accesible")))</f>
        <v>🟠 Documentos con acceso deficiente</v>
      </c>
      <c r="F11" s="7" t="str">
        <f t="shared" ref="F11:F30" si="1">IF(D11&gt;=0.8,"Ninguno",IF(D11&gt;=0.6,"Actas de entrega incompletas",IF(D11&gt;0,"Contrato o acta inaccesible","Contrato + Acta + Informe conformidad")))</f>
        <v>Contrato o acta inaccesible</v>
      </c>
      <c r="G11" s="7">
        <f>IFERROR(_xlfn.XLOOKUP(A11,H17_SENSIBILIDAD_DELTA!A7:A26,H17_SENSIBILIDAD_DELTA!F7:F26),"Ver H17")</f>
        <v>0.85</v>
      </c>
    </row>
    <row r="12" spans="1:7" x14ac:dyDescent="0.3">
      <c r="A12" s="6" t="str">
        <f>H05_METAS_PDOT!A8</f>
        <v>PDOT-002</v>
      </c>
      <c r="B12" s="6" t="str">
        <f>IFERROR(_xlfn.XLOOKUP(A12,H05_METAS_PDOT!A7:A26,H05_METAS_PDOT!B7:B26),"")</f>
        <v>Ampliación red alcantarillado sanitario</v>
      </c>
      <c r="C12" s="6">
        <f>IFERROR(_xlfn.XLOOKUP(A12,H14_CALCULO_ICPI!A6:A25,H14_CALCULO_ICPI!H6:H25),0)</f>
        <v>0</v>
      </c>
      <c r="D12" s="313">
        <f>IFERROR(_xlfn.XLOOKUP(A12,H16_ITAM_TRANSPARENCIA!A7:A26,H16_ITAM_TRANSPARENCIA!G7:G26)/_xlfn.XLOOKUP(A12,H16_ITAM_TRANSPARENCIA!A7:A26,H16_ITAM_TRANSPARENCIA!F7:F26),0)</f>
        <v>0.5</v>
      </c>
      <c r="E12" s="6" t="str">
        <f t="shared" si="0"/>
        <v>🟠 Documentos con acceso deficiente</v>
      </c>
      <c r="F12" s="6" t="str">
        <f t="shared" si="1"/>
        <v>Contrato o acta inaccesible</v>
      </c>
      <c r="G12" s="6">
        <f>IFERROR(_xlfn.XLOOKUP(A12,H17_SENSIBILIDAD_DELTA!A7:A26,H17_SENSIBILIDAD_DELTA!F7:F26),"Ver H17")</f>
        <v>0.06</v>
      </c>
    </row>
    <row r="13" spans="1:7" x14ac:dyDescent="0.3">
      <c r="A13" s="7" t="str">
        <f>H05_METAS_PDOT!A9</f>
        <v>PDOT-003</v>
      </c>
      <c r="B13" s="7" t="str">
        <f>IFERROR(_xlfn.XLOOKUP(A13,H05_METAS_PDOT!A7:A26,H05_METAS_PDOT!B7:B26),"")</f>
        <v>Sistema manejo integral desechos sólidos</v>
      </c>
      <c r="C13" s="7">
        <f>IFERROR(_xlfn.XLOOKUP(A13,H14_CALCULO_ICPI!A6:A25,H14_CALCULO_ICPI!H6:H25),0)</f>
        <v>0</v>
      </c>
      <c r="D13" s="312">
        <f>IFERROR(_xlfn.XLOOKUP(A13,H16_ITAM_TRANSPARENCIA!A7:A26,H16_ITAM_TRANSPARENCIA!G7:G26)/_xlfn.XLOOKUP(A13,H16_ITAM_TRANSPARENCIA!A7:A26,H16_ITAM_TRANSPARENCIA!F7:F26),0)</f>
        <v>0.5</v>
      </c>
      <c r="E13" s="7" t="str">
        <f t="shared" si="0"/>
        <v>🟠 Documentos con acceso deficiente</v>
      </c>
      <c r="F13" s="7" t="str">
        <f t="shared" si="1"/>
        <v>Contrato o acta inaccesible</v>
      </c>
      <c r="G13" s="7">
        <f>IFERROR(_xlfn.XLOOKUP(A13,H17_SENSIBILIDAD_DELTA!A7:A26,H17_SENSIBILIDAD_DELTA!F7:F26),"Ver H17")</f>
        <v>0</v>
      </c>
    </row>
    <row r="14" spans="1:7" x14ac:dyDescent="0.3">
      <c r="A14" s="6" t="str">
        <f>H05_METAS_PDOT!A10</f>
        <v>PDOT-004</v>
      </c>
      <c r="B14" s="6" t="str">
        <f>IFERROR(_xlfn.XLOOKUP(A14,H05_METAS_PDOT!A7:A26,H05_METAS_PDOT!B7:B26),"")</f>
        <v>Mejoramiento vialidad urbana cantonal</v>
      </c>
      <c r="C14" s="6">
        <f>IFERROR(_xlfn.XLOOKUP(A14,H14_CALCULO_ICPI!A6:A25,H14_CALCULO_ICPI!H6:H25),0)</f>
        <v>1</v>
      </c>
      <c r="D14" s="313">
        <f>IFERROR(_xlfn.XLOOKUP(A14,H16_ITAM_TRANSPARENCIA!A7:A26,H16_ITAM_TRANSPARENCIA!G7:G26)/_xlfn.XLOOKUP(A14,H16_ITAM_TRANSPARENCIA!A7:A26,H16_ITAM_TRANSPARENCIA!F7:F26),0)</f>
        <v>1</v>
      </c>
      <c r="E14" s="6" t="str">
        <f t="shared" si="0"/>
        <v>✅ Transparencia plena</v>
      </c>
      <c r="F14" s="6" t="str">
        <f t="shared" si="1"/>
        <v>Ninguno</v>
      </c>
      <c r="G14" s="6">
        <f>IFERROR(_xlfn.XLOOKUP(A14,H17_SENSIBILIDAD_DELTA!A7:A26,H17_SENSIBILIDAD_DELTA!F7:F26),"Ver H17")</f>
        <v>0.9</v>
      </c>
    </row>
    <row r="15" spans="1:7" x14ac:dyDescent="0.3">
      <c r="A15" s="7" t="str">
        <f>H05_METAS_PDOT!A11</f>
        <v>PDOT-005</v>
      </c>
      <c r="B15" s="7" t="str">
        <f>IFERROR(_xlfn.XLOOKUP(A15,H05_METAS_PDOT!A7:A26,H05_METAS_PDOT!B7:B26),"")</f>
        <v>Construcción y rehabilitación mercado municipal</v>
      </c>
      <c r="C15" s="7">
        <f>IFERROR(_xlfn.XLOOKUP(A15,H14_CALCULO_ICPI!A6:A25,H14_CALCULO_ICPI!H6:H25),0)</f>
        <v>0</v>
      </c>
      <c r="D15" s="312">
        <f>IFERROR(_xlfn.XLOOKUP(A15,H16_ITAM_TRANSPARENCIA!A7:A26,H16_ITAM_TRANSPARENCIA!G7:G26)/_xlfn.XLOOKUP(A15,H16_ITAM_TRANSPARENCIA!A7:A26,H16_ITAM_TRANSPARENCIA!F7:F26),0)</f>
        <v>0.5</v>
      </c>
      <c r="E15" s="7" t="str">
        <f t="shared" si="0"/>
        <v>🟠 Documentos con acceso deficiente</v>
      </c>
      <c r="F15" s="7" t="str">
        <f t="shared" si="1"/>
        <v>Contrato o acta inaccesible</v>
      </c>
      <c r="G15" s="7">
        <f>IFERROR(_xlfn.XLOOKUP(A15,H17_SENSIBILIDAD_DELTA!A7:A26,H17_SENSIBILIDAD_DELTA!F7:F26),"Ver H17")</f>
        <v>0.75</v>
      </c>
    </row>
    <row r="16" spans="1:7" x14ac:dyDescent="0.3">
      <c r="A16" s="6" t="str">
        <f>H05_METAS_PDOT!A12</f>
        <v>PDOT-006</v>
      </c>
      <c r="B16" s="6" t="str">
        <f>IFERROR(_xlfn.XLOOKUP(A16,H05_METAS_PDOT!A7:A26,H05_METAS_PDOT!B7:B26),"")</f>
        <v>Centro salud tipo C parroquia Aníbal San Andrés</v>
      </c>
      <c r="C16" s="6">
        <f>IFERROR(_xlfn.XLOOKUP(A16,H14_CALCULO_ICPI!A6:A25,H14_CALCULO_ICPI!H6:H25),0)</f>
        <v>0</v>
      </c>
      <c r="D16" s="313">
        <f>IFERROR(_xlfn.XLOOKUP(A16,H16_ITAM_TRANSPARENCIA!A7:A26,H16_ITAM_TRANSPARENCIA!G7:G26)/_xlfn.XLOOKUP(A16,H16_ITAM_TRANSPARENCIA!A7:A26,H16_ITAM_TRANSPARENCIA!F7:F26),0)</f>
        <v>0.5</v>
      </c>
      <c r="E16" s="6" t="str">
        <f t="shared" si="0"/>
        <v>🟠 Documentos con acceso deficiente</v>
      </c>
      <c r="F16" s="6" t="str">
        <f t="shared" si="1"/>
        <v>Contrato o acta inaccesible</v>
      </c>
      <c r="G16" s="6">
        <f>IFERROR(_xlfn.XLOOKUP(A16,H17_SENSIBILIDAD_DELTA!A7:A26,H17_SENSIBILIDAD_DELTA!F7:F26),"Ver H17")</f>
        <v>0.08</v>
      </c>
    </row>
    <row r="17" spans="1:7" x14ac:dyDescent="0.3">
      <c r="A17" s="7" t="str">
        <f>H05_METAS_PDOT!A13</f>
        <v>PDOT-007</v>
      </c>
      <c r="B17" s="7" t="str">
        <f>IFERROR(_xlfn.XLOOKUP(A17,H05_METAS_PDOT!A7:A26,H05_METAS_PDOT!B7:B26),"")</f>
        <v>Equipamiento educativo establecimientos rurales</v>
      </c>
      <c r="C17" s="7">
        <f>IFERROR(_xlfn.XLOOKUP(A17,H14_CALCULO_ICPI!A6:A25,H14_CALCULO_ICPI!H6:H25),0)</f>
        <v>0</v>
      </c>
      <c r="D17" s="312">
        <f>IFERROR(_xlfn.XLOOKUP(A17,H16_ITAM_TRANSPARENCIA!A7:A26,H16_ITAM_TRANSPARENCIA!G7:G26)/_xlfn.XLOOKUP(A17,H16_ITAM_TRANSPARENCIA!A7:A26,H16_ITAM_TRANSPARENCIA!F7:F26),0)</f>
        <v>0.75</v>
      </c>
      <c r="E17" s="7" t="str">
        <f t="shared" si="0"/>
        <v>🟠 Documentos con acceso deficiente</v>
      </c>
      <c r="F17" s="7" t="str">
        <f t="shared" si="1"/>
        <v>Actas de entrega incompletas</v>
      </c>
      <c r="G17" s="7">
        <f>IFERROR(_xlfn.XLOOKUP(A17,H17_SENSIBILIDAD_DELTA!A7:A26,H17_SENSIBILIDAD_DELTA!F7:F26),"Ver H17")</f>
        <v>0.78</v>
      </c>
    </row>
    <row r="18" spans="1:7" x14ac:dyDescent="0.3">
      <c r="A18" s="6" t="str">
        <f>H05_METAS_PDOT!A14</f>
        <v>PDOT-008</v>
      </c>
      <c r="B18" s="6" t="str">
        <f>IFERROR(_xlfn.XLOOKUP(A18,H05_METAS_PDOT!A7:A26,H05_METAS_PDOT!B7:B26),"")</f>
        <v>Guardería municipal comunitaria El Carmen</v>
      </c>
      <c r="C18" s="6">
        <f>IFERROR(_xlfn.XLOOKUP(A18,H14_CALCULO_ICPI!A6:A25,H14_CALCULO_ICPI!H6:H25),0)</f>
        <v>0</v>
      </c>
      <c r="D18" s="313">
        <f>IFERROR(_xlfn.XLOOKUP(A18,H16_ITAM_TRANSPARENCIA!A7:A26,H16_ITAM_TRANSPARENCIA!G7:G26)/_xlfn.XLOOKUP(A18,H16_ITAM_TRANSPARENCIA!A7:A26,H16_ITAM_TRANSPARENCIA!F7:F26),0)</f>
        <v>0.5</v>
      </c>
      <c r="E18" s="6" t="str">
        <f t="shared" si="0"/>
        <v>🟠 Documentos con acceso deficiente</v>
      </c>
      <c r="F18" s="6" t="str">
        <f t="shared" si="1"/>
        <v>Contrato o acta inaccesible</v>
      </c>
      <c r="G18" s="6">
        <f>IFERROR(_xlfn.XLOOKUP(A18,H17_SENSIBILIDAD_DELTA!A7:A26,H17_SENSIBILIDAD_DELTA!F7:F26),"Ver H17")</f>
        <v>0</v>
      </c>
    </row>
    <row r="19" spans="1:7" x14ac:dyDescent="0.3">
      <c r="A19" s="7" t="str">
        <f>H05_METAS_PDOT!A15</f>
        <v>PDOT-009</v>
      </c>
      <c r="B19" s="7" t="str">
        <f>IFERROR(_xlfn.XLOOKUP(A19,H05_METAS_PDOT!A7:A26,H05_METAS_PDOT!B7:B26),"")</f>
        <v>Sistema drenaje pluvial casco urbano</v>
      </c>
      <c r="C19" s="7">
        <f>IFERROR(_xlfn.XLOOKUP(A19,H14_CALCULO_ICPI!A6:A25,H14_CALCULO_ICPI!H6:H25),0)</f>
        <v>0</v>
      </c>
      <c r="D19" s="312">
        <f>IFERROR(_xlfn.XLOOKUP(A19,H16_ITAM_TRANSPARENCIA!A7:A26,H16_ITAM_TRANSPARENCIA!G7:G26)/_xlfn.XLOOKUP(A19,H16_ITAM_TRANSPARENCIA!A7:A26,H16_ITAM_TRANSPARENCIA!F7:F26),0)</f>
        <v>0.5</v>
      </c>
      <c r="E19" s="7" t="str">
        <f t="shared" si="0"/>
        <v>🟠 Documentos con acceso deficiente</v>
      </c>
      <c r="F19" s="7" t="str">
        <f t="shared" si="1"/>
        <v>Contrato o acta inaccesible</v>
      </c>
      <c r="G19" s="7">
        <f>IFERROR(_xlfn.XLOOKUP(A19,H17_SENSIBILIDAD_DELTA!A7:A26,H17_SENSIBILIDAD_DELTA!F7:F26),"Ver H17")</f>
        <v>0.1</v>
      </c>
    </row>
    <row r="20" spans="1:7" x14ac:dyDescent="0.3">
      <c r="A20" s="6" t="str">
        <f>H05_METAS_PDOT!A16</f>
        <v>PDOT-010</v>
      </c>
      <c r="B20" s="6" t="str">
        <f>IFERROR(_xlfn.XLOOKUP(A20,H05_METAS_PDOT!A7:A26,H05_METAS_PDOT!B7:B26),"")</f>
        <v>Parque recreativo y deportivo sector norte</v>
      </c>
      <c r="C20" s="6">
        <f>IFERROR(_xlfn.XLOOKUP(A20,H14_CALCULO_ICPI!A6:A25,H14_CALCULO_ICPI!H6:H25),0)</f>
        <v>1</v>
      </c>
      <c r="D20" s="313">
        <f>IFERROR(_xlfn.XLOOKUP(A20,H16_ITAM_TRANSPARENCIA!A7:A26,H16_ITAM_TRANSPARENCIA!G7:G26)/_xlfn.XLOOKUP(A20,H16_ITAM_TRANSPARENCIA!A7:A26,H16_ITAM_TRANSPARENCIA!F7:F26),0)</f>
        <v>1</v>
      </c>
      <c r="E20" s="6" t="str">
        <f t="shared" si="0"/>
        <v>✅ Transparencia plena</v>
      </c>
      <c r="F20" s="6" t="str">
        <f t="shared" si="1"/>
        <v>Ninguno</v>
      </c>
      <c r="G20" s="6">
        <f>IFERROR(_xlfn.XLOOKUP(A20,H17_SENSIBILIDAD_DELTA!A7:A26,H17_SENSIBILIDAD_DELTA!F7:F26),"Ver H17")</f>
        <v>1</v>
      </c>
    </row>
    <row r="21" spans="1:7" x14ac:dyDescent="0.3">
      <c r="A21" s="7" t="str">
        <f>H05_METAS_PDOT!A17</f>
        <v>PDOT-011</v>
      </c>
      <c r="B21" s="7" t="str">
        <f>IFERROR(_xlfn.XLOOKUP(A21,H05_METAS_PDOT!A7:A26,H05_METAS_PDOT!B7:B26),"")</f>
        <v>Rehabilitación Malecón costero Montecristi</v>
      </c>
      <c r="C21" s="7">
        <f>IFERROR(_xlfn.XLOOKUP(A21,H14_CALCULO_ICPI!A6:A25,H14_CALCULO_ICPI!H6:H25),0)</f>
        <v>1</v>
      </c>
      <c r="D21" s="312">
        <f>IFERROR(_xlfn.XLOOKUP(A21,H16_ITAM_TRANSPARENCIA!A7:A26,H16_ITAM_TRANSPARENCIA!G7:G26)/_xlfn.XLOOKUP(A21,H16_ITAM_TRANSPARENCIA!A7:A26,H16_ITAM_TRANSPARENCIA!F7:F26),0)</f>
        <v>0.75</v>
      </c>
      <c r="E21" s="7" t="str">
        <f t="shared" si="0"/>
        <v>🟡 Transparencia parcial — revisar actas</v>
      </c>
      <c r="F21" s="7" t="str">
        <f t="shared" si="1"/>
        <v>Actas de entrega incompletas</v>
      </c>
      <c r="G21" s="7">
        <f>IFERROR(_xlfn.XLOOKUP(A21,H17_SENSIBILIDAD_DELTA!A7:A26,H17_SENSIBILIDAD_DELTA!F7:F26),"Ver H17")</f>
        <v>0.7</v>
      </c>
    </row>
    <row r="22" spans="1:7" x14ac:dyDescent="0.3">
      <c r="A22" s="6" t="str">
        <f>H05_METAS_PDOT!A18</f>
        <v>PDOT-012</v>
      </c>
      <c r="B22" s="6" t="str">
        <f>IFERROR(_xlfn.XLOOKUP(A22,H05_METAS_PDOT!A7:A26,H05_METAS_PDOT!B7:B26),"")</f>
        <v>Unidad móvil de salud comunitaria</v>
      </c>
      <c r="C22" s="6">
        <f>IFERROR(_xlfn.XLOOKUP(A22,H14_CALCULO_ICPI!A6:A25,H14_CALCULO_ICPI!H6:H25),0)</f>
        <v>1</v>
      </c>
      <c r="D22" s="313">
        <f>IFERROR(_xlfn.XLOOKUP(A22,H16_ITAM_TRANSPARENCIA!A7:A26,H16_ITAM_TRANSPARENCIA!G7:G26)/_xlfn.XLOOKUP(A22,H16_ITAM_TRANSPARENCIA!A7:A26,H16_ITAM_TRANSPARENCIA!F7:F26),0)</f>
        <v>1</v>
      </c>
      <c r="E22" s="6" t="str">
        <f t="shared" si="0"/>
        <v>✅ Transparencia plena</v>
      </c>
      <c r="F22" s="6" t="str">
        <f t="shared" si="1"/>
        <v>Ninguno</v>
      </c>
      <c r="G22" s="6">
        <f>IFERROR(_xlfn.XLOOKUP(A22,H17_SENSIBILIDAD_DELTA!A7:A26,H17_SENSIBILIDAD_DELTA!F7:F26),"Ver H17")</f>
        <v>0.08</v>
      </c>
    </row>
    <row r="23" spans="1:7" x14ac:dyDescent="0.3">
      <c r="A23" s="7" t="str">
        <f>H05_METAS_PDOT!A19</f>
        <v>PDOT-013</v>
      </c>
      <c r="B23" s="7" t="str">
        <f>IFERROR(_xlfn.XLOOKUP(A23,H05_METAS_PDOT!A7:A26,H05_METAS_PDOT!B7:B26),"")</f>
        <v>Capacitación artesanos sombrero paja toquilla</v>
      </c>
      <c r="C23" s="7">
        <f>IFERROR(_xlfn.XLOOKUP(A23,H14_CALCULO_ICPI!A6:A25,H14_CALCULO_ICPI!H6:H25),0)</f>
        <v>1</v>
      </c>
      <c r="D23" s="312">
        <f>IFERROR(_xlfn.XLOOKUP(A23,H16_ITAM_TRANSPARENCIA!A7:A26,H16_ITAM_TRANSPARENCIA!G7:G26)/_xlfn.XLOOKUP(A23,H16_ITAM_TRANSPARENCIA!A7:A26,H16_ITAM_TRANSPARENCIA!F7:F26),0)</f>
        <v>1</v>
      </c>
      <c r="E23" s="7" t="str">
        <f t="shared" si="0"/>
        <v>✅ Transparencia plena</v>
      </c>
      <c r="F23" s="7" t="str">
        <f t="shared" si="1"/>
        <v>Ninguno</v>
      </c>
      <c r="G23" s="7">
        <f>IFERROR(_xlfn.XLOOKUP(A23,H17_SENSIBILIDAD_DELTA!A7:A26,H17_SENSIBILIDAD_DELTA!F7:F26),"Ver H17")</f>
        <v>1</v>
      </c>
    </row>
    <row r="24" spans="1:7" x14ac:dyDescent="0.3">
      <c r="A24" s="6" t="str">
        <f>H05_METAS_PDOT!A20</f>
        <v>PDOT-014</v>
      </c>
      <c r="B24" s="6" t="str">
        <f>IFERROR(_xlfn.XLOOKUP(A24,H05_METAS_PDOT!A7:A26,H05_METAS_PDOT!B7:B26),"")</f>
        <v>Ordenamiento territorial y catastro predial</v>
      </c>
      <c r="C24" s="6">
        <f>IFERROR(_xlfn.XLOOKUP(A24,H14_CALCULO_ICPI!A6:A25,H14_CALCULO_ICPI!H6:H25),0)</f>
        <v>0</v>
      </c>
      <c r="D24" s="313">
        <f>IFERROR(_xlfn.XLOOKUP(A24,H16_ITAM_TRANSPARENCIA!A7:A26,H16_ITAM_TRANSPARENCIA!G7:G26)/_xlfn.XLOOKUP(A24,H16_ITAM_TRANSPARENCIA!A7:A26,H16_ITAM_TRANSPARENCIA!F7:F26),0)</f>
        <v>0.75</v>
      </c>
      <c r="E24" s="6" t="str">
        <f t="shared" si="0"/>
        <v>🟠 Documentos con acceso deficiente</v>
      </c>
      <c r="F24" s="6" t="str">
        <f t="shared" si="1"/>
        <v>Actas de entrega incompletas</v>
      </c>
      <c r="G24" s="6">
        <f>IFERROR(_xlfn.XLOOKUP(A24,H17_SENSIBILIDAD_DELTA!A7:A26,H17_SENSIBILIDAD_DELTA!F7:F26),"Ver H17")</f>
        <v>0.7</v>
      </c>
    </row>
    <row r="25" spans="1:7" x14ac:dyDescent="0.3">
      <c r="A25" s="7" t="str">
        <f>H05_METAS_PDOT!A21</f>
        <v>PDOT-015</v>
      </c>
      <c r="B25" s="7" t="str">
        <f>IFERROR(_xlfn.XLOOKUP(A25,H05_METAS_PDOT!A7:A26,H05_METAS_PDOT!B7:B26),"")</f>
        <v>Fortalecimiento transparencia municipal LOTAIP</v>
      </c>
      <c r="C25" s="7">
        <f>IFERROR(_xlfn.XLOOKUP(A25,H14_CALCULO_ICPI!A6:A25,H14_CALCULO_ICPI!H6:H25),0)</f>
        <v>1</v>
      </c>
      <c r="D25" s="312">
        <f>IFERROR(_xlfn.XLOOKUP(A25,H16_ITAM_TRANSPARENCIA!A7:A26,H16_ITAM_TRANSPARENCIA!G7:G26)/_xlfn.XLOOKUP(A25,H16_ITAM_TRANSPARENCIA!A7:A26,H16_ITAM_TRANSPARENCIA!F7:F26),0)</f>
        <v>1</v>
      </c>
      <c r="E25" s="7" t="str">
        <f t="shared" si="0"/>
        <v>✅ Transparencia plena</v>
      </c>
      <c r="F25" s="7" t="str">
        <f t="shared" si="1"/>
        <v>Ninguno</v>
      </c>
      <c r="G25" s="7">
        <f>IFERROR(_xlfn.XLOOKUP(A25,H17_SENSIBILIDAD_DELTA!A7:A26,H17_SENSIBILIDAD_DELTA!F7:F26),"Ver H17")</f>
        <v>1</v>
      </c>
    </row>
    <row r="26" spans="1:7" x14ac:dyDescent="0.3">
      <c r="A26" s="6" t="str">
        <f>H05_METAS_PDOT!A22</f>
        <v>PDOT-016</v>
      </c>
      <c r="B26" s="6" t="str">
        <f>IFERROR(_xlfn.XLOOKUP(A26,H05_METAS_PDOT!A7:A26,H05_METAS_PDOT!B7:B26),"")</f>
        <v>Reforestación cuencas hídricas</v>
      </c>
      <c r="C26" s="6">
        <f>IFERROR(_xlfn.XLOOKUP(A26,H14_CALCULO_ICPI!A6:A25,H14_CALCULO_ICPI!H6:H25),0)</f>
        <v>1</v>
      </c>
      <c r="D26" s="313">
        <f>IFERROR(_xlfn.XLOOKUP(A26,H16_ITAM_TRANSPARENCIA!A7:A26,H16_ITAM_TRANSPARENCIA!G7:G26)/_xlfn.XLOOKUP(A26,H16_ITAM_TRANSPARENCIA!A7:A26,H16_ITAM_TRANSPARENCIA!F7:F26),0)</f>
        <v>0.75</v>
      </c>
      <c r="E26" s="6" t="str">
        <f t="shared" si="0"/>
        <v>🟡 Transparencia parcial — revisar actas</v>
      </c>
      <c r="F26" s="6" t="str">
        <f t="shared" si="1"/>
        <v>Actas de entrega incompletas</v>
      </c>
      <c r="G26" s="6">
        <f>IFERROR(_xlfn.XLOOKUP(A26,H17_SENSIBILIDAD_DELTA!A7:A26,H17_SENSIBILIDAD_DELTA!F7:F26),"Ver H17")</f>
        <v>0.8</v>
      </c>
    </row>
    <row r="27" spans="1:7" x14ac:dyDescent="0.3">
      <c r="A27" s="7" t="str">
        <f>H05_METAS_PDOT!A23</f>
        <v>PDOT-017</v>
      </c>
      <c r="B27" s="7" t="str">
        <f>IFERROR(_xlfn.XLOOKUP(A27,H05_METAS_PDOT!A7:A26,H05_METAS_PDOT!B7:B26),"")</f>
        <v>Bacheo y señalización vías parroquiales</v>
      </c>
      <c r="C27" s="7">
        <f>IFERROR(_xlfn.XLOOKUP(A27,H14_CALCULO_ICPI!A6:A25,H14_CALCULO_ICPI!H6:H25),0)</f>
        <v>1</v>
      </c>
      <c r="D27" s="312">
        <f>IFERROR(_xlfn.XLOOKUP(A27,H16_ITAM_TRANSPARENCIA!A7:A26,H16_ITAM_TRANSPARENCIA!G7:G26)/_xlfn.XLOOKUP(A27,H16_ITAM_TRANSPARENCIA!A7:A26,H16_ITAM_TRANSPARENCIA!F7:F26),0)</f>
        <v>1</v>
      </c>
      <c r="E27" s="7" t="str">
        <f t="shared" si="0"/>
        <v>✅ Transparencia plena</v>
      </c>
      <c r="F27" s="7" t="str">
        <f t="shared" si="1"/>
        <v>Ninguno</v>
      </c>
      <c r="G27" s="7">
        <f>IFERROR(_xlfn.XLOOKUP(A27,H17_SENSIBILIDAD_DELTA!A7:A26,H17_SENSIBILIDAD_DELTA!F7:F26),"Ver H17")</f>
        <v>0.9</v>
      </c>
    </row>
    <row r="28" spans="1:7" x14ac:dyDescent="0.3">
      <c r="A28" s="6" t="str">
        <f>H05_METAS_PDOT!A24</f>
        <v>PDOT-018</v>
      </c>
      <c r="B28" s="6" t="str">
        <f>IFERROR(_xlfn.XLOOKUP(A28,H05_METAS_PDOT!A7:A26,H05_METAS_PDOT!B7:B26),"")</f>
        <v>Programa adulto mayor y discapacidad</v>
      </c>
      <c r="C28" s="6">
        <f>IFERROR(_xlfn.XLOOKUP(A28,H14_CALCULO_ICPI!A6:A25,H14_CALCULO_ICPI!H6:H25),0)</f>
        <v>0</v>
      </c>
      <c r="D28" s="313">
        <f>IFERROR(_xlfn.XLOOKUP(A28,H16_ITAM_TRANSPARENCIA!A7:A26,H16_ITAM_TRANSPARENCIA!G7:G26)/_xlfn.XLOOKUP(A28,H16_ITAM_TRANSPARENCIA!A7:A26,H16_ITAM_TRANSPARENCIA!F7:F26),0)</f>
        <v>0</v>
      </c>
      <c r="E28" s="6" t="str">
        <f t="shared" si="0"/>
        <v>🔴 Sin documentación pública accesible</v>
      </c>
      <c r="F28" s="6" t="str">
        <f t="shared" si="1"/>
        <v>Contrato + Acta + Informe conformidad</v>
      </c>
      <c r="G28" s="6">
        <f>IFERROR(_xlfn.XLOOKUP(A28,H17_SENSIBILIDAD_DELTA!A7:A26,H17_SENSIBILIDAD_DELTA!F7:F26),"Ver H17")</f>
        <v>0</v>
      </c>
    </row>
    <row r="29" spans="1:7" x14ac:dyDescent="0.3">
      <c r="A29" s="7" t="str">
        <f>H05_METAS_PDOT!A25</f>
        <v>PDOT-019</v>
      </c>
      <c r="B29" s="7" t="str">
        <f>IFERROR(_xlfn.XLOOKUP(A29,H05_METAS_PDOT!A7:A26,H05_METAS_PDOT!B7:B26),"")</f>
        <v>Modernización sistema recaudación municipal</v>
      </c>
      <c r="C29" s="7">
        <f>IFERROR(_xlfn.XLOOKUP(A29,H14_CALCULO_ICPI!A6:A25,H14_CALCULO_ICPI!H6:H25),0)</f>
        <v>1</v>
      </c>
      <c r="D29" s="312">
        <f>IFERROR(_xlfn.XLOOKUP(A29,H16_ITAM_TRANSPARENCIA!A7:A26,H16_ITAM_TRANSPARENCIA!G7:G26)/_xlfn.XLOOKUP(A29,H16_ITAM_TRANSPARENCIA!A7:A26,H16_ITAM_TRANSPARENCIA!F7:F26),0)</f>
        <v>1</v>
      </c>
      <c r="E29" s="7" t="str">
        <f t="shared" si="0"/>
        <v>✅ Transparencia plena</v>
      </c>
      <c r="F29" s="7" t="str">
        <f t="shared" si="1"/>
        <v>Ninguno</v>
      </c>
      <c r="G29" s="7">
        <f>IFERROR(_xlfn.XLOOKUP(A29,H17_SENSIBILIDAD_DELTA!A7:A26,H17_SENSIBILIDAD_DELTA!F7:F26),"Ver H17")</f>
        <v>0.8</v>
      </c>
    </row>
    <row r="30" spans="1:7" x14ac:dyDescent="0.3">
      <c r="A30" s="6" t="str">
        <f>H05_METAS_PDOT!A26</f>
        <v>PDOT-020</v>
      </c>
      <c r="B30" s="6" t="str">
        <f>IFERROR(_xlfn.XLOOKUP(A30,H05_METAS_PDOT!A7:A26,H05_METAS_PDOT!B7:B26),"")</f>
        <v>Planta tratamiento aguas residuales</v>
      </c>
      <c r="C30" s="6">
        <f>IFERROR(_xlfn.XLOOKUP(A30,H14_CALCULO_ICPI!A6:A25,H14_CALCULO_ICPI!H6:H25),0)</f>
        <v>1</v>
      </c>
      <c r="D30" s="313">
        <f>IFERROR(_xlfn.XLOOKUP(A30,H16_ITAM_TRANSPARENCIA!A7:A26,H16_ITAM_TRANSPARENCIA!G7:G26)/_xlfn.XLOOKUP(A30,H16_ITAM_TRANSPARENCIA!A7:A26,H16_ITAM_TRANSPARENCIA!F7:F26),0)</f>
        <v>0.75</v>
      </c>
      <c r="E30" s="6" t="str">
        <f t="shared" si="0"/>
        <v>🟡 Transparencia parcial — revisar actas</v>
      </c>
      <c r="F30" s="6" t="str">
        <f t="shared" si="1"/>
        <v>Actas de entrega incompletas</v>
      </c>
      <c r="G30" s="6">
        <f>IFERROR(_xlfn.XLOOKUP(A30,H17_SENSIBILIDAD_DELTA!A7:A26,H17_SENSIBILIDAD_DELTA!F7:F26),"Ver H17")</f>
        <v>0.2</v>
      </c>
    </row>
    <row r="32" spans="1:7" x14ac:dyDescent="0.3">
      <c r="A32" s="457" t="s">
        <v>2707</v>
      </c>
      <c r="B32" s="471"/>
      <c r="C32" s="471"/>
      <c r="D32" s="471"/>
      <c r="E32" s="471"/>
      <c r="F32" s="471"/>
      <c r="G32" s="471"/>
    </row>
    <row r="33" spans="1:7" x14ac:dyDescent="0.3">
      <c r="A33" s="7" t="s">
        <v>2708</v>
      </c>
      <c r="B33" s="7" t="s">
        <v>2709</v>
      </c>
      <c r="C33" s="7"/>
      <c r="D33" s="7"/>
      <c r="E33" s="7"/>
      <c r="F33" s="7"/>
      <c r="G33" s="7"/>
    </row>
    <row r="34" spans="1:7" x14ac:dyDescent="0.3">
      <c r="A34" s="6" t="s">
        <v>2710</v>
      </c>
      <c r="B34" s="6" t="s">
        <v>2711</v>
      </c>
      <c r="C34" s="6"/>
      <c r="D34" s="6"/>
      <c r="E34" s="6"/>
      <c r="F34" s="6"/>
      <c r="G34" s="6"/>
    </row>
    <row r="35" spans="1:7" x14ac:dyDescent="0.3">
      <c r="A35" s="7" t="s">
        <v>2712</v>
      </c>
      <c r="B35" s="7" t="s">
        <v>2713</v>
      </c>
      <c r="C35" s="7"/>
      <c r="D35" s="7"/>
      <c r="E35" s="7"/>
      <c r="F35" s="7"/>
      <c r="G35" s="7"/>
    </row>
    <row r="36" spans="1:7" x14ac:dyDescent="0.3">
      <c r="A36" s="6" t="s">
        <v>2714</v>
      </c>
      <c r="B36" s="6" t="s">
        <v>2715</v>
      </c>
      <c r="C36" s="6"/>
      <c r="D36" s="6"/>
      <c r="E36" s="6"/>
      <c r="F36" s="6"/>
      <c r="G36" s="6"/>
    </row>
    <row r="38" spans="1:7" x14ac:dyDescent="0.3">
      <c r="A38" s="586" t="s">
        <v>2716</v>
      </c>
      <c r="B38" s="471"/>
      <c r="C38" s="471"/>
      <c r="D38" s="471"/>
      <c r="E38" s="471"/>
      <c r="F38" s="471"/>
      <c r="G38" s="471"/>
    </row>
  </sheetData>
  <mergeCells count="6">
    <mergeCell ref="A38:G38"/>
    <mergeCell ref="A2:G2"/>
    <mergeCell ref="A3:G3"/>
    <mergeCell ref="A5:G5"/>
    <mergeCell ref="A9:G9"/>
    <mergeCell ref="A32:G32"/>
  </mergeCells>
  <hyperlinks>
    <hyperlink ref="A1" location="'H01_PARAMETROS_GENERALES'!A1" tooltip="Volver a H01_PARAMETROS_GENERALES" display="🔙 Volver al Índice" xr:uid="{C4D7F445-5991-4BFF-994C-45DA44DBB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H01_PARAMETROS_GENERALES</vt:lpstr>
      <vt:lpstr>H02_GLOSARIO_TECNICO</vt:lpstr>
      <vt:lpstr>H03_CONTROL_VERSIONES</vt:lpstr>
      <vt:lpstr>H04_TABLAS_PARAMETRICAS</vt:lpstr>
      <vt:lpstr>H04B_DATOS_CNE</vt:lpstr>
      <vt:lpstr>H05_METAS_PDOT</vt:lpstr>
      <vt:lpstr>H06_VINCULACIONES_POA</vt:lpstr>
      <vt:lpstr>H07_PROCESOS_SERCOP</vt:lpstr>
      <vt:lpstr>H08_DOCUMENTOS_LOTAIP</vt:lpstr>
      <vt:lpstr>H09_EJECUCION_PRESUPUESTARIA</vt:lpstr>
      <vt:lpstr>H10_INFORMES_CPCCS</vt:lpstr>
      <vt:lpstr>H10B_DATOS_SIGAD</vt:lpstr>
      <vt:lpstr>H11_ALERTAS_MOM</vt:lpstr>
      <vt:lpstr>H12_ESTATUTO_ORGANICO</vt:lpstr>
      <vt:lpstr>H13_MAO_ATRIBUCION_ORGANICA</vt:lpstr>
      <vt:lpstr>H14_CALCULO_ICPI</vt:lpstr>
      <vt:lpstr>H15_INDICES_COMPLEMENTARIOS</vt:lpstr>
      <vt:lpstr>H16_ITAM_TRANSPARENCIA</vt:lpstr>
      <vt:lpstr>H17_SENSIBILIDAD_DELTA</vt:lpstr>
      <vt:lpstr>H18_IED_EFICIENCIA_DIRECTIVA</vt:lpstr>
      <vt:lpstr>H19_EDS_EVALUACION_DIRECTIVA</vt:lpstr>
      <vt:lpstr>H20_CONTROL_MENSUAL</vt:lpstr>
      <vt:lpstr>H21_EVALUACION_CUATRIMESTRAL</vt:lpstr>
      <vt:lpstr>H22_EVALUACION_ANUAL_FINAL</vt:lpstr>
      <vt:lpstr>H23_DASHBOARD_REPORTES</vt:lpstr>
      <vt:lpstr>H24_DASHBOARD_TAC</vt:lpstr>
      <vt:lpstr>H25_RESUMEN_EJECUTIVO</vt:lpstr>
      <vt:lpstr>H26_TRAZABILIDAD_LOG</vt:lpstr>
      <vt:lpstr>H27_VERIFICACION_INTEGRIDAD</vt:lpstr>
      <vt:lpstr>H28_TABLERO_SOPORTE_DECISION</vt:lpstr>
      <vt:lpstr>H29_INFORMES_CONGRUENCIA</vt:lpstr>
      <vt:lpstr>H30_EXPORTACION_SIGAD</vt:lpstr>
      <vt:lpstr>H31_CONSOLIDADO_LOTAIP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2026-03-27T19:49:40Z</dcterms:created>
  <dcterms:modified xsi:type="dcterms:W3CDTF">2026-03-30T02:08:04Z</dcterms:modified>
</cp:coreProperties>
</file>