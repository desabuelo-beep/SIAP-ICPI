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6B3AD17-4D8F-4D0D-A1C9-C82B5E818ACC}" xr6:coauthVersionLast="47" xr6:coauthVersionMax="47" xr10:uidLastSave="{00000000-0000-0000-0000-000000000000}"/>
  <bookViews>
    <workbookView xWindow="-108" yWindow="-108" windowWidth="23256" windowHeight="12456" firstSheet="33" activeTab="33" xr2:uid="{022004A6-B27B-4E43-A162-F531D6142E76}"/>
  </bookViews>
  <sheets>
    <sheet name="H00_ÍNDICE" sheetId="1" r:id="rId1"/>
    <sheet name="H01_PARÁMETROS" sheetId="2" r:id="rId2"/>
    <sheet name="H02_GLOSARIO_TERRA" sheetId="3" r:id="rId3"/>
    <sheet name="H03_S1_ELECTORAL_CNE" sheetId="4" r:id="rId4"/>
    <sheet name="H04_S2_PLANIFICACIÓN_PDOT" sheetId="5" r:id="rId5"/>
    <sheet name="H05_S3_OPERATIVO_POA" sheetId="6" r:id="rId6"/>
    <sheet name="H06_S4_CONTRATACIÓN_SERCOP" sheetId="7" r:id="rId7"/>
    <sheet name="H07_S5_FINANCIERO_eSIGEF" sheetId="8" r:id="rId8"/>
    <sheet name="H08_S6_AUTOREPORTE_SIGAD" sheetId="9" r:id="rId9"/>
    <sheet name="H09_S7_TRANSPARENCIA_LOTAIP" sheetId="10" r:id="rId10"/>
    <sheet name="H10_S8_PARTICIPACIÓN_CPCCS" sheetId="11" r:id="rId11"/>
    <sheet name="H11_S9_AGENDA_GLOBAL_ODS" sheetId="12" r:id="rId12"/>
    <sheet name="H12_MOTOR_ICPI_CANÓNICO" sheetId="13" r:id="rId13"/>
    <sheet name="H13_VARIABLES_Vi" sheetId="14" r:id="rId14"/>
    <sheet name="H14_PONDERADORES" sheetId="15" r:id="rId15"/>
    <sheet name="H15_ICPI_GLOBAL" sheetId="16" r:id="rId16"/>
    <sheet name="H16_IFE" sheetId="17" r:id="rId17"/>
    <sheet name="H17_IED" sheetId="18" r:id="rId18"/>
    <sheet name="H18_ITAM" sheetId="19" r:id="rId19"/>
    <sheet name="H19_ICS_ISP" sheetId="20" r:id="rId20"/>
    <sheet name="H20_ICODS" sheetId="21" r:id="rId21"/>
    <sheet name="H21_SAT-I" sheetId="22" r:id="rId22"/>
    <sheet name="H22_SAT-II" sheetId="23" r:id="rId23"/>
    <sheet name="H23_SAT-III" sheetId="24" r:id="rId24"/>
    <sheet name="H24_SAT-IV" sheetId="25" r:id="rId25"/>
    <sheet name="H25_MMP_MENSUAL" sheetId="26" r:id="rId26"/>
    <sheet name="H26_MMP_TRIMESTRAL" sheetId="27" r:id="rId27"/>
    <sheet name="H27_MMP_ANUAL" sheetId="28" r:id="rId28"/>
    <sheet name="H28_RESUMEN_EJECUTIVO" sheetId="29" r:id="rId29"/>
    <sheet name="H29_TABLERO_ALCALDE" sheetId="30" r:id="rId30"/>
    <sheet name="H30_IED_POR_DIRECCIÓN" sheetId="38" r:id="rId31"/>
    <sheet name="H31_REPORTE_CPCCS" sheetId="39" r:id="rId32"/>
    <sheet name="H32_REPORTE_ODS_BILATERALES" sheetId="40" r:id="rId33"/>
    <sheet name="H33_TAC_TERRA_CIUDADANA" sheetId="41" r:id="rId34"/>
    <sheet name="H34_CERTIFICADO_TERRA" sheetId="42" r:id="rId35"/>
    <sheet name="H35_DATASET_ACADEMIA" sheetId="43" r:id="rId36"/>
    <sheet name="H36_TERRA_BRIDGE" sheetId="44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1" l="1"/>
  <c r="B31" i="4"/>
  <c r="B9" i="17"/>
  <c r="B8" i="17"/>
  <c r="B7" i="17"/>
  <c r="B28" i="10"/>
  <c r="D26" i="9"/>
  <c r="D25" i="9"/>
  <c r="D24" i="9"/>
  <c r="D23" i="9"/>
  <c r="D22" i="9"/>
  <c r="D21" i="9"/>
  <c r="D20" i="9"/>
  <c r="D19" i="9"/>
  <c r="D18" i="9"/>
  <c r="C25" i="23" s="1"/>
  <c r="D17" i="9"/>
  <c r="D16" i="9"/>
  <c r="D15" i="9"/>
  <c r="D14" i="9"/>
  <c r="D13" i="9"/>
  <c r="D12" i="9"/>
  <c r="D11" i="9"/>
  <c r="D10" i="9"/>
  <c r="D9" i="9"/>
  <c r="D8" i="9"/>
  <c r="D7" i="9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H26" i="8"/>
  <c r="G26" i="8"/>
  <c r="F26" i="8"/>
  <c r="H25" i="8"/>
  <c r="G25" i="8"/>
  <c r="F25" i="8"/>
  <c r="H24" i="8"/>
  <c r="G24" i="8"/>
  <c r="F24" i="8"/>
  <c r="H23" i="8"/>
  <c r="G23" i="8"/>
  <c r="F23" i="8"/>
  <c r="H22" i="8"/>
  <c r="G22" i="8"/>
  <c r="F22" i="8"/>
  <c r="H21" i="8"/>
  <c r="G21" i="8"/>
  <c r="F21" i="8"/>
  <c r="H20" i="8"/>
  <c r="G20" i="8"/>
  <c r="F20" i="8"/>
  <c r="H19" i="8"/>
  <c r="G19" i="8"/>
  <c r="F19" i="8"/>
  <c r="H18" i="8"/>
  <c r="G18" i="8"/>
  <c r="F18" i="8"/>
  <c r="H17" i="8"/>
  <c r="G17" i="8"/>
  <c r="F17" i="8"/>
  <c r="H16" i="8"/>
  <c r="G16" i="8"/>
  <c r="F16" i="8"/>
  <c r="H15" i="8"/>
  <c r="G15" i="8"/>
  <c r="F15" i="8"/>
  <c r="H14" i="8"/>
  <c r="G14" i="8"/>
  <c r="F14" i="8"/>
  <c r="H13" i="8"/>
  <c r="G13" i="8"/>
  <c r="F13" i="8"/>
  <c r="H12" i="8"/>
  <c r="G12" i="8"/>
  <c r="F12" i="8"/>
  <c r="H11" i="8"/>
  <c r="G11" i="8"/>
  <c r="F11" i="8"/>
  <c r="H10" i="8"/>
  <c r="G10" i="8"/>
  <c r="H9" i="8"/>
  <c r="G9" i="8"/>
  <c r="F9" i="8"/>
  <c r="H8" i="8"/>
  <c r="G8" i="8"/>
  <c r="F8" i="8"/>
  <c r="H7" i="8"/>
  <c r="G7" i="8"/>
  <c r="F7" i="8"/>
  <c r="A53" i="41"/>
  <c r="B33" i="4"/>
  <c r="B32" i="4"/>
  <c r="T25" i="5"/>
  <c r="K25" i="5"/>
  <c r="H25" i="5"/>
  <c r="T24" i="5"/>
  <c r="K24" i="5"/>
  <c r="H24" i="5"/>
  <c r="T23" i="5"/>
  <c r="K23" i="5"/>
  <c r="H23" i="5"/>
  <c r="T22" i="5"/>
  <c r="K22" i="5"/>
  <c r="L22" i="5" s="1" a="1"/>
  <c r="L22" i="5" s="1"/>
  <c r="H22" i="5"/>
  <c r="T21" i="5"/>
  <c r="K21" i="5"/>
  <c r="H21" i="5"/>
  <c r="T20" i="5"/>
  <c r="K20" i="5"/>
  <c r="H20" i="5"/>
  <c r="T19" i="5"/>
  <c r="K19" i="5"/>
  <c r="H19" i="5"/>
  <c r="G19" i="26" s="1"/>
  <c r="T18" i="5"/>
  <c r="K18" i="5"/>
  <c r="L18" i="5" s="1" a="1"/>
  <c r="L18" i="5" s="1"/>
  <c r="H18" i="5"/>
  <c r="T17" i="5"/>
  <c r="K17" i="5"/>
  <c r="H17" i="43" s="1"/>
  <c r="H17" i="5"/>
  <c r="T16" i="5"/>
  <c r="K16" i="5"/>
  <c r="H16" i="5"/>
  <c r="T15" i="5"/>
  <c r="K15" i="5"/>
  <c r="L15" i="5" s="1" a="1"/>
  <c r="L15" i="5" s="1"/>
  <c r="H15" i="5"/>
  <c r="T14" i="5"/>
  <c r="K14" i="5"/>
  <c r="H14" i="5"/>
  <c r="F14" i="43" s="1"/>
  <c r="T13" i="5"/>
  <c r="K13" i="5"/>
  <c r="H13" i="5"/>
  <c r="T12" i="5"/>
  <c r="K12" i="5"/>
  <c r="H12" i="5"/>
  <c r="T11" i="5"/>
  <c r="L11" i="5" a="1"/>
  <c r="L11" i="5" s="1"/>
  <c r="K11" i="5"/>
  <c r="H11" i="5"/>
  <c r="T10" i="5"/>
  <c r="K10" i="5"/>
  <c r="H10" i="5"/>
  <c r="T9" i="5"/>
  <c r="K9" i="5"/>
  <c r="H9" i="43" s="1"/>
  <c r="H9" i="5"/>
  <c r="T8" i="5"/>
  <c r="K8" i="5"/>
  <c r="L8" i="5" s="1" a="1"/>
  <c r="L8" i="5" s="1"/>
  <c r="H8" i="5"/>
  <c r="T7" i="5"/>
  <c r="K7" i="5"/>
  <c r="L16" i="5" s="1" a="1"/>
  <c r="L16" i="5" s="1"/>
  <c r="H7" i="5"/>
  <c r="B7" i="13" s="1"/>
  <c r="E15" i="16" s="1"/>
  <c r="T6" i="5"/>
  <c r="K6" i="5"/>
  <c r="H6" i="5"/>
  <c r="E133" i="39"/>
  <c r="B133" i="39"/>
  <c r="A133" i="39"/>
  <c r="E132" i="39"/>
  <c r="B132" i="39"/>
  <c r="A132" i="39"/>
  <c r="E131" i="39"/>
  <c r="B131" i="39"/>
  <c r="A131" i="39"/>
  <c r="E130" i="39"/>
  <c r="B130" i="39"/>
  <c r="A130" i="39"/>
  <c r="E129" i="39"/>
  <c r="B129" i="39"/>
  <c r="A129" i="39"/>
  <c r="E128" i="39"/>
  <c r="B128" i="39"/>
  <c r="A128" i="39"/>
  <c r="E127" i="39"/>
  <c r="B127" i="39"/>
  <c r="A127" i="39"/>
  <c r="E126" i="39"/>
  <c r="B126" i="39"/>
  <c r="A126" i="39"/>
  <c r="E125" i="39"/>
  <c r="B125" i="39"/>
  <c r="A125" i="39"/>
  <c r="E124" i="39"/>
  <c r="B124" i="39"/>
  <c r="A124" i="39"/>
  <c r="E123" i="39"/>
  <c r="B123" i="39"/>
  <c r="A123" i="39"/>
  <c r="E122" i="39"/>
  <c r="B122" i="39"/>
  <c r="A122" i="39"/>
  <c r="E121" i="39"/>
  <c r="B121" i="39"/>
  <c r="A121" i="39"/>
  <c r="E120" i="39"/>
  <c r="B120" i="39"/>
  <c r="A120" i="39"/>
  <c r="E119" i="39"/>
  <c r="B119" i="39"/>
  <c r="A119" i="39"/>
  <c r="E118" i="39"/>
  <c r="B118" i="39"/>
  <c r="A118" i="39"/>
  <c r="E117" i="39"/>
  <c r="B117" i="39"/>
  <c r="A117" i="39"/>
  <c r="E116" i="39"/>
  <c r="B116" i="39"/>
  <c r="A116" i="39"/>
  <c r="E115" i="39"/>
  <c r="B115" i="39"/>
  <c r="A115" i="39"/>
  <c r="E114" i="39"/>
  <c r="B114" i="39"/>
  <c r="A114" i="39"/>
  <c r="B102" i="39"/>
  <c r="A102" i="39"/>
  <c r="C101" i="39"/>
  <c r="B101" i="39"/>
  <c r="A101" i="39"/>
  <c r="B100" i="39"/>
  <c r="A100" i="39"/>
  <c r="D99" i="39"/>
  <c r="B99" i="39"/>
  <c r="A99" i="39"/>
  <c r="B98" i="39"/>
  <c r="A98" i="39"/>
  <c r="D97" i="39"/>
  <c r="C97" i="39"/>
  <c r="E97" i="39" s="1"/>
  <c r="F97" i="39" s="1"/>
  <c r="B97" i="39"/>
  <c r="A97" i="39"/>
  <c r="B96" i="39"/>
  <c r="A96" i="39"/>
  <c r="C95" i="39"/>
  <c r="B95" i="39"/>
  <c r="A95" i="39"/>
  <c r="B94" i="39"/>
  <c r="A94" i="39"/>
  <c r="D93" i="39"/>
  <c r="C93" i="39"/>
  <c r="E93" i="39" s="1"/>
  <c r="F93" i="39" s="1"/>
  <c r="B93" i="39"/>
  <c r="A93" i="39"/>
  <c r="B92" i="39"/>
  <c r="A92" i="39"/>
  <c r="B91" i="39"/>
  <c r="A91" i="39"/>
  <c r="C90" i="39"/>
  <c r="E90" i="39" s="1"/>
  <c r="F90" i="39" s="1"/>
  <c r="B90" i="39"/>
  <c r="A90" i="39"/>
  <c r="D89" i="39"/>
  <c r="C89" i="39"/>
  <c r="B89" i="39"/>
  <c r="A89" i="39"/>
  <c r="B88" i="39"/>
  <c r="A88" i="39"/>
  <c r="D87" i="39"/>
  <c r="C87" i="39"/>
  <c r="B87" i="39"/>
  <c r="A87" i="39"/>
  <c r="D86" i="39"/>
  <c r="C86" i="39"/>
  <c r="E86" i="39" s="1"/>
  <c r="F86" i="39" s="1"/>
  <c r="B86" i="39"/>
  <c r="A86" i="39"/>
  <c r="C85" i="39"/>
  <c r="B85" i="39"/>
  <c r="A85" i="39"/>
  <c r="B84" i="39"/>
  <c r="A84" i="39"/>
  <c r="D83" i="39"/>
  <c r="C83" i="39"/>
  <c r="E83" i="39" s="1"/>
  <c r="F83" i="39" s="1"/>
  <c r="B83" i="39"/>
  <c r="A83" i="39"/>
  <c r="B79" i="39"/>
  <c r="A79" i="39"/>
  <c r="B78" i="39"/>
  <c r="A78" i="39"/>
  <c r="B77" i="39"/>
  <c r="A77" i="39"/>
  <c r="B76" i="39"/>
  <c r="A76" i="39"/>
  <c r="B75" i="39"/>
  <c r="A75" i="39"/>
  <c r="B74" i="39"/>
  <c r="A74" i="39"/>
  <c r="B73" i="39"/>
  <c r="A73" i="39"/>
  <c r="B72" i="39"/>
  <c r="A72" i="39"/>
  <c r="B71" i="39"/>
  <c r="A71" i="39"/>
  <c r="B70" i="39"/>
  <c r="A70" i="39"/>
  <c r="B69" i="39"/>
  <c r="A69" i="39"/>
  <c r="B68" i="39"/>
  <c r="A68" i="39"/>
  <c r="B67" i="39"/>
  <c r="A67" i="39"/>
  <c r="B66" i="39"/>
  <c r="A66" i="39"/>
  <c r="B65" i="39"/>
  <c r="A65" i="39"/>
  <c r="B64" i="39"/>
  <c r="A64" i="39"/>
  <c r="B63" i="39"/>
  <c r="A63" i="39"/>
  <c r="B62" i="39"/>
  <c r="A62" i="39"/>
  <c r="B61" i="39"/>
  <c r="A61" i="39"/>
  <c r="B60" i="39"/>
  <c r="A60" i="39"/>
  <c r="G19" i="28"/>
  <c r="G18" i="28"/>
  <c r="G17" i="28"/>
  <c r="B8" i="44"/>
  <c r="E1" i="44"/>
  <c r="E1" i="43"/>
  <c r="E1" i="42"/>
  <c r="E1" i="41"/>
  <c r="E1" i="40"/>
  <c r="E1" i="39"/>
  <c r="E1" i="38"/>
  <c r="E1" i="30"/>
  <c r="E1" i="29"/>
  <c r="E1" i="28"/>
  <c r="E1" i="27"/>
  <c r="E1" i="26"/>
  <c r="E1" i="25"/>
  <c r="E1" i="24"/>
  <c r="E1" i="23"/>
  <c r="E1" i="22"/>
  <c r="E1" i="21"/>
  <c r="E1" i="20"/>
  <c r="E1" i="19"/>
  <c r="E1" i="18"/>
  <c r="E1" i="17"/>
  <c r="E1" i="16"/>
  <c r="E1" i="15"/>
  <c r="E1" i="14"/>
  <c r="E1" i="13"/>
  <c r="E1" i="12"/>
  <c r="E1" i="10"/>
  <c r="E1" i="9"/>
  <c r="E1" i="8"/>
  <c r="E1" i="7"/>
  <c r="E1" i="6"/>
  <c r="E1" i="5"/>
  <c r="E1" i="4"/>
  <c r="E1" i="3"/>
  <c r="E1" i="2"/>
  <c r="G48" i="44"/>
  <c r="D48" i="44"/>
  <c r="C48" i="44"/>
  <c r="B48" i="44"/>
  <c r="G47" i="44"/>
  <c r="D47" i="44"/>
  <c r="C47" i="44"/>
  <c r="B47" i="44"/>
  <c r="G46" i="44"/>
  <c r="D46" i="44"/>
  <c r="C46" i="44"/>
  <c r="B46" i="44"/>
  <c r="G45" i="44"/>
  <c r="D45" i="44"/>
  <c r="C45" i="44"/>
  <c r="B45" i="44"/>
  <c r="G44" i="44"/>
  <c r="D44" i="44"/>
  <c r="C44" i="44"/>
  <c r="B44" i="44"/>
  <c r="G43" i="44"/>
  <c r="D43" i="44"/>
  <c r="C43" i="44"/>
  <c r="B43" i="44"/>
  <c r="G42" i="44"/>
  <c r="D42" i="44"/>
  <c r="C42" i="44"/>
  <c r="B42" i="44"/>
  <c r="G41" i="44"/>
  <c r="D41" i="44"/>
  <c r="C41" i="44"/>
  <c r="B41" i="44"/>
  <c r="G40" i="44"/>
  <c r="D40" i="44"/>
  <c r="C40" i="44"/>
  <c r="B40" i="44"/>
  <c r="G39" i="44"/>
  <c r="D39" i="44"/>
  <c r="C39" i="44"/>
  <c r="B39" i="44"/>
  <c r="G38" i="44"/>
  <c r="D38" i="44"/>
  <c r="C38" i="44"/>
  <c r="B38" i="44"/>
  <c r="G37" i="44"/>
  <c r="D37" i="44"/>
  <c r="C37" i="44"/>
  <c r="B37" i="44"/>
  <c r="G36" i="44"/>
  <c r="D36" i="44"/>
  <c r="C36" i="44"/>
  <c r="B36" i="44"/>
  <c r="G35" i="44"/>
  <c r="D35" i="44"/>
  <c r="C35" i="44"/>
  <c r="B35" i="44"/>
  <c r="G34" i="44"/>
  <c r="D34" i="44"/>
  <c r="C34" i="44"/>
  <c r="B34" i="44"/>
  <c r="G33" i="44"/>
  <c r="D33" i="44"/>
  <c r="C33" i="44"/>
  <c r="B33" i="44"/>
  <c r="G32" i="44"/>
  <c r="D32" i="44"/>
  <c r="C32" i="44"/>
  <c r="B32" i="44"/>
  <c r="G31" i="44"/>
  <c r="D31" i="44"/>
  <c r="C31" i="44"/>
  <c r="B31" i="44"/>
  <c r="G30" i="44"/>
  <c r="D30" i="44"/>
  <c r="C30" i="44"/>
  <c r="B30" i="44"/>
  <c r="G29" i="44"/>
  <c r="D29" i="44"/>
  <c r="C29" i="44"/>
  <c r="B29" i="44"/>
  <c r="B24" i="44"/>
  <c r="B23" i="44"/>
  <c r="B22" i="44"/>
  <c r="Q25" i="43"/>
  <c r="P25" i="43"/>
  <c r="G25" i="43"/>
  <c r="E25" i="43"/>
  <c r="D25" i="43"/>
  <c r="C25" i="43"/>
  <c r="B25" i="43"/>
  <c r="Q24" i="43"/>
  <c r="P24" i="43"/>
  <c r="G24" i="43"/>
  <c r="E24" i="43"/>
  <c r="D24" i="43"/>
  <c r="C24" i="43"/>
  <c r="B24" i="43"/>
  <c r="Q23" i="43"/>
  <c r="P23" i="43"/>
  <c r="G23" i="43"/>
  <c r="E23" i="43"/>
  <c r="D23" i="43"/>
  <c r="C23" i="43"/>
  <c r="B23" i="43"/>
  <c r="Q22" i="43"/>
  <c r="P22" i="43"/>
  <c r="G22" i="43"/>
  <c r="E22" i="43"/>
  <c r="D22" i="43"/>
  <c r="C22" i="43"/>
  <c r="B22" i="43"/>
  <c r="Q21" i="43"/>
  <c r="P21" i="43"/>
  <c r="G21" i="43"/>
  <c r="E21" i="43"/>
  <c r="D21" i="43"/>
  <c r="C21" i="43"/>
  <c r="B21" i="43"/>
  <c r="Q20" i="43"/>
  <c r="P20" i="43"/>
  <c r="G20" i="43"/>
  <c r="E20" i="43"/>
  <c r="D20" i="43"/>
  <c r="C20" i="43"/>
  <c r="B20" i="43"/>
  <c r="Q19" i="43"/>
  <c r="P19" i="43"/>
  <c r="M19" i="43"/>
  <c r="G19" i="43"/>
  <c r="E19" i="43"/>
  <c r="D19" i="43"/>
  <c r="C19" i="43"/>
  <c r="B19" i="43"/>
  <c r="Q18" i="43"/>
  <c r="P18" i="43"/>
  <c r="G18" i="43"/>
  <c r="E18" i="43"/>
  <c r="D18" i="43"/>
  <c r="C18" i="43"/>
  <c r="B18" i="43"/>
  <c r="Q17" i="43"/>
  <c r="P17" i="43"/>
  <c r="G17" i="43"/>
  <c r="E17" i="43"/>
  <c r="D17" i="43"/>
  <c r="C17" i="43"/>
  <c r="B17" i="43"/>
  <c r="Q16" i="43"/>
  <c r="P16" i="43"/>
  <c r="G16" i="43"/>
  <c r="E16" i="43"/>
  <c r="D16" i="43"/>
  <c r="C16" i="43"/>
  <c r="B16" i="43"/>
  <c r="Q15" i="43"/>
  <c r="P15" i="43"/>
  <c r="G15" i="43"/>
  <c r="E15" i="43"/>
  <c r="D15" i="43"/>
  <c r="C15" i="43"/>
  <c r="B15" i="43"/>
  <c r="Q14" i="43"/>
  <c r="P14" i="43"/>
  <c r="G14" i="43"/>
  <c r="E14" i="43"/>
  <c r="D14" i="43"/>
  <c r="C14" i="43"/>
  <c r="B14" i="43"/>
  <c r="Q13" i="43"/>
  <c r="P13" i="43"/>
  <c r="G13" i="43"/>
  <c r="E13" i="43"/>
  <c r="D13" i="43"/>
  <c r="C13" i="43"/>
  <c r="B13" i="43"/>
  <c r="Q12" i="43"/>
  <c r="P12" i="43"/>
  <c r="G12" i="43"/>
  <c r="E12" i="43"/>
  <c r="D12" i="43"/>
  <c r="C12" i="43"/>
  <c r="B12" i="43"/>
  <c r="Q11" i="43"/>
  <c r="P11" i="43"/>
  <c r="G11" i="43"/>
  <c r="E11" i="43"/>
  <c r="D11" i="43"/>
  <c r="C11" i="43"/>
  <c r="B11" i="43"/>
  <c r="Q10" i="43"/>
  <c r="P10" i="43"/>
  <c r="G10" i="43"/>
  <c r="E10" i="43"/>
  <c r="D10" i="43"/>
  <c r="C10" i="43"/>
  <c r="B10" i="43"/>
  <c r="Q9" i="43"/>
  <c r="P9" i="43"/>
  <c r="G9" i="43"/>
  <c r="E9" i="43"/>
  <c r="D9" i="43"/>
  <c r="C9" i="43"/>
  <c r="B9" i="43"/>
  <c r="Q8" i="43"/>
  <c r="P8" i="43"/>
  <c r="G8" i="43"/>
  <c r="E8" i="43"/>
  <c r="D8" i="43"/>
  <c r="C8" i="43"/>
  <c r="B8" i="43"/>
  <c r="Q7" i="43"/>
  <c r="P7" i="43"/>
  <c r="G7" i="43"/>
  <c r="E7" i="43"/>
  <c r="D7" i="43"/>
  <c r="C7" i="43"/>
  <c r="B7" i="43"/>
  <c r="Q6" i="43"/>
  <c r="P6" i="43"/>
  <c r="G6" i="43"/>
  <c r="E6" i="43"/>
  <c r="D6" i="43"/>
  <c r="C6" i="43"/>
  <c r="B6" i="43"/>
  <c r="B38" i="42"/>
  <c r="A6" i="42"/>
  <c r="G72" i="41"/>
  <c r="E72" i="41"/>
  <c r="G71" i="41"/>
  <c r="E71" i="41"/>
  <c r="G70" i="41"/>
  <c r="E70" i="41"/>
  <c r="G69" i="41"/>
  <c r="E69" i="41"/>
  <c r="G68" i="41"/>
  <c r="E68" i="41"/>
  <c r="G67" i="41"/>
  <c r="E67" i="41"/>
  <c r="G66" i="41"/>
  <c r="E66" i="41"/>
  <c r="G65" i="41"/>
  <c r="E65" i="41"/>
  <c r="G64" i="41"/>
  <c r="E64" i="41"/>
  <c r="G63" i="41"/>
  <c r="E63" i="41"/>
  <c r="G62" i="41"/>
  <c r="E62" i="41"/>
  <c r="G61" i="41"/>
  <c r="E61" i="41"/>
  <c r="G60" i="41"/>
  <c r="E60" i="41"/>
  <c r="G59" i="41"/>
  <c r="E59" i="41"/>
  <c r="G58" i="41"/>
  <c r="E58" i="41"/>
  <c r="G57" i="41"/>
  <c r="E57" i="41"/>
  <c r="G56" i="41"/>
  <c r="E56" i="41"/>
  <c r="G55" i="41"/>
  <c r="E55" i="41"/>
  <c r="G54" i="41"/>
  <c r="E54" i="41"/>
  <c r="G53" i="41"/>
  <c r="E53" i="41"/>
  <c r="B45" i="41"/>
  <c r="E35" i="41"/>
  <c r="D35" i="41"/>
  <c r="B35" i="41"/>
  <c r="A35" i="41"/>
  <c r="E34" i="41"/>
  <c r="D34" i="41"/>
  <c r="B34" i="41"/>
  <c r="A34" i="41"/>
  <c r="E33" i="41"/>
  <c r="D33" i="41"/>
  <c r="B33" i="41"/>
  <c r="A33" i="41"/>
  <c r="E32" i="41"/>
  <c r="D32" i="41"/>
  <c r="B32" i="41"/>
  <c r="A32" i="41"/>
  <c r="E31" i="41"/>
  <c r="D31" i="41"/>
  <c r="B31" i="41"/>
  <c r="A31" i="41"/>
  <c r="E30" i="41"/>
  <c r="D30" i="41"/>
  <c r="B30" i="41"/>
  <c r="A30" i="41"/>
  <c r="E29" i="41"/>
  <c r="D29" i="41"/>
  <c r="B29" i="41"/>
  <c r="A29" i="41"/>
  <c r="E28" i="41"/>
  <c r="D28" i="41"/>
  <c r="B28" i="41"/>
  <c r="A28" i="41"/>
  <c r="E27" i="41"/>
  <c r="D27" i="41"/>
  <c r="B27" i="41"/>
  <c r="A27" i="41"/>
  <c r="E26" i="41"/>
  <c r="D26" i="41"/>
  <c r="B26" i="41"/>
  <c r="A26" i="41"/>
  <c r="E25" i="41"/>
  <c r="D25" i="41"/>
  <c r="B25" i="41"/>
  <c r="A25" i="41"/>
  <c r="E24" i="41"/>
  <c r="D24" i="41"/>
  <c r="B24" i="41"/>
  <c r="A24" i="41"/>
  <c r="E23" i="41"/>
  <c r="D23" i="41"/>
  <c r="B23" i="41"/>
  <c r="A23" i="41"/>
  <c r="E22" i="41"/>
  <c r="D22" i="41"/>
  <c r="B22" i="41"/>
  <c r="A22" i="41"/>
  <c r="E21" i="41"/>
  <c r="D21" i="41"/>
  <c r="B21" i="41"/>
  <c r="A21" i="41"/>
  <c r="E20" i="41"/>
  <c r="D20" i="41"/>
  <c r="B20" i="41"/>
  <c r="A20" i="41"/>
  <c r="E19" i="41"/>
  <c r="D19" i="41"/>
  <c r="B19" i="41"/>
  <c r="A19" i="41"/>
  <c r="E18" i="41"/>
  <c r="D18" i="41"/>
  <c r="B18" i="41"/>
  <c r="A18" i="41"/>
  <c r="E17" i="41"/>
  <c r="D17" i="41"/>
  <c r="B17" i="41"/>
  <c r="A17" i="41"/>
  <c r="E16" i="41"/>
  <c r="D16" i="41"/>
  <c r="B16" i="41"/>
  <c r="A16" i="41"/>
  <c r="B38" i="40"/>
  <c r="B37" i="40"/>
  <c r="A52" i="39"/>
  <c r="F38" i="39"/>
  <c r="C38" i="39"/>
  <c r="B38" i="39"/>
  <c r="A38" i="39"/>
  <c r="F37" i="39"/>
  <c r="C37" i="39"/>
  <c r="B37" i="39"/>
  <c r="A37" i="39"/>
  <c r="F36" i="39"/>
  <c r="C36" i="39"/>
  <c r="B36" i="39"/>
  <c r="A36" i="39"/>
  <c r="F35" i="39"/>
  <c r="C35" i="39"/>
  <c r="B35" i="39"/>
  <c r="A35" i="39"/>
  <c r="F34" i="39"/>
  <c r="C34" i="39"/>
  <c r="B34" i="39"/>
  <c r="A34" i="39"/>
  <c r="F33" i="39"/>
  <c r="C33" i="39"/>
  <c r="B33" i="39"/>
  <c r="A33" i="39"/>
  <c r="F32" i="39"/>
  <c r="C32" i="39"/>
  <c r="B32" i="39"/>
  <c r="A32" i="39"/>
  <c r="F31" i="39"/>
  <c r="C31" i="39"/>
  <c r="B31" i="39"/>
  <c r="A31" i="39"/>
  <c r="F30" i="39"/>
  <c r="C30" i="39"/>
  <c r="B30" i="39"/>
  <c r="A30" i="39"/>
  <c r="F29" i="39"/>
  <c r="C29" i="39"/>
  <c r="B29" i="39"/>
  <c r="A29" i="39"/>
  <c r="F28" i="39"/>
  <c r="C28" i="39"/>
  <c r="B28" i="39"/>
  <c r="A28" i="39"/>
  <c r="F27" i="39"/>
  <c r="C27" i="39"/>
  <c r="B27" i="39"/>
  <c r="A27" i="39"/>
  <c r="F26" i="39"/>
  <c r="C26" i="39"/>
  <c r="B26" i="39"/>
  <c r="A26" i="39"/>
  <c r="F25" i="39"/>
  <c r="C25" i="39"/>
  <c r="B25" i="39"/>
  <c r="A25" i="39"/>
  <c r="F24" i="39"/>
  <c r="C24" i="39"/>
  <c r="B24" i="39"/>
  <c r="A24" i="39"/>
  <c r="F23" i="39"/>
  <c r="C23" i="39"/>
  <c r="B23" i="39"/>
  <c r="A23" i="39"/>
  <c r="F22" i="39"/>
  <c r="C22" i="39"/>
  <c r="B22" i="39"/>
  <c r="A22" i="39"/>
  <c r="F21" i="39"/>
  <c r="C21" i="39"/>
  <c r="B21" i="39"/>
  <c r="A21" i="39"/>
  <c r="F20" i="39"/>
  <c r="C20" i="39"/>
  <c r="B20" i="39"/>
  <c r="A20" i="39"/>
  <c r="F19" i="39"/>
  <c r="C19" i="39"/>
  <c r="B19" i="39"/>
  <c r="A19" i="39"/>
  <c r="B9" i="39"/>
  <c r="B8" i="39"/>
  <c r="B7" i="39"/>
  <c r="B6" i="39"/>
  <c r="D17" i="38"/>
  <c r="A16" i="38"/>
  <c r="A15" i="38"/>
  <c r="A14" i="38"/>
  <c r="A13" i="38"/>
  <c r="A12" i="38"/>
  <c r="A11" i="38"/>
  <c r="A10" i="38"/>
  <c r="A9" i="38"/>
  <c r="A8" i="38"/>
  <c r="A7" i="38"/>
  <c r="A6" i="38"/>
  <c r="A44" i="30"/>
  <c r="B39" i="30"/>
  <c r="A28" i="30"/>
  <c r="A27" i="30"/>
  <c r="A26" i="30"/>
  <c r="A25" i="30"/>
  <c r="A24" i="30"/>
  <c r="A23" i="30"/>
  <c r="A22" i="30"/>
  <c r="A21" i="30"/>
  <c r="A20" i="30"/>
  <c r="A19" i="30"/>
  <c r="A18" i="30"/>
  <c r="B38" i="29"/>
  <c r="B37" i="29"/>
  <c r="B36" i="29"/>
  <c r="B35" i="29"/>
  <c r="F19" i="28"/>
  <c r="E19" i="28"/>
  <c r="D19" i="28"/>
  <c r="F18" i="28"/>
  <c r="E18" i="28"/>
  <c r="D18" i="28"/>
  <c r="F17" i="28"/>
  <c r="E17" i="28"/>
  <c r="D17" i="28"/>
  <c r="A23" i="27"/>
  <c r="A22" i="27"/>
  <c r="A21" i="27"/>
  <c r="A20" i="27"/>
  <c r="A19" i="27"/>
  <c r="A18" i="27"/>
  <c r="A17" i="27"/>
  <c r="A16" i="27"/>
  <c r="A15" i="27"/>
  <c r="A14" i="27"/>
  <c r="A13" i="27"/>
  <c r="BQ25" i="26"/>
  <c r="BR25" i="26" s="1"/>
  <c r="BP25" i="26"/>
  <c r="BN25" i="26"/>
  <c r="BI25" i="26"/>
  <c r="BD25" i="26"/>
  <c r="AY25" i="26"/>
  <c r="AT25" i="26"/>
  <c r="AO25" i="26"/>
  <c r="AJ25" i="26"/>
  <c r="AE25" i="26"/>
  <c r="Z25" i="26"/>
  <c r="U25" i="26"/>
  <c r="P25" i="26"/>
  <c r="K25" i="26"/>
  <c r="F25" i="26"/>
  <c r="BS25" i="26" s="1"/>
  <c r="E25" i="26"/>
  <c r="D25" i="26"/>
  <c r="C25" i="26"/>
  <c r="B25" i="26"/>
  <c r="A25" i="26"/>
  <c r="BP24" i="26"/>
  <c r="BQ24" i="26" s="1"/>
  <c r="BR24" i="26" s="1"/>
  <c r="BN24" i="26"/>
  <c r="BI24" i="26"/>
  <c r="BD24" i="26"/>
  <c r="AY24" i="26"/>
  <c r="AT24" i="26"/>
  <c r="AO24" i="26"/>
  <c r="AJ24" i="26"/>
  <c r="AE24" i="26"/>
  <c r="Z24" i="26"/>
  <c r="U24" i="26"/>
  <c r="P24" i="26"/>
  <c r="K24" i="26"/>
  <c r="F24" i="26"/>
  <c r="BS24" i="26" s="1"/>
  <c r="E24" i="26"/>
  <c r="D24" i="26"/>
  <c r="C24" i="26"/>
  <c r="B24" i="26"/>
  <c r="A24" i="26"/>
  <c r="BS23" i="26"/>
  <c r="BP23" i="26"/>
  <c r="BQ23" i="26" s="1"/>
  <c r="BR23" i="26" s="1"/>
  <c r="BN23" i="26"/>
  <c r="BI23" i="26"/>
  <c r="BD23" i="26"/>
  <c r="AY23" i="26"/>
  <c r="AT23" i="26"/>
  <c r="AO23" i="26"/>
  <c r="AJ23" i="26"/>
  <c r="AE23" i="26"/>
  <c r="Z23" i="26"/>
  <c r="U23" i="26"/>
  <c r="P23" i="26"/>
  <c r="K23" i="26"/>
  <c r="F23" i="26"/>
  <c r="E23" i="26"/>
  <c r="D23" i="26"/>
  <c r="C23" i="26"/>
  <c r="B23" i="26"/>
  <c r="A23" i="26"/>
  <c r="BP22" i="26"/>
  <c r="BQ22" i="26" s="1"/>
  <c r="BR22" i="26" s="1"/>
  <c r="BN22" i="26"/>
  <c r="BI22" i="26"/>
  <c r="BD22" i="26"/>
  <c r="AY22" i="26"/>
  <c r="AT22" i="26"/>
  <c r="AO22" i="26"/>
  <c r="AJ22" i="26"/>
  <c r="AE22" i="26"/>
  <c r="Z22" i="26"/>
  <c r="U22" i="26"/>
  <c r="P22" i="26"/>
  <c r="K22" i="26"/>
  <c r="F22" i="26"/>
  <c r="BS22" i="26" s="1"/>
  <c r="E22" i="26"/>
  <c r="D22" i="26"/>
  <c r="C22" i="26"/>
  <c r="B22" i="26"/>
  <c r="A22" i="26"/>
  <c r="BP21" i="26"/>
  <c r="BQ21" i="26" s="1"/>
  <c r="BR21" i="26" s="1"/>
  <c r="BN21" i="26"/>
  <c r="BI21" i="26"/>
  <c r="BD21" i="26"/>
  <c r="AY21" i="26"/>
  <c r="AT21" i="26"/>
  <c r="AO21" i="26"/>
  <c r="AJ21" i="26"/>
  <c r="AE21" i="26"/>
  <c r="Z21" i="26"/>
  <c r="U21" i="26"/>
  <c r="P21" i="26"/>
  <c r="K21" i="26"/>
  <c r="F21" i="26"/>
  <c r="BS21" i="26" s="1"/>
  <c r="E21" i="26"/>
  <c r="D21" i="26"/>
  <c r="C21" i="26"/>
  <c r="B21" i="26"/>
  <c r="A21" i="26"/>
  <c r="BQ20" i="26"/>
  <c r="BR20" i="26" s="1"/>
  <c r="BP20" i="26"/>
  <c r="BN20" i="26"/>
  <c r="BI20" i="26"/>
  <c r="BD20" i="26"/>
  <c r="AY20" i="26"/>
  <c r="AT20" i="26"/>
  <c r="AO20" i="26"/>
  <c r="AJ20" i="26"/>
  <c r="AE20" i="26"/>
  <c r="Z20" i="26"/>
  <c r="U20" i="26"/>
  <c r="P20" i="26"/>
  <c r="K20" i="26"/>
  <c r="F20" i="26"/>
  <c r="BS20" i="26" s="1"/>
  <c r="E20" i="26"/>
  <c r="D20" i="26"/>
  <c r="C20" i="26"/>
  <c r="B20" i="26"/>
  <c r="A20" i="26"/>
  <c r="BP19" i="26"/>
  <c r="BQ19" i="26" s="1"/>
  <c r="BR19" i="26" s="1"/>
  <c r="BN19" i="26"/>
  <c r="BI19" i="26"/>
  <c r="BD19" i="26"/>
  <c r="AY19" i="26"/>
  <c r="AT19" i="26"/>
  <c r="AO19" i="26"/>
  <c r="AJ19" i="26"/>
  <c r="AE19" i="26"/>
  <c r="Z19" i="26"/>
  <c r="U19" i="26"/>
  <c r="P19" i="26"/>
  <c r="K19" i="26"/>
  <c r="F19" i="26"/>
  <c r="BS19" i="26" s="1"/>
  <c r="E19" i="26"/>
  <c r="D19" i="26"/>
  <c r="C19" i="26"/>
  <c r="B19" i="26"/>
  <c r="A19" i="26"/>
  <c r="BP18" i="26"/>
  <c r="BQ18" i="26" s="1"/>
  <c r="BR18" i="26" s="1"/>
  <c r="BN18" i="26"/>
  <c r="BI18" i="26"/>
  <c r="BD18" i="26"/>
  <c r="AY18" i="26"/>
  <c r="AT18" i="26"/>
  <c r="AO18" i="26"/>
  <c r="AJ18" i="26"/>
  <c r="AE18" i="26"/>
  <c r="Z18" i="26"/>
  <c r="U18" i="26"/>
  <c r="P18" i="26"/>
  <c r="K18" i="26"/>
  <c r="F18" i="26"/>
  <c r="BS18" i="26" s="1"/>
  <c r="E18" i="26"/>
  <c r="D18" i="26"/>
  <c r="C18" i="26"/>
  <c r="B18" i="26"/>
  <c r="A18" i="26"/>
  <c r="BP17" i="26"/>
  <c r="BQ17" i="26" s="1"/>
  <c r="BR17" i="26" s="1"/>
  <c r="BN17" i="26"/>
  <c r="BI17" i="26"/>
  <c r="BD17" i="26"/>
  <c r="AY17" i="26"/>
  <c r="AT17" i="26"/>
  <c r="AO17" i="26"/>
  <c r="AJ17" i="26"/>
  <c r="AE17" i="26"/>
  <c r="Z17" i="26"/>
  <c r="U17" i="26"/>
  <c r="P17" i="26"/>
  <c r="K17" i="26"/>
  <c r="F17" i="26"/>
  <c r="BS17" i="26" s="1"/>
  <c r="E17" i="26"/>
  <c r="D17" i="26"/>
  <c r="C17" i="26"/>
  <c r="B17" i="26"/>
  <c r="A17" i="26"/>
  <c r="BP16" i="26"/>
  <c r="BQ16" i="26" s="1"/>
  <c r="BR16" i="26" s="1"/>
  <c r="BN16" i="26"/>
  <c r="BI16" i="26"/>
  <c r="BD16" i="26"/>
  <c r="AY16" i="26"/>
  <c r="AT16" i="26"/>
  <c r="AO16" i="26"/>
  <c r="AJ16" i="26"/>
  <c r="AE16" i="26"/>
  <c r="Z16" i="26"/>
  <c r="U16" i="26"/>
  <c r="P16" i="26"/>
  <c r="K16" i="26"/>
  <c r="F16" i="26"/>
  <c r="BS16" i="26" s="1"/>
  <c r="E16" i="26"/>
  <c r="D16" i="26"/>
  <c r="C16" i="26"/>
  <c r="B16" i="26"/>
  <c r="A16" i="26"/>
  <c r="BP15" i="26"/>
  <c r="BQ15" i="26" s="1"/>
  <c r="BR15" i="26" s="1"/>
  <c r="BN15" i="26"/>
  <c r="BI15" i="26"/>
  <c r="BD15" i="26"/>
  <c r="AY15" i="26"/>
  <c r="AT15" i="26"/>
  <c r="AO15" i="26"/>
  <c r="AJ15" i="26"/>
  <c r="AE15" i="26"/>
  <c r="Z15" i="26"/>
  <c r="U15" i="26"/>
  <c r="P15" i="26"/>
  <c r="K15" i="26"/>
  <c r="F15" i="26"/>
  <c r="BS15" i="26" s="1"/>
  <c r="E15" i="26"/>
  <c r="D15" i="26"/>
  <c r="C15" i="26"/>
  <c r="B15" i="26"/>
  <c r="A15" i="26"/>
  <c r="BP14" i="26"/>
  <c r="BQ14" i="26" s="1"/>
  <c r="BR14" i="26" s="1"/>
  <c r="BN14" i="26"/>
  <c r="BI14" i="26"/>
  <c r="BD14" i="26"/>
  <c r="AY14" i="26"/>
  <c r="AT14" i="26"/>
  <c r="AO14" i="26"/>
  <c r="AJ14" i="26"/>
  <c r="AE14" i="26"/>
  <c r="Z14" i="26"/>
  <c r="U14" i="26"/>
  <c r="P14" i="26"/>
  <c r="K14" i="26"/>
  <c r="F14" i="26"/>
  <c r="BS14" i="26" s="1"/>
  <c r="E14" i="26"/>
  <c r="D14" i="26"/>
  <c r="C14" i="26"/>
  <c r="B14" i="26"/>
  <c r="A14" i="26"/>
  <c r="BQ13" i="26"/>
  <c r="BR13" i="26" s="1"/>
  <c r="BP13" i="26"/>
  <c r="BN13" i="26"/>
  <c r="BI13" i="26"/>
  <c r="BD13" i="26"/>
  <c r="AY13" i="26"/>
  <c r="AT13" i="26"/>
  <c r="AO13" i="26"/>
  <c r="AJ13" i="26"/>
  <c r="AE13" i="26"/>
  <c r="Z13" i="26"/>
  <c r="U13" i="26"/>
  <c r="P13" i="26"/>
  <c r="K13" i="26"/>
  <c r="F13" i="26"/>
  <c r="BS13" i="26" s="1"/>
  <c r="E13" i="26"/>
  <c r="D13" i="26"/>
  <c r="C13" i="26"/>
  <c r="B13" i="26"/>
  <c r="A13" i="26"/>
  <c r="BS12" i="26"/>
  <c r="BQ12" i="26"/>
  <c r="BR12" i="26" s="1"/>
  <c r="BP12" i="26"/>
  <c r="BN12" i="26"/>
  <c r="BI12" i="26"/>
  <c r="BD12" i="26"/>
  <c r="AY12" i="26"/>
  <c r="AT12" i="26"/>
  <c r="AO12" i="26"/>
  <c r="AJ12" i="26"/>
  <c r="AE12" i="26"/>
  <c r="Z12" i="26"/>
  <c r="U12" i="26"/>
  <c r="P12" i="26"/>
  <c r="K12" i="26"/>
  <c r="F12" i="26"/>
  <c r="E12" i="26"/>
  <c r="D12" i="26"/>
  <c r="C12" i="26"/>
  <c r="B12" i="26"/>
  <c r="A12" i="26"/>
  <c r="BQ11" i="26"/>
  <c r="BR11" i="26" s="1"/>
  <c r="BP11" i="26"/>
  <c r="BN11" i="26"/>
  <c r="BI11" i="26"/>
  <c r="BD11" i="26"/>
  <c r="AY11" i="26"/>
  <c r="AT11" i="26"/>
  <c r="AO11" i="26"/>
  <c r="AJ11" i="26"/>
  <c r="AE11" i="26"/>
  <c r="Z11" i="26"/>
  <c r="U11" i="26"/>
  <c r="P11" i="26"/>
  <c r="K11" i="26"/>
  <c r="F11" i="26"/>
  <c r="BS11" i="26" s="1"/>
  <c r="E11" i="26"/>
  <c r="D11" i="26"/>
  <c r="C11" i="26"/>
  <c r="B11" i="26"/>
  <c r="A11" i="26"/>
  <c r="BR10" i="26"/>
  <c r="BQ10" i="26"/>
  <c r="BP10" i="26"/>
  <c r="BN10" i="26"/>
  <c r="BI10" i="26"/>
  <c r="BD10" i="26"/>
  <c r="AY10" i="26"/>
  <c r="AT10" i="26"/>
  <c r="AO10" i="26"/>
  <c r="AJ10" i="26"/>
  <c r="AE10" i="26"/>
  <c r="Z10" i="26"/>
  <c r="U10" i="26"/>
  <c r="P10" i="26"/>
  <c r="K10" i="26"/>
  <c r="F10" i="26"/>
  <c r="BS10" i="26" s="1"/>
  <c r="E10" i="26"/>
  <c r="D10" i="26"/>
  <c r="C10" i="26"/>
  <c r="B10" i="26"/>
  <c r="A10" i="26"/>
  <c r="BP9" i="26"/>
  <c r="BQ9" i="26" s="1"/>
  <c r="BR9" i="26" s="1"/>
  <c r="BN9" i="26"/>
  <c r="BI9" i="26"/>
  <c r="BD9" i="26"/>
  <c r="AY9" i="26"/>
  <c r="AT9" i="26"/>
  <c r="AO9" i="26"/>
  <c r="AJ9" i="26"/>
  <c r="AE9" i="26"/>
  <c r="Z9" i="26"/>
  <c r="U9" i="26"/>
  <c r="P9" i="26"/>
  <c r="K9" i="26"/>
  <c r="F9" i="26"/>
  <c r="BS9" i="26" s="1"/>
  <c r="E9" i="26"/>
  <c r="D9" i="26"/>
  <c r="C9" i="26"/>
  <c r="B9" i="26"/>
  <c r="A9" i="26"/>
  <c r="BP8" i="26"/>
  <c r="BQ8" i="26" s="1"/>
  <c r="BR8" i="26" s="1"/>
  <c r="BN8" i="26"/>
  <c r="BI8" i="26"/>
  <c r="BD8" i="26"/>
  <c r="AY8" i="26"/>
  <c r="AT8" i="26"/>
  <c r="AO8" i="26"/>
  <c r="AJ8" i="26"/>
  <c r="AE8" i="26"/>
  <c r="Z8" i="26"/>
  <c r="U8" i="26"/>
  <c r="P8" i="26"/>
  <c r="K8" i="26"/>
  <c r="F8" i="26"/>
  <c r="BS8" i="26" s="1"/>
  <c r="E8" i="26"/>
  <c r="D8" i="26"/>
  <c r="C8" i="26"/>
  <c r="B8" i="26"/>
  <c r="A8" i="26"/>
  <c r="BP7" i="26"/>
  <c r="BQ7" i="26" s="1"/>
  <c r="BR7" i="26" s="1"/>
  <c r="BN7" i="26"/>
  <c r="BI7" i="26"/>
  <c r="BD7" i="26"/>
  <c r="AY7" i="26"/>
  <c r="AT7" i="26"/>
  <c r="AO7" i="26"/>
  <c r="AJ7" i="26"/>
  <c r="AE7" i="26"/>
  <c r="Z7" i="26"/>
  <c r="U7" i="26"/>
  <c r="P7" i="26"/>
  <c r="K7" i="26"/>
  <c r="F7" i="26"/>
  <c r="BS7" i="26" s="1"/>
  <c r="E7" i="26"/>
  <c r="D7" i="26"/>
  <c r="C7" i="26"/>
  <c r="B7" i="26"/>
  <c r="A7" i="26"/>
  <c r="BQ6" i="26"/>
  <c r="BR6" i="26" s="1"/>
  <c r="BP6" i="26"/>
  <c r="BN6" i="26"/>
  <c r="BI6" i="26"/>
  <c r="BD6" i="26"/>
  <c r="AY6" i="26"/>
  <c r="AT6" i="26"/>
  <c r="AO6" i="26"/>
  <c r="AJ6" i="26"/>
  <c r="AE6" i="26"/>
  <c r="Z6" i="26"/>
  <c r="U6" i="26"/>
  <c r="P6" i="26"/>
  <c r="K6" i="26"/>
  <c r="F6" i="26"/>
  <c r="BS6" i="26" s="1"/>
  <c r="E6" i="26"/>
  <c r="D6" i="26"/>
  <c r="C6" i="26"/>
  <c r="B6" i="26"/>
  <c r="A6" i="26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9" i="25"/>
  <c r="B8" i="25"/>
  <c r="B8" i="24"/>
  <c r="B7" i="24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B18" i="22"/>
  <c r="B8" i="22"/>
  <c r="B7" i="22"/>
  <c r="C23" i="20"/>
  <c r="B23" i="20"/>
  <c r="C22" i="20"/>
  <c r="B22" i="20"/>
  <c r="C21" i="20"/>
  <c r="B21" i="20"/>
  <c r="C20" i="20"/>
  <c r="B20" i="20"/>
  <c r="C19" i="20"/>
  <c r="B19" i="20"/>
  <c r="C18" i="20"/>
  <c r="B18" i="20"/>
  <c r="B13" i="20"/>
  <c r="B8" i="20"/>
  <c r="D41" i="19"/>
  <c r="C41" i="19"/>
  <c r="B41" i="19"/>
  <c r="E40" i="19"/>
  <c r="D40" i="19"/>
  <c r="C40" i="19"/>
  <c r="B40" i="19"/>
  <c r="D39" i="19"/>
  <c r="C39" i="19"/>
  <c r="B39" i="19"/>
  <c r="D38" i="19"/>
  <c r="C38" i="19"/>
  <c r="B38" i="19"/>
  <c r="D37" i="19"/>
  <c r="C37" i="19"/>
  <c r="B37" i="19"/>
  <c r="D36" i="19"/>
  <c r="C36" i="19"/>
  <c r="B36" i="19"/>
  <c r="D35" i="19"/>
  <c r="C35" i="19"/>
  <c r="B35" i="19"/>
  <c r="E34" i="19"/>
  <c r="D34" i="19"/>
  <c r="C34" i="19"/>
  <c r="B34" i="19"/>
  <c r="D33" i="19"/>
  <c r="C33" i="19"/>
  <c r="B33" i="19"/>
  <c r="D32" i="19"/>
  <c r="C32" i="19"/>
  <c r="B32" i="19"/>
  <c r="E31" i="19"/>
  <c r="D31" i="19"/>
  <c r="C31" i="19"/>
  <c r="B31" i="19"/>
  <c r="D30" i="19"/>
  <c r="C30" i="19"/>
  <c r="B30" i="19"/>
  <c r="D29" i="19"/>
  <c r="C29" i="19"/>
  <c r="B29" i="19"/>
  <c r="E28" i="19"/>
  <c r="D28" i="19"/>
  <c r="C28" i="19"/>
  <c r="B28" i="19"/>
  <c r="D27" i="19"/>
  <c r="C27" i="19"/>
  <c r="B27" i="19"/>
  <c r="D26" i="19"/>
  <c r="C26" i="19"/>
  <c r="B26" i="19"/>
  <c r="D25" i="19"/>
  <c r="C25" i="19"/>
  <c r="B25" i="19"/>
  <c r="D24" i="19"/>
  <c r="C24" i="19"/>
  <c r="B24" i="19"/>
  <c r="D23" i="19"/>
  <c r="C23" i="19"/>
  <c r="B23" i="19"/>
  <c r="E22" i="19"/>
  <c r="D22" i="19"/>
  <c r="C22" i="19"/>
  <c r="B22" i="19"/>
  <c r="D17" i="19"/>
  <c r="C17" i="19"/>
  <c r="B17" i="19"/>
  <c r="C16" i="19"/>
  <c r="B16" i="19"/>
  <c r="C15" i="19"/>
  <c r="B15" i="19"/>
  <c r="C14" i="19"/>
  <c r="B14" i="19"/>
  <c r="C13" i="19"/>
  <c r="B13" i="19"/>
  <c r="B9" i="19"/>
  <c r="B8" i="19"/>
  <c r="B24" i="18"/>
  <c r="B16" i="38" s="1"/>
  <c r="B23" i="18"/>
  <c r="B15" i="38" s="1"/>
  <c r="B22" i="18"/>
  <c r="B14" i="38" s="1"/>
  <c r="B21" i="18"/>
  <c r="B13" i="38" s="1"/>
  <c r="B20" i="18"/>
  <c r="B12" i="38" s="1"/>
  <c r="B19" i="18"/>
  <c r="B11" i="38" s="1"/>
  <c r="B18" i="18"/>
  <c r="B10" i="38" s="1"/>
  <c r="B17" i="18"/>
  <c r="B9" i="38" s="1"/>
  <c r="B16" i="18"/>
  <c r="B8" i="38" s="1"/>
  <c r="B15" i="18"/>
  <c r="B7" i="38" s="1"/>
  <c r="B14" i="18"/>
  <c r="B6" i="38" s="1"/>
  <c r="B9" i="18"/>
  <c r="B8" i="18"/>
  <c r="B7" i="18"/>
  <c r="F32" i="17"/>
  <c r="E32" i="17"/>
  <c r="D32" i="17"/>
  <c r="C32" i="17"/>
  <c r="B32" i="17"/>
  <c r="A32" i="17"/>
  <c r="F31" i="17"/>
  <c r="E31" i="17"/>
  <c r="D31" i="17"/>
  <c r="C31" i="17"/>
  <c r="B31" i="17"/>
  <c r="A31" i="17"/>
  <c r="F30" i="17"/>
  <c r="E30" i="17"/>
  <c r="D30" i="17"/>
  <c r="C30" i="17"/>
  <c r="B30" i="17"/>
  <c r="A30" i="17"/>
  <c r="F29" i="17"/>
  <c r="E29" i="17"/>
  <c r="D29" i="17"/>
  <c r="C29" i="17"/>
  <c r="B29" i="17"/>
  <c r="A29" i="17"/>
  <c r="F28" i="17"/>
  <c r="E28" i="17"/>
  <c r="D28" i="17"/>
  <c r="C28" i="17"/>
  <c r="B28" i="17"/>
  <c r="A28" i="17"/>
  <c r="F27" i="17"/>
  <c r="E27" i="17"/>
  <c r="D27" i="17"/>
  <c r="C27" i="17"/>
  <c r="B27" i="17"/>
  <c r="A27" i="17"/>
  <c r="F26" i="17"/>
  <c r="E26" i="17"/>
  <c r="D26" i="17"/>
  <c r="C26" i="17"/>
  <c r="B26" i="17"/>
  <c r="A26" i="17"/>
  <c r="F25" i="17"/>
  <c r="E25" i="17"/>
  <c r="D25" i="17"/>
  <c r="C25" i="17"/>
  <c r="B25" i="17"/>
  <c r="A25" i="17"/>
  <c r="F24" i="17"/>
  <c r="E24" i="17"/>
  <c r="D24" i="17"/>
  <c r="C24" i="17"/>
  <c r="B24" i="17"/>
  <c r="A24" i="17"/>
  <c r="F23" i="17"/>
  <c r="E23" i="17"/>
  <c r="D23" i="17"/>
  <c r="C23" i="17"/>
  <c r="B23" i="17"/>
  <c r="A23" i="17"/>
  <c r="F22" i="17"/>
  <c r="E22" i="17"/>
  <c r="D22" i="17"/>
  <c r="C22" i="17"/>
  <c r="B22" i="17"/>
  <c r="A22" i="17"/>
  <c r="F21" i="17"/>
  <c r="E21" i="17"/>
  <c r="D21" i="17"/>
  <c r="C21" i="17"/>
  <c r="B21" i="17"/>
  <c r="A21" i="17"/>
  <c r="F20" i="17"/>
  <c r="E20" i="17"/>
  <c r="D20" i="17"/>
  <c r="C20" i="17"/>
  <c r="B20" i="17"/>
  <c r="A20" i="17"/>
  <c r="F19" i="17"/>
  <c r="E19" i="17"/>
  <c r="D19" i="17"/>
  <c r="C19" i="17"/>
  <c r="B19" i="17"/>
  <c r="A19" i="17"/>
  <c r="F18" i="17"/>
  <c r="E18" i="17"/>
  <c r="D18" i="17"/>
  <c r="C18" i="17"/>
  <c r="B18" i="17"/>
  <c r="A18" i="17"/>
  <c r="F17" i="17"/>
  <c r="E17" i="17"/>
  <c r="D17" i="17"/>
  <c r="C17" i="17"/>
  <c r="B17" i="17"/>
  <c r="A17" i="17"/>
  <c r="F16" i="17"/>
  <c r="E16" i="17"/>
  <c r="D16" i="17"/>
  <c r="C16" i="17"/>
  <c r="B16" i="17"/>
  <c r="A16" i="17"/>
  <c r="F15" i="17"/>
  <c r="E15" i="17"/>
  <c r="D15" i="17"/>
  <c r="C15" i="17"/>
  <c r="B15" i="17"/>
  <c r="A15" i="17"/>
  <c r="F14" i="17"/>
  <c r="E14" i="17"/>
  <c r="D14" i="17"/>
  <c r="C14" i="17"/>
  <c r="B14" i="17"/>
  <c r="A14" i="17"/>
  <c r="F13" i="17"/>
  <c r="E13" i="17"/>
  <c r="D13" i="17"/>
  <c r="C13" i="17"/>
  <c r="B13" i="17"/>
  <c r="A13" i="17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D26" i="15"/>
  <c r="C26" i="15"/>
  <c r="B26" i="15"/>
  <c r="A26" i="15"/>
  <c r="D25" i="15"/>
  <c r="C25" i="15"/>
  <c r="B25" i="15"/>
  <c r="A25" i="15"/>
  <c r="D24" i="15"/>
  <c r="C24" i="15"/>
  <c r="B24" i="15"/>
  <c r="A24" i="15"/>
  <c r="D23" i="15"/>
  <c r="C23" i="15"/>
  <c r="B23" i="15"/>
  <c r="A23" i="15"/>
  <c r="D22" i="15"/>
  <c r="C22" i="15"/>
  <c r="B22" i="15"/>
  <c r="A22" i="15"/>
  <c r="D21" i="15"/>
  <c r="C21" i="15"/>
  <c r="B21" i="15"/>
  <c r="A21" i="15"/>
  <c r="D20" i="15"/>
  <c r="C20" i="15"/>
  <c r="B20" i="15"/>
  <c r="A20" i="15"/>
  <c r="D19" i="15"/>
  <c r="C19" i="15"/>
  <c r="B19" i="15"/>
  <c r="A19" i="15"/>
  <c r="D18" i="15"/>
  <c r="C18" i="15"/>
  <c r="B18" i="15"/>
  <c r="A18" i="15"/>
  <c r="D17" i="15"/>
  <c r="C17" i="15"/>
  <c r="B17" i="15"/>
  <c r="A17" i="15"/>
  <c r="G16" i="15"/>
  <c r="D16" i="15"/>
  <c r="C16" i="15"/>
  <c r="B16" i="15"/>
  <c r="A16" i="15"/>
  <c r="D15" i="15"/>
  <c r="C15" i="15"/>
  <c r="B15" i="15"/>
  <c r="A15" i="15"/>
  <c r="D14" i="15"/>
  <c r="C14" i="15"/>
  <c r="B14" i="15"/>
  <c r="A14" i="15"/>
  <c r="D13" i="15"/>
  <c r="C13" i="15"/>
  <c r="B13" i="15"/>
  <c r="A13" i="15"/>
  <c r="D12" i="15"/>
  <c r="C12" i="15"/>
  <c r="B12" i="15"/>
  <c r="A12" i="15"/>
  <c r="D11" i="15"/>
  <c r="C11" i="15"/>
  <c r="B11" i="15"/>
  <c r="A11" i="15"/>
  <c r="D10" i="15"/>
  <c r="C10" i="15"/>
  <c r="B10" i="15"/>
  <c r="A10" i="15"/>
  <c r="D9" i="15"/>
  <c r="C9" i="15"/>
  <c r="B9" i="15"/>
  <c r="A9" i="15"/>
  <c r="D8" i="15"/>
  <c r="C8" i="15"/>
  <c r="B8" i="15"/>
  <c r="A8" i="15"/>
  <c r="D7" i="15"/>
  <c r="C7" i="15"/>
  <c r="B7" i="15"/>
  <c r="A7" i="15"/>
  <c r="B30" i="13"/>
  <c r="B8" i="16" s="1"/>
  <c r="A70" i="41"/>
  <c r="A30" i="16"/>
  <c r="A68" i="41"/>
  <c r="A66" i="41"/>
  <c r="A25" i="16"/>
  <c r="A62" i="41"/>
  <c r="A21" i="16"/>
  <c r="A19" i="20"/>
  <c r="A17" i="16"/>
  <c r="A14" i="16"/>
  <c r="B16" i="12"/>
  <c r="B22" i="21" s="1"/>
  <c r="B15" i="12"/>
  <c r="B13" i="21" s="1"/>
  <c r="C10" i="12"/>
  <c r="C10" i="21" s="1"/>
  <c r="C9" i="12"/>
  <c r="C9" i="21" s="1"/>
  <c r="C8" i="12"/>
  <c r="C8" i="21" s="1"/>
  <c r="N25" i="43"/>
  <c r="N24" i="43"/>
  <c r="N23" i="43"/>
  <c r="N22" i="43"/>
  <c r="N21" i="43"/>
  <c r="N20" i="43"/>
  <c r="N19" i="43"/>
  <c r="N18" i="43"/>
  <c r="N17" i="43"/>
  <c r="N16" i="43"/>
  <c r="N15" i="43"/>
  <c r="N14" i="43"/>
  <c r="N13" i="43"/>
  <c r="N12" i="43"/>
  <c r="N11" i="43"/>
  <c r="N10" i="43"/>
  <c r="N9" i="43"/>
  <c r="N8" i="43"/>
  <c r="N7" i="43"/>
  <c r="N6" i="43"/>
  <c r="B6" i="19"/>
  <c r="B26" i="10"/>
  <c r="A26" i="10"/>
  <c r="A41" i="19" s="1"/>
  <c r="M24" i="43"/>
  <c r="B25" i="10"/>
  <c r="A25" i="10"/>
  <c r="A40" i="19" s="1"/>
  <c r="B24" i="10"/>
  <c r="A24" i="10"/>
  <c r="A39" i="19" s="1"/>
  <c r="B23" i="10"/>
  <c r="A23" i="10"/>
  <c r="A38" i="19" s="1"/>
  <c r="B22" i="10"/>
  <c r="A22" i="10"/>
  <c r="A37" i="19" s="1"/>
  <c r="M20" i="43"/>
  <c r="B21" i="10"/>
  <c r="A21" i="10"/>
  <c r="A36" i="19" s="1"/>
  <c r="E35" i="19"/>
  <c r="B20" i="10"/>
  <c r="A20" i="10"/>
  <c r="A35" i="19" s="1"/>
  <c r="M18" i="43"/>
  <c r="B19" i="10"/>
  <c r="A19" i="10"/>
  <c r="A34" i="19" s="1"/>
  <c r="B18" i="10"/>
  <c r="A18" i="10"/>
  <c r="A33" i="19" s="1"/>
  <c r="B17" i="10"/>
  <c r="A17" i="10"/>
  <c r="A32" i="19" s="1"/>
  <c r="M15" i="43"/>
  <c r="B16" i="10"/>
  <c r="A16" i="10"/>
  <c r="A31" i="19" s="1"/>
  <c r="B15" i="10"/>
  <c r="A15" i="10"/>
  <c r="A30" i="19" s="1"/>
  <c r="B14" i="10"/>
  <c r="A14" i="10"/>
  <c r="A29" i="19" s="1"/>
  <c r="M12" i="43"/>
  <c r="B13" i="10"/>
  <c r="A13" i="10"/>
  <c r="A28" i="19" s="1"/>
  <c r="B12" i="10"/>
  <c r="A12" i="10"/>
  <c r="A27" i="19" s="1"/>
  <c r="B11" i="10"/>
  <c r="A11" i="10"/>
  <c r="A26" i="19" s="1"/>
  <c r="B10" i="10"/>
  <c r="A10" i="10"/>
  <c r="A25" i="19" s="1"/>
  <c r="M8" i="43"/>
  <c r="B9" i="10"/>
  <c r="A9" i="10"/>
  <c r="A24" i="19" s="1"/>
  <c r="M7" i="43"/>
  <c r="B8" i="10"/>
  <c r="A8" i="10"/>
  <c r="A23" i="19" s="1"/>
  <c r="B7" i="10"/>
  <c r="A7" i="10"/>
  <c r="A22" i="19" s="1"/>
  <c r="B17" i="24"/>
  <c r="G26" i="9"/>
  <c r="D33" i="23" s="1"/>
  <c r="F26" i="9"/>
  <c r="B26" i="9"/>
  <c r="A26" i="9"/>
  <c r="A33" i="23" s="1"/>
  <c r="G25" i="9"/>
  <c r="D32" i="23" s="1"/>
  <c r="F25" i="9"/>
  <c r="B25" i="9"/>
  <c r="A25" i="9"/>
  <c r="A32" i="23" s="1"/>
  <c r="G24" i="9"/>
  <c r="D31" i="23" s="1"/>
  <c r="F24" i="9"/>
  <c r="B24" i="9"/>
  <c r="A24" i="9"/>
  <c r="A31" i="23" s="1"/>
  <c r="G23" i="9"/>
  <c r="D30" i="23" s="1"/>
  <c r="F23" i="9"/>
  <c r="B23" i="9"/>
  <c r="A23" i="9"/>
  <c r="A30" i="23" s="1"/>
  <c r="G22" i="9"/>
  <c r="D29" i="23" s="1"/>
  <c r="F22" i="9"/>
  <c r="B22" i="9"/>
  <c r="A22" i="9"/>
  <c r="A29" i="23" s="1"/>
  <c r="G21" i="9"/>
  <c r="D28" i="23" s="1"/>
  <c r="F21" i="9"/>
  <c r="B21" i="9"/>
  <c r="A21" i="9"/>
  <c r="A28" i="23" s="1"/>
  <c r="G20" i="9"/>
  <c r="D27" i="23" s="1"/>
  <c r="F20" i="9"/>
  <c r="B20" i="9"/>
  <c r="A20" i="9"/>
  <c r="A27" i="23" s="1"/>
  <c r="G19" i="9"/>
  <c r="D26" i="23" s="1"/>
  <c r="F19" i="9"/>
  <c r="B19" i="9"/>
  <c r="A19" i="9"/>
  <c r="A26" i="23" s="1"/>
  <c r="G18" i="9"/>
  <c r="D25" i="23" s="1"/>
  <c r="F18" i="9"/>
  <c r="B18" i="9"/>
  <c r="A18" i="9"/>
  <c r="A25" i="23" s="1"/>
  <c r="G17" i="9"/>
  <c r="D24" i="23" s="1"/>
  <c r="F17" i="9"/>
  <c r="B17" i="9"/>
  <c r="A17" i="9"/>
  <c r="A24" i="23" s="1"/>
  <c r="G16" i="9"/>
  <c r="D23" i="23" s="1"/>
  <c r="F16" i="9"/>
  <c r="B16" i="9"/>
  <c r="A16" i="9"/>
  <c r="A23" i="23" s="1"/>
  <c r="G15" i="9"/>
  <c r="D22" i="23" s="1"/>
  <c r="F15" i="9"/>
  <c r="B15" i="9"/>
  <c r="A15" i="9"/>
  <c r="A22" i="23" s="1"/>
  <c r="G14" i="9"/>
  <c r="D21" i="23" s="1"/>
  <c r="F14" i="9"/>
  <c r="B14" i="9"/>
  <c r="A14" i="9"/>
  <c r="A21" i="23" s="1"/>
  <c r="G13" i="9"/>
  <c r="D20" i="23" s="1"/>
  <c r="F13" i="9"/>
  <c r="B13" i="9"/>
  <c r="A13" i="9"/>
  <c r="A20" i="23" s="1"/>
  <c r="G12" i="9"/>
  <c r="D19" i="23" s="1"/>
  <c r="F12" i="9"/>
  <c r="B12" i="9"/>
  <c r="A12" i="9"/>
  <c r="A19" i="23" s="1"/>
  <c r="G11" i="9"/>
  <c r="D18" i="23" s="1"/>
  <c r="F11" i="9"/>
  <c r="B11" i="9"/>
  <c r="A11" i="9"/>
  <c r="A18" i="23" s="1"/>
  <c r="G10" i="9"/>
  <c r="D17" i="23" s="1"/>
  <c r="F10" i="9"/>
  <c r="B10" i="9"/>
  <c r="A10" i="9"/>
  <c r="A17" i="23" s="1"/>
  <c r="G9" i="9"/>
  <c r="D16" i="23" s="1"/>
  <c r="F9" i="9"/>
  <c r="B9" i="9"/>
  <c r="A9" i="9"/>
  <c r="A16" i="23" s="1"/>
  <c r="G8" i="9"/>
  <c r="D15" i="23" s="1"/>
  <c r="F8" i="9"/>
  <c r="B8" i="9"/>
  <c r="A8" i="9"/>
  <c r="A15" i="23" s="1"/>
  <c r="G7" i="9"/>
  <c r="D14" i="23" s="1"/>
  <c r="F7" i="9"/>
  <c r="B7" i="9"/>
  <c r="A7" i="9"/>
  <c r="A14" i="23" s="1"/>
  <c r="I26" i="7"/>
  <c r="B26" i="7"/>
  <c r="A26" i="7"/>
  <c r="I25" i="7"/>
  <c r="B25" i="7"/>
  <c r="A25" i="7"/>
  <c r="I24" i="7"/>
  <c r="B24" i="7"/>
  <c r="A24" i="7"/>
  <c r="I23" i="7"/>
  <c r="B23" i="7"/>
  <c r="A23" i="7"/>
  <c r="I22" i="7"/>
  <c r="B22" i="7"/>
  <c r="A22" i="7"/>
  <c r="I21" i="7"/>
  <c r="B21" i="7"/>
  <c r="A21" i="7"/>
  <c r="I20" i="7"/>
  <c r="B20" i="7"/>
  <c r="A20" i="7"/>
  <c r="I19" i="7"/>
  <c r="B19" i="7"/>
  <c r="A19" i="7"/>
  <c r="I18" i="7"/>
  <c r="B18" i="7"/>
  <c r="A18" i="7"/>
  <c r="I17" i="7"/>
  <c r="B17" i="7"/>
  <c r="A17" i="7"/>
  <c r="I16" i="7"/>
  <c r="B16" i="7"/>
  <c r="A16" i="7"/>
  <c r="I15" i="7"/>
  <c r="B15" i="7"/>
  <c r="A15" i="7"/>
  <c r="I14" i="7"/>
  <c r="B14" i="7"/>
  <c r="A14" i="7"/>
  <c r="I13" i="7"/>
  <c r="B13" i="7"/>
  <c r="A13" i="7"/>
  <c r="I12" i="7"/>
  <c r="B12" i="7"/>
  <c r="A12" i="7"/>
  <c r="I11" i="7"/>
  <c r="B11" i="7"/>
  <c r="A11" i="7"/>
  <c r="I10" i="7"/>
  <c r="B10" i="7"/>
  <c r="A10" i="7"/>
  <c r="I9" i="7"/>
  <c r="B9" i="7"/>
  <c r="A9" i="7"/>
  <c r="I8" i="7"/>
  <c r="B8" i="7"/>
  <c r="A8" i="7"/>
  <c r="I7" i="7"/>
  <c r="B7" i="7"/>
  <c r="A7" i="7"/>
  <c r="F26" i="6"/>
  <c r="AG26" i="6" s="1"/>
  <c r="E26" i="6"/>
  <c r="D26" i="6"/>
  <c r="C26" i="6"/>
  <c r="B26" i="6"/>
  <c r="A26" i="6"/>
  <c r="F25" i="6"/>
  <c r="AG25" i="6" s="1"/>
  <c r="E25" i="6"/>
  <c r="D25" i="6"/>
  <c r="C25" i="6"/>
  <c r="B25" i="6"/>
  <c r="A25" i="6"/>
  <c r="F24" i="6"/>
  <c r="AG24" i="6" s="1"/>
  <c r="E24" i="6"/>
  <c r="D24" i="6"/>
  <c r="C24" i="6"/>
  <c r="B24" i="6"/>
  <c r="A24" i="6"/>
  <c r="F23" i="6"/>
  <c r="AG23" i="6" s="1"/>
  <c r="E23" i="6"/>
  <c r="D23" i="6"/>
  <c r="C23" i="6"/>
  <c r="B23" i="6"/>
  <c r="A23" i="6"/>
  <c r="F22" i="6"/>
  <c r="AG22" i="6" s="1"/>
  <c r="E22" i="6"/>
  <c r="D22" i="6"/>
  <c r="C22" i="6"/>
  <c r="B22" i="6"/>
  <c r="A22" i="6"/>
  <c r="F21" i="6"/>
  <c r="AG21" i="6" s="1"/>
  <c r="E21" i="6"/>
  <c r="D21" i="6"/>
  <c r="C21" i="6"/>
  <c r="B21" i="6"/>
  <c r="A21" i="6"/>
  <c r="F20" i="6"/>
  <c r="AG20" i="6" s="1"/>
  <c r="E20" i="6"/>
  <c r="D20" i="6"/>
  <c r="C20" i="6"/>
  <c r="B20" i="6"/>
  <c r="A20" i="6"/>
  <c r="F19" i="6"/>
  <c r="AG19" i="6" s="1"/>
  <c r="E19" i="6"/>
  <c r="D19" i="6"/>
  <c r="C19" i="6"/>
  <c r="B19" i="6"/>
  <c r="A19" i="6"/>
  <c r="F18" i="6"/>
  <c r="AG18" i="6" s="1"/>
  <c r="E18" i="6"/>
  <c r="D18" i="6"/>
  <c r="C18" i="6"/>
  <c r="B18" i="6"/>
  <c r="A18" i="6"/>
  <c r="F17" i="6"/>
  <c r="AG17" i="6" s="1"/>
  <c r="E17" i="6"/>
  <c r="D17" i="6"/>
  <c r="C17" i="6"/>
  <c r="B17" i="6"/>
  <c r="A17" i="6"/>
  <c r="F16" i="6"/>
  <c r="AG16" i="6" s="1"/>
  <c r="E16" i="6"/>
  <c r="D16" i="6"/>
  <c r="C16" i="6"/>
  <c r="B16" i="6"/>
  <c r="A16" i="6"/>
  <c r="F15" i="6"/>
  <c r="E15" i="6"/>
  <c r="D15" i="6"/>
  <c r="C15" i="6"/>
  <c r="B15" i="6"/>
  <c r="A15" i="6"/>
  <c r="F14" i="6"/>
  <c r="AG14" i="6" s="1"/>
  <c r="E14" i="6"/>
  <c r="D14" i="6"/>
  <c r="C14" i="6"/>
  <c r="B14" i="6"/>
  <c r="A14" i="6"/>
  <c r="F13" i="6"/>
  <c r="AG13" i="6" s="1"/>
  <c r="E13" i="6"/>
  <c r="D13" i="6"/>
  <c r="C13" i="6"/>
  <c r="B13" i="6"/>
  <c r="A13" i="6"/>
  <c r="F12" i="6"/>
  <c r="AG12" i="6" s="1"/>
  <c r="E12" i="6"/>
  <c r="D12" i="6"/>
  <c r="C12" i="6"/>
  <c r="B12" i="6"/>
  <c r="A12" i="6"/>
  <c r="F11" i="6"/>
  <c r="E11" i="6"/>
  <c r="D11" i="6"/>
  <c r="C11" i="6"/>
  <c r="B11" i="6"/>
  <c r="A11" i="6"/>
  <c r="F10" i="6"/>
  <c r="AG10" i="6" s="1"/>
  <c r="E10" i="6"/>
  <c r="D10" i="6"/>
  <c r="C10" i="6"/>
  <c r="B10" i="6"/>
  <c r="A10" i="6"/>
  <c r="F9" i="6"/>
  <c r="E9" i="6"/>
  <c r="D9" i="6"/>
  <c r="C9" i="6"/>
  <c r="B9" i="6"/>
  <c r="A9" i="6"/>
  <c r="F8" i="6"/>
  <c r="AG8" i="6" s="1"/>
  <c r="E8" i="6"/>
  <c r="D8" i="6"/>
  <c r="C8" i="6"/>
  <c r="B8" i="6"/>
  <c r="A8" i="6"/>
  <c r="F7" i="6"/>
  <c r="AG7" i="6" s="1"/>
  <c r="E7" i="6"/>
  <c r="D7" i="6"/>
  <c r="C7" i="6"/>
  <c r="B7" i="6"/>
  <c r="A7" i="6"/>
  <c r="B26" i="8"/>
  <c r="A26" i="8"/>
  <c r="A40" i="25" s="1"/>
  <c r="C39" i="25"/>
  <c r="B25" i="8"/>
  <c r="A25" i="8"/>
  <c r="A39" i="25" s="1"/>
  <c r="C38" i="25"/>
  <c r="B24" i="8"/>
  <c r="A24" i="8"/>
  <c r="A38" i="25" s="1"/>
  <c r="C37" i="25"/>
  <c r="B23" i="8"/>
  <c r="A23" i="8"/>
  <c r="A37" i="25" s="1"/>
  <c r="B22" i="8"/>
  <c r="A22" i="8"/>
  <c r="A36" i="25" s="1"/>
  <c r="C35" i="25"/>
  <c r="B21" i="8"/>
  <c r="A21" i="8"/>
  <c r="A35" i="25" s="1"/>
  <c r="C34" i="25"/>
  <c r="C96" i="39"/>
  <c r="B20" i="8"/>
  <c r="A20" i="8"/>
  <c r="A34" i="25" s="1"/>
  <c r="B19" i="8"/>
  <c r="A19" i="8"/>
  <c r="A33" i="25" s="1"/>
  <c r="C94" i="39"/>
  <c r="B18" i="8"/>
  <c r="A18" i="8"/>
  <c r="A32" i="25" s="1"/>
  <c r="B17" i="8"/>
  <c r="A17" i="8"/>
  <c r="A31" i="25" s="1"/>
  <c r="C92" i="39"/>
  <c r="B16" i="8"/>
  <c r="A16" i="8"/>
  <c r="A30" i="25" s="1"/>
  <c r="C29" i="25"/>
  <c r="B15" i="8"/>
  <c r="A15" i="8"/>
  <c r="A29" i="25" s="1"/>
  <c r="D90" i="39"/>
  <c r="B14" i="8"/>
  <c r="A14" i="8"/>
  <c r="A28" i="25" s="1"/>
  <c r="C27" i="25"/>
  <c r="B13" i="8"/>
  <c r="A13" i="8"/>
  <c r="A27" i="25" s="1"/>
  <c r="B12" i="8"/>
  <c r="A12" i="8"/>
  <c r="A26" i="25" s="1"/>
  <c r="C25" i="25"/>
  <c r="B11" i="8"/>
  <c r="A11" i="8"/>
  <c r="A25" i="25" s="1"/>
  <c r="C24" i="25"/>
  <c r="B10" i="8"/>
  <c r="A10" i="8"/>
  <c r="A24" i="25" s="1"/>
  <c r="B9" i="8"/>
  <c r="A9" i="8"/>
  <c r="A23" i="25" s="1"/>
  <c r="B8" i="8"/>
  <c r="A8" i="8"/>
  <c r="A22" i="25" s="1"/>
  <c r="B7" i="8"/>
  <c r="A7" i="8"/>
  <c r="A21" i="25" s="1"/>
  <c r="H26" i="7"/>
  <c r="H25" i="7"/>
  <c r="K24" i="43" s="1"/>
  <c r="H24" i="7"/>
  <c r="K23" i="43" s="1"/>
  <c r="H23" i="7"/>
  <c r="H22" i="7"/>
  <c r="K21" i="43" s="1"/>
  <c r="H21" i="7"/>
  <c r="H20" i="7"/>
  <c r="H19" i="7"/>
  <c r="K18" i="43" s="1"/>
  <c r="H18" i="7"/>
  <c r="K17" i="43" s="1"/>
  <c r="H17" i="7"/>
  <c r="K16" i="43" s="1"/>
  <c r="H16" i="7"/>
  <c r="K15" i="43" s="1"/>
  <c r="H15" i="7"/>
  <c r="K14" i="43" s="1"/>
  <c r="H14" i="7"/>
  <c r="H13" i="7"/>
  <c r="K12" i="43" s="1"/>
  <c r="H12" i="7"/>
  <c r="K11" i="43" s="1"/>
  <c r="H11" i="7"/>
  <c r="H10" i="7"/>
  <c r="H9" i="7"/>
  <c r="K8" i="43" s="1"/>
  <c r="H8" i="7"/>
  <c r="H7" i="7"/>
  <c r="AE26" i="6"/>
  <c r="AF26" i="6" s="1"/>
  <c r="AE25" i="6"/>
  <c r="AF25" i="6" s="1"/>
  <c r="AE24" i="6"/>
  <c r="AF24" i="6" s="1"/>
  <c r="AE23" i="6"/>
  <c r="AF23" i="6" s="1"/>
  <c r="AE22" i="6"/>
  <c r="AF22" i="6" s="1"/>
  <c r="AE21" i="6"/>
  <c r="AF21" i="6" s="1"/>
  <c r="AE20" i="6"/>
  <c r="AF20" i="6" s="1"/>
  <c r="AE19" i="6"/>
  <c r="AF19" i="6" s="1"/>
  <c r="AE18" i="6"/>
  <c r="AF18" i="6" s="1"/>
  <c r="AE17" i="6"/>
  <c r="AF17" i="6" s="1"/>
  <c r="AE16" i="6"/>
  <c r="AF16" i="6" s="1"/>
  <c r="AG15" i="6"/>
  <c r="AE15" i="6"/>
  <c r="AF15" i="6" s="1"/>
  <c r="AE14" i="6"/>
  <c r="AF14" i="6" s="1"/>
  <c r="AE13" i="6"/>
  <c r="AF13" i="6" s="1"/>
  <c r="AE12" i="6"/>
  <c r="AF12" i="6" s="1"/>
  <c r="AG11" i="6"/>
  <c r="AE11" i="6"/>
  <c r="AF11" i="6" s="1"/>
  <c r="AE10" i="6"/>
  <c r="AF10" i="6" s="1"/>
  <c r="AG9" i="6"/>
  <c r="AE9" i="6"/>
  <c r="AF9" i="6" s="1"/>
  <c r="AE8" i="6"/>
  <c r="AF8" i="6" s="1"/>
  <c r="AE7" i="6"/>
  <c r="AF7" i="6" s="1"/>
  <c r="H25" i="43"/>
  <c r="B25" i="13"/>
  <c r="H22" i="43"/>
  <c r="F22" i="43"/>
  <c r="H21" i="43"/>
  <c r="H20" i="43"/>
  <c r="H18" i="43"/>
  <c r="F18" i="43"/>
  <c r="G15" i="26"/>
  <c r="H13" i="43"/>
  <c r="H11" i="43"/>
  <c r="B11" i="13"/>
  <c r="H10" i="43"/>
  <c r="B10" i="13"/>
  <c r="E18" i="16" s="1"/>
  <c r="G10" i="15"/>
  <c r="H6" i="43"/>
  <c r="B6" i="13"/>
  <c r="B53" i="41" s="1"/>
  <c r="B34" i="2"/>
  <c r="B29" i="2"/>
  <c r="B12" i="20" s="1"/>
  <c r="B9" i="24" l="1"/>
  <c r="E89" i="39"/>
  <c r="F89" i="39" s="1"/>
  <c r="E87" i="39"/>
  <c r="F87" i="39" s="1"/>
  <c r="A29" i="16"/>
  <c r="B34" i="4"/>
  <c r="B35" i="4" s="1"/>
  <c r="A72" i="41"/>
  <c r="A23" i="20"/>
  <c r="A33" i="16"/>
  <c r="C91" i="39"/>
  <c r="L12" i="5" a="1"/>
  <c r="L12" i="5" s="1"/>
  <c r="L19" i="5" a="1"/>
  <c r="L19" i="5" s="1"/>
  <c r="L23" i="5" a="1"/>
  <c r="L23" i="5" s="1"/>
  <c r="D91" i="39"/>
  <c r="H12" i="43"/>
  <c r="L9" i="5" a="1"/>
  <c r="L9" i="5" s="1"/>
  <c r="D101" i="39"/>
  <c r="E101" i="39" s="1"/>
  <c r="F101" i="39" s="1"/>
  <c r="L6" i="5" a="1"/>
  <c r="L6" i="5" s="1"/>
  <c r="L20" i="5" a="1"/>
  <c r="L20" i="5" s="1"/>
  <c r="L24" i="5" a="1"/>
  <c r="L24" i="5" s="1"/>
  <c r="C84" i="39"/>
  <c r="D98" i="39"/>
  <c r="C98" i="39"/>
  <c r="E98" i="39" s="1"/>
  <c r="F98" i="39" s="1"/>
  <c r="L11" i="43"/>
  <c r="C88" i="39"/>
  <c r="D102" i="39"/>
  <c r="C102" i="39"/>
  <c r="L10" i="5" a="1"/>
  <c r="L10" i="5" s="1"/>
  <c r="L7" i="5" a="1"/>
  <c r="L7" i="5" s="1"/>
  <c r="L14" i="5" a="1"/>
  <c r="L14" i="5" s="1"/>
  <c r="H14" i="43"/>
  <c r="L21" i="5" a="1"/>
  <c r="L21" i="5" s="1"/>
  <c r="L25" i="5" a="1"/>
  <c r="L25" i="5" s="1"/>
  <c r="C99" i="39"/>
  <c r="E99" i="39" s="1"/>
  <c r="F99" i="39" s="1"/>
  <c r="D92" i="39"/>
  <c r="E92" i="39" s="1"/>
  <c r="F92" i="39" s="1"/>
  <c r="C100" i="39"/>
  <c r="L17" i="5" a="1"/>
  <c r="L17" i="5" s="1"/>
  <c r="D96" i="39"/>
  <c r="E96" i="39" s="1"/>
  <c r="F96" i="39" s="1"/>
  <c r="D100" i="39"/>
  <c r="H8" i="43"/>
  <c r="H15" i="43"/>
  <c r="L13" i="5" a="1"/>
  <c r="L13" i="5" s="1"/>
  <c r="E7" i="15"/>
  <c r="B42" i="41"/>
  <c r="B11" i="28"/>
  <c r="G11" i="15"/>
  <c r="G23" i="15"/>
  <c r="G14" i="26"/>
  <c r="E16" i="15"/>
  <c r="G26" i="15"/>
  <c r="E14" i="15"/>
  <c r="D95" i="39"/>
  <c r="E95" i="39" s="1"/>
  <c r="F95" i="39" s="1"/>
  <c r="G7" i="15"/>
  <c r="E12" i="15"/>
  <c r="A23" i="16"/>
  <c r="G22" i="26"/>
  <c r="B18" i="13"/>
  <c r="E26" i="16" s="1"/>
  <c r="G19" i="15"/>
  <c r="G12" i="15"/>
  <c r="E22" i="15"/>
  <c r="A56" i="41"/>
  <c r="E15" i="15"/>
  <c r="G18" i="26"/>
  <c r="G20" i="15"/>
  <c r="A22" i="20"/>
  <c r="A69" i="41"/>
  <c r="B14" i="13"/>
  <c r="E11" i="15"/>
  <c r="E18" i="15"/>
  <c r="E23" i="15"/>
  <c r="C31" i="25"/>
  <c r="L16" i="43"/>
  <c r="C28" i="25"/>
  <c r="L13" i="43"/>
  <c r="H16" i="43"/>
  <c r="E17" i="15"/>
  <c r="F8" i="43"/>
  <c r="G8" i="26"/>
  <c r="G12" i="26"/>
  <c r="F12" i="43"/>
  <c r="G13" i="15"/>
  <c r="B12" i="13"/>
  <c r="F16" i="43"/>
  <c r="G16" i="26"/>
  <c r="F20" i="43"/>
  <c r="G20" i="26"/>
  <c r="G24" i="26"/>
  <c r="F24" i="43"/>
  <c r="K10" i="43"/>
  <c r="K22" i="43"/>
  <c r="B8" i="13"/>
  <c r="B72" i="41"/>
  <c r="A57" i="41"/>
  <c r="A18" i="16"/>
  <c r="H24" i="43"/>
  <c r="D94" i="39"/>
  <c r="E94" i="39" s="1"/>
  <c r="F94" i="39" s="1"/>
  <c r="A71" i="41"/>
  <c r="A32" i="16"/>
  <c r="B7" i="25"/>
  <c r="B13" i="25"/>
  <c r="B45" i="25" s="1"/>
  <c r="F17" i="43"/>
  <c r="G17" i="26"/>
  <c r="G18" i="15"/>
  <c r="L20" i="43"/>
  <c r="K7" i="43"/>
  <c r="B11" i="44"/>
  <c r="C9" i="29"/>
  <c r="L10" i="43"/>
  <c r="C36" i="25"/>
  <c r="B13" i="22"/>
  <c r="B24" i="22" s="1"/>
  <c r="B9" i="22"/>
  <c r="B17" i="13"/>
  <c r="E25" i="15"/>
  <c r="B19" i="22"/>
  <c r="B10" i="22"/>
  <c r="M9" i="43"/>
  <c r="E25" i="19"/>
  <c r="M13" i="43"/>
  <c r="E29" i="19"/>
  <c r="M17" i="43"/>
  <c r="E33" i="19"/>
  <c r="D16" i="19"/>
  <c r="M21" i="43"/>
  <c r="E37" i="19"/>
  <c r="M25" i="43"/>
  <c r="E41" i="19"/>
  <c r="A58" i="41"/>
  <c r="A18" i="20"/>
  <c r="A19" i="16"/>
  <c r="E21" i="15"/>
  <c r="G25" i="15"/>
  <c r="B12" i="29"/>
  <c r="B24" i="13"/>
  <c r="F9" i="43"/>
  <c r="B9" i="13"/>
  <c r="F13" i="43"/>
  <c r="G13" i="26"/>
  <c r="F21" i="43"/>
  <c r="G21" i="26"/>
  <c r="G22" i="15"/>
  <c r="K25" i="43"/>
  <c r="B58" i="41"/>
  <c r="E19" i="16"/>
  <c r="K13" i="43"/>
  <c r="B20" i="13"/>
  <c r="K6" i="43"/>
  <c r="D6" i="13"/>
  <c r="M6" i="43"/>
  <c r="D15" i="19"/>
  <c r="M10" i="43"/>
  <c r="D13" i="19"/>
  <c r="E26" i="19"/>
  <c r="M14" i="43"/>
  <c r="E30" i="19"/>
  <c r="M22" i="43"/>
  <c r="E38" i="19"/>
  <c r="B11" i="40"/>
  <c r="C30" i="40"/>
  <c r="E13" i="15"/>
  <c r="G17" i="15"/>
  <c r="A31" i="16"/>
  <c r="E33" i="16"/>
  <c r="D14" i="19"/>
  <c r="B16" i="22"/>
  <c r="G14" i="15"/>
  <c r="B44" i="41"/>
  <c r="B7" i="19"/>
  <c r="E9" i="29" s="1"/>
  <c r="B11" i="41"/>
  <c r="E8" i="29"/>
  <c r="B13" i="44"/>
  <c r="A27" i="16"/>
  <c r="F11" i="43"/>
  <c r="G11" i="26"/>
  <c r="F23" i="43"/>
  <c r="G23" i="26"/>
  <c r="G24" i="15"/>
  <c r="A67" i="41"/>
  <c r="A28" i="16"/>
  <c r="B54" i="41"/>
  <c r="G21" i="15"/>
  <c r="F7" i="43"/>
  <c r="G7" i="26"/>
  <c r="G8" i="15"/>
  <c r="F19" i="43"/>
  <c r="B19" i="13"/>
  <c r="C21" i="25"/>
  <c r="C31" i="40"/>
  <c r="B25" i="40"/>
  <c r="G9" i="15"/>
  <c r="B17" i="22"/>
  <c r="H19" i="43"/>
  <c r="E20" i="15"/>
  <c r="B18" i="40"/>
  <c r="C32" i="40"/>
  <c r="A61" i="41"/>
  <c r="A22" i="16"/>
  <c r="A64" i="41"/>
  <c r="A21" i="20"/>
  <c r="A54" i="41"/>
  <c r="A15" i="16"/>
  <c r="B13" i="13"/>
  <c r="E9" i="15"/>
  <c r="F15" i="43"/>
  <c r="B15" i="13"/>
  <c r="K19" i="43"/>
  <c r="H7" i="43"/>
  <c r="E8" i="15"/>
  <c r="H23" i="43"/>
  <c r="E24" i="15"/>
  <c r="K20" i="43"/>
  <c r="K9" i="43"/>
  <c r="B16" i="13"/>
  <c r="B21" i="13"/>
  <c r="B23" i="13"/>
  <c r="G9" i="26"/>
  <c r="E23" i="19"/>
  <c r="B57" i="41"/>
  <c r="A60" i="41"/>
  <c r="A20" i="20"/>
  <c r="A63" i="41"/>
  <c r="A24" i="16"/>
  <c r="E14" i="16"/>
  <c r="B11" i="24"/>
  <c r="B10" i="23"/>
  <c r="B7" i="23"/>
  <c r="B19" i="24"/>
  <c r="A59" i="41"/>
  <c r="A20" i="16"/>
  <c r="B22" i="13"/>
  <c r="M11" i="43"/>
  <c r="E27" i="19"/>
  <c r="M23" i="43"/>
  <c r="E39" i="19"/>
  <c r="E10" i="15"/>
  <c r="G15" i="15"/>
  <c r="E26" i="15"/>
  <c r="E24" i="19"/>
  <c r="E36" i="19"/>
  <c r="F25" i="43"/>
  <c r="G25" i="26"/>
  <c r="F6" i="43"/>
  <c r="G6" i="26"/>
  <c r="F10" i="43"/>
  <c r="G10" i="26"/>
  <c r="M16" i="43"/>
  <c r="E32" i="19"/>
  <c r="A55" i="41"/>
  <c r="A16" i="16"/>
  <c r="A26" i="16"/>
  <c r="A65" i="41"/>
  <c r="E19" i="15"/>
  <c r="B37" i="30"/>
  <c r="L23" i="43"/>
  <c r="L22" i="43"/>
  <c r="E27" i="8"/>
  <c r="L6" i="43"/>
  <c r="L25" i="43" l="1"/>
  <c r="C40" i="25"/>
  <c r="E102" i="39"/>
  <c r="F102" i="39" s="1"/>
  <c r="E100" i="39"/>
  <c r="F100" i="39" s="1"/>
  <c r="D16" i="13"/>
  <c r="D63" i="41" s="1"/>
  <c r="D10" i="13"/>
  <c r="D57" i="41" s="1"/>
  <c r="C26" i="25"/>
  <c r="D88" i="39"/>
  <c r="D25" i="13"/>
  <c r="O25" i="43" s="1"/>
  <c r="F27" i="8"/>
  <c r="G27" i="8" s="1"/>
  <c r="D85" i="39"/>
  <c r="E85" i="39" s="1"/>
  <c r="F85" i="39" s="1"/>
  <c r="V11" i="43"/>
  <c r="E84" i="39"/>
  <c r="F84" i="39" s="1"/>
  <c r="B38" i="23"/>
  <c r="C20" i="29" s="1"/>
  <c r="B65" i="41"/>
  <c r="E88" i="39"/>
  <c r="F88" i="39" s="1"/>
  <c r="F11" i="13"/>
  <c r="F58" i="41" s="1"/>
  <c r="C22" i="25"/>
  <c r="D84" i="39"/>
  <c r="E91" i="39"/>
  <c r="F91" i="39" s="1"/>
  <c r="E30" i="25"/>
  <c r="V25" i="43"/>
  <c r="C30" i="25"/>
  <c r="B61" i="41"/>
  <c r="E22" i="16"/>
  <c r="C33" i="25"/>
  <c r="H26" i="43"/>
  <c r="G27" i="15"/>
  <c r="E33" i="25"/>
  <c r="V22" i="43"/>
  <c r="E37" i="25"/>
  <c r="I7" i="43"/>
  <c r="F8" i="15"/>
  <c r="C7" i="13"/>
  <c r="I18" i="43"/>
  <c r="C18" i="13"/>
  <c r="F19" i="15"/>
  <c r="L21" i="43"/>
  <c r="D21" i="13"/>
  <c r="I20" i="43"/>
  <c r="F21" i="15"/>
  <c r="C20" i="13"/>
  <c r="I20" i="13" s="1"/>
  <c r="B63" i="41"/>
  <c r="E24" i="16"/>
  <c r="I9" i="43"/>
  <c r="F10" i="15"/>
  <c r="C9" i="13"/>
  <c r="I21" i="43"/>
  <c r="C21" i="13"/>
  <c r="F22" i="15"/>
  <c r="J12" i="43"/>
  <c r="D27" i="25"/>
  <c r="F12" i="13"/>
  <c r="F59" i="41" s="1"/>
  <c r="V23" i="43"/>
  <c r="E38" i="25"/>
  <c r="B69" i="41"/>
  <c r="E30" i="16"/>
  <c r="C23" i="25"/>
  <c r="I22" i="43"/>
  <c r="C22" i="13"/>
  <c r="F23" i="15"/>
  <c r="D11" i="13"/>
  <c r="L14" i="43"/>
  <c r="D14" i="13"/>
  <c r="I10" i="43"/>
  <c r="F11" i="15"/>
  <c r="C10" i="13"/>
  <c r="J23" i="43"/>
  <c r="F23" i="13"/>
  <c r="F70" i="41" s="1"/>
  <c r="D38" i="25"/>
  <c r="O6" i="43"/>
  <c r="D53" i="41"/>
  <c r="E35" i="25"/>
  <c r="V20" i="43"/>
  <c r="V16" i="43"/>
  <c r="E31" i="25"/>
  <c r="B68" i="41"/>
  <c r="E29" i="16"/>
  <c r="I21" i="13"/>
  <c r="I8" i="43"/>
  <c r="F9" i="15"/>
  <c r="C8" i="13"/>
  <c r="I8" i="13" s="1"/>
  <c r="L12" i="43"/>
  <c r="D12" i="13"/>
  <c r="I11" i="43"/>
  <c r="C11" i="13"/>
  <c r="F12" i="15"/>
  <c r="V13" i="43"/>
  <c r="E28" i="25"/>
  <c r="B21" i="44"/>
  <c r="C22" i="29"/>
  <c r="C46" i="39"/>
  <c r="I23" i="43"/>
  <c r="F24" i="15"/>
  <c r="C23" i="13"/>
  <c r="I23" i="13" s="1"/>
  <c r="J13" i="43"/>
  <c r="D28" i="25"/>
  <c r="F13" i="13"/>
  <c r="F60" i="41" s="1"/>
  <c r="B62" i="41"/>
  <c r="E23" i="16"/>
  <c r="J6" i="43"/>
  <c r="D21" i="25"/>
  <c r="F6" i="13"/>
  <c r="F53" i="41" s="1"/>
  <c r="E29" i="25"/>
  <c r="V14" i="43"/>
  <c r="I12" i="43"/>
  <c r="F13" i="15"/>
  <c r="C12" i="13"/>
  <c r="I12" i="13" s="1"/>
  <c r="J14" i="43"/>
  <c r="D29" i="25"/>
  <c r="F14" i="13"/>
  <c r="F61" i="41" s="1"/>
  <c r="L24" i="43"/>
  <c r="D24" i="13"/>
  <c r="J24" i="43"/>
  <c r="D39" i="25"/>
  <c r="F24" i="13"/>
  <c r="F71" i="41" s="1"/>
  <c r="J16" i="43"/>
  <c r="D31" i="25"/>
  <c r="F16" i="13"/>
  <c r="F63" i="41" s="1"/>
  <c r="D23" i="13"/>
  <c r="B59" i="41"/>
  <c r="E20" i="16"/>
  <c r="I6" i="43"/>
  <c r="F7" i="15"/>
  <c r="C6" i="13"/>
  <c r="E27" i="25"/>
  <c r="V12" i="43"/>
  <c r="J22" i="43"/>
  <c r="D37" i="25"/>
  <c r="F22" i="13"/>
  <c r="F69" i="41" s="1"/>
  <c r="V6" i="43"/>
  <c r="E21" i="25"/>
  <c r="L15" i="43"/>
  <c r="D15" i="13"/>
  <c r="D40" i="25"/>
  <c r="J25" i="43"/>
  <c r="F25" i="13"/>
  <c r="F72" i="41" s="1"/>
  <c r="E39" i="25"/>
  <c r="V24" i="43"/>
  <c r="B55" i="41"/>
  <c r="E16" i="16"/>
  <c r="I13" i="43"/>
  <c r="C13" i="13"/>
  <c r="I13" i="13" s="1"/>
  <c r="F14" i="15"/>
  <c r="J15" i="43"/>
  <c r="D30" i="25"/>
  <c r="F15" i="13"/>
  <c r="F62" i="41" s="1"/>
  <c r="B60" i="41"/>
  <c r="E21" i="16"/>
  <c r="D13" i="13"/>
  <c r="B56" i="41"/>
  <c r="E17" i="16"/>
  <c r="J10" i="43"/>
  <c r="D25" i="25"/>
  <c r="F10" i="13"/>
  <c r="F57" i="41" s="1"/>
  <c r="D35" i="25"/>
  <c r="J20" i="43"/>
  <c r="F20" i="13"/>
  <c r="F67" i="41" s="1"/>
  <c r="D22" i="13"/>
  <c r="I16" i="43"/>
  <c r="F17" i="15"/>
  <c r="C16" i="13"/>
  <c r="I16" i="13" s="1"/>
  <c r="C8" i="29"/>
  <c r="C32" i="25"/>
  <c r="B18" i="44"/>
  <c r="C19" i="29"/>
  <c r="C43" i="39"/>
  <c r="I14" i="43"/>
  <c r="F15" i="15"/>
  <c r="C14" i="13"/>
  <c r="D20" i="13"/>
  <c r="B66" i="41"/>
  <c r="E27" i="16"/>
  <c r="B67" i="41"/>
  <c r="E28" i="16"/>
  <c r="C17" i="13"/>
  <c r="I17" i="13" s="1"/>
  <c r="I17" i="43"/>
  <c r="F18" i="15"/>
  <c r="V10" i="43"/>
  <c r="E25" i="25"/>
  <c r="V21" i="43"/>
  <c r="E36" i="25"/>
  <c r="AW26" i="26"/>
  <c r="AR26" i="26"/>
  <c r="AM26" i="26"/>
  <c r="B8" i="27" s="1"/>
  <c r="C8" i="27" s="1"/>
  <c r="AH26" i="26"/>
  <c r="AC26" i="26"/>
  <c r="X26" i="26"/>
  <c r="B7" i="27" s="1"/>
  <c r="C7" i="27" s="1"/>
  <c r="BL26" i="26"/>
  <c r="BG26" i="26"/>
  <c r="BB26" i="26"/>
  <c r="B9" i="27" s="1"/>
  <c r="S26" i="26"/>
  <c r="N26" i="26"/>
  <c r="I26" i="26"/>
  <c r="B6" i="27" s="1"/>
  <c r="C6" i="27" s="1"/>
  <c r="B71" i="41"/>
  <c r="E32" i="16"/>
  <c r="B64" i="41"/>
  <c r="E25" i="16"/>
  <c r="I15" i="43"/>
  <c r="F16" i="15"/>
  <c r="C15" i="13"/>
  <c r="I15" i="13" s="1"/>
  <c r="I19" i="43"/>
  <c r="C19" i="13"/>
  <c r="F20" i="15"/>
  <c r="J21" i="43"/>
  <c r="D36" i="25"/>
  <c r="F21" i="13"/>
  <c r="F68" i="41" s="1"/>
  <c r="F26" i="43"/>
  <c r="B70" i="41"/>
  <c r="E31" i="16"/>
  <c r="I25" i="43"/>
  <c r="F26" i="15"/>
  <c r="C25" i="13"/>
  <c r="I24" i="43"/>
  <c r="F25" i="15"/>
  <c r="C24" i="13"/>
  <c r="I24" i="13" s="1"/>
  <c r="O10" i="43" l="1"/>
  <c r="O16" i="43"/>
  <c r="C44" i="39"/>
  <c r="E40" i="25"/>
  <c r="V15" i="43"/>
  <c r="E26" i="25"/>
  <c r="D72" i="41"/>
  <c r="J11" i="43"/>
  <c r="B19" i="44"/>
  <c r="D26" i="25"/>
  <c r="H23" i="13"/>
  <c r="R23" i="43" s="1"/>
  <c r="H13" i="13"/>
  <c r="R13" i="43" s="1"/>
  <c r="F18" i="13"/>
  <c r="F65" i="41" s="1"/>
  <c r="D33" i="25"/>
  <c r="J18" i="43"/>
  <c r="V18" i="43"/>
  <c r="L18" i="43"/>
  <c r="D18" i="13"/>
  <c r="D67" i="41"/>
  <c r="O20" i="43"/>
  <c r="H15" i="13"/>
  <c r="R15" i="43" s="1"/>
  <c r="S24" i="43"/>
  <c r="H20" i="13"/>
  <c r="R20" i="43" s="1"/>
  <c r="S16" i="43"/>
  <c r="C71" i="41"/>
  <c r="F32" i="16"/>
  <c r="C62" i="41"/>
  <c r="F23" i="16"/>
  <c r="S20" i="43"/>
  <c r="C59" i="41"/>
  <c r="F20" i="16"/>
  <c r="C57" i="41"/>
  <c r="F18" i="16"/>
  <c r="I10" i="13"/>
  <c r="H10" i="13"/>
  <c r="R10" i="43" s="1"/>
  <c r="C69" i="41"/>
  <c r="F30" i="16"/>
  <c r="S12" i="43"/>
  <c r="D68" i="41"/>
  <c r="O21" i="43"/>
  <c r="H22" i="13"/>
  <c r="R22" i="43" s="1"/>
  <c r="L17" i="43"/>
  <c r="D17" i="13"/>
  <c r="S23" i="43"/>
  <c r="E8" i="27"/>
  <c r="D8" i="27"/>
  <c r="C63" i="41"/>
  <c r="F24" i="16"/>
  <c r="C54" i="41"/>
  <c r="F15" i="16"/>
  <c r="I7" i="13"/>
  <c r="O24" i="43"/>
  <c r="D71" i="41"/>
  <c r="C55" i="41"/>
  <c r="F16" i="16"/>
  <c r="C56" i="41"/>
  <c r="F17" i="16"/>
  <c r="L9" i="43"/>
  <c r="D9" i="13"/>
  <c r="V17" i="43"/>
  <c r="E32" i="25"/>
  <c r="S17" i="43"/>
  <c r="C61" i="41"/>
  <c r="F22" i="16"/>
  <c r="I14" i="13"/>
  <c r="H14" i="13"/>
  <c r="R14" i="43" s="1"/>
  <c r="C65" i="41"/>
  <c r="F26" i="16"/>
  <c r="I18" i="13"/>
  <c r="H24" i="13"/>
  <c r="R24" i="43" s="1"/>
  <c r="E6" i="27"/>
  <c r="D6" i="27"/>
  <c r="F19" i="16"/>
  <c r="C58" i="41"/>
  <c r="H11" i="13"/>
  <c r="R11" i="43" s="1"/>
  <c r="I11" i="13"/>
  <c r="L8" i="43"/>
  <c r="D8" i="13"/>
  <c r="O11" i="43"/>
  <c r="D58" i="41"/>
  <c r="H21" i="13"/>
  <c r="R21" i="43" s="1"/>
  <c r="V19" i="43"/>
  <c r="E34" i="25"/>
  <c r="C66" i="41"/>
  <c r="F27" i="16"/>
  <c r="S21" i="43"/>
  <c r="L19" i="43"/>
  <c r="D19" i="13"/>
  <c r="L7" i="43"/>
  <c r="D7" i="13"/>
  <c r="I9" i="13"/>
  <c r="C53" i="41"/>
  <c r="F14" i="16"/>
  <c r="H6" i="13"/>
  <c r="I6" i="13"/>
  <c r="H16" i="13"/>
  <c r="R16" i="43" s="1"/>
  <c r="V7" i="43"/>
  <c r="E22" i="25"/>
  <c r="I19" i="13"/>
  <c r="C60" i="41"/>
  <c r="F21" i="16"/>
  <c r="D62" i="41"/>
  <c r="O15" i="43"/>
  <c r="D23" i="25"/>
  <c r="F8" i="13"/>
  <c r="F55" i="41" s="1"/>
  <c r="J8" i="43"/>
  <c r="V8" i="43"/>
  <c r="E23" i="25"/>
  <c r="C67" i="41"/>
  <c r="F28" i="16"/>
  <c r="S15" i="43"/>
  <c r="J7" i="43"/>
  <c r="D22" i="25"/>
  <c r="F7" i="13"/>
  <c r="F54" i="41" s="1"/>
  <c r="D69" i="41"/>
  <c r="O22" i="43"/>
  <c r="O12" i="43"/>
  <c r="D59" i="41"/>
  <c r="O14" i="43"/>
  <c r="D61" i="41"/>
  <c r="C68" i="41"/>
  <c r="F29" i="16"/>
  <c r="V9" i="43"/>
  <c r="E24" i="25"/>
  <c r="S8" i="43"/>
  <c r="B10" i="25"/>
  <c r="E7" i="27"/>
  <c r="D7" i="27"/>
  <c r="C64" i="41"/>
  <c r="F25" i="16"/>
  <c r="S13" i="43"/>
  <c r="D34" i="25"/>
  <c r="J19" i="43"/>
  <c r="F19" i="13"/>
  <c r="F66" i="41" s="1"/>
  <c r="O23" i="43"/>
  <c r="D70" i="41"/>
  <c r="J9" i="43"/>
  <c r="D24" i="25"/>
  <c r="F9" i="13"/>
  <c r="F56" i="41" s="1"/>
  <c r="F33" i="16"/>
  <c r="C72" i="41"/>
  <c r="I25" i="13"/>
  <c r="H25" i="13"/>
  <c r="R25" i="43" s="1"/>
  <c r="J17" i="43"/>
  <c r="F17" i="13"/>
  <c r="F64" i="41" s="1"/>
  <c r="D32" i="25"/>
  <c r="C9" i="27"/>
  <c r="B7" i="28"/>
  <c r="O13" i="43"/>
  <c r="D60" i="41"/>
  <c r="H12" i="13"/>
  <c r="R12" i="43" s="1"/>
  <c r="C70" i="41"/>
  <c r="F31" i="16"/>
  <c r="I22" i="13"/>
  <c r="B28" i="8"/>
  <c r="H8" i="13" l="1"/>
  <c r="R8" i="43" s="1"/>
  <c r="J23" i="13"/>
  <c r="E27" i="42" s="1"/>
  <c r="H18" i="13"/>
  <c r="R18" i="43" s="1"/>
  <c r="J13" i="13"/>
  <c r="C17" i="42" s="1"/>
  <c r="J15" i="13"/>
  <c r="A19" i="42" s="1"/>
  <c r="J24" i="13"/>
  <c r="H71" i="41" s="1"/>
  <c r="J26" i="43"/>
  <c r="O18" i="43"/>
  <c r="D65" i="41"/>
  <c r="J16" i="13"/>
  <c r="A20" i="42" s="1"/>
  <c r="O7" i="43"/>
  <c r="D54" i="41"/>
  <c r="B9" i="41"/>
  <c r="S14" i="43"/>
  <c r="J14" i="13"/>
  <c r="S7" i="43"/>
  <c r="J20" i="13"/>
  <c r="D56" i="41"/>
  <c r="O9" i="43"/>
  <c r="S25" i="43"/>
  <c r="J25" i="13"/>
  <c r="S9" i="43"/>
  <c r="S18" i="43"/>
  <c r="D55" i="41"/>
  <c r="O8" i="43"/>
  <c r="O19" i="43"/>
  <c r="D66" i="41"/>
  <c r="J10" i="13"/>
  <c r="S10" i="43"/>
  <c r="S19" i="43"/>
  <c r="S11" i="43"/>
  <c r="J11" i="13"/>
  <c r="J21" i="13"/>
  <c r="D64" i="41"/>
  <c r="O17" i="43"/>
  <c r="H17" i="13"/>
  <c r="E9" i="27"/>
  <c r="D9" i="27"/>
  <c r="B8" i="28"/>
  <c r="H7" i="13"/>
  <c r="R7" i="43" s="1"/>
  <c r="S6" i="43"/>
  <c r="J6" i="13"/>
  <c r="B27" i="13"/>
  <c r="B10" i="24"/>
  <c r="B18" i="24"/>
  <c r="B14" i="24"/>
  <c r="H19" i="13"/>
  <c r="R19" i="43" s="1"/>
  <c r="R6" i="43"/>
  <c r="J22" i="13"/>
  <c r="S22" i="43"/>
  <c r="J12" i="13"/>
  <c r="H9" i="13"/>
  <c r="R9" i="43" s="1"/>
  <c r="J18" i="13" l="1"/>
  <c r="D31" i="39" s="1"/>
  <c r="D19" i="42"/>
  <c r="K15" i="13"/>
  <c r="B19" i="42"/>
  <c r="H62" i="41"/>
  <c r="J8" i="13"/>
  <c r="T8" i="43" s="1"/>
  <c r="K24" i="13"/>
  <c r="C34" i="41" s="1"/>
  <c r="D36" i="39"/>
  <c r="C31" i="16"/>
  <c r="E46" i="44"/>
  <c r="H46" i="44"/>
  <c r="C27" i="42"/>
  <c r="D22" i="20"/>
  <c r="D27" i="42"/>
  <c r="K23" i="13"/>
  <c r="F46" i="44" s="1"/>
  <c r="H70" i="41"/>
  <c r="T23" i="43"/>
  <c r="A27" i="42"/>
  <c r="C77" i="39"/>
  <c r="D77" i="39" s="1"/>
  <c r="E77" i="39" s="1"/>
  <c r="B27" i="42"/>
  <c r="C131" i="39"/>
  <c r="C19" i="42"/>
  <c r="D28" i="39"/>
  <c r="T15" i="43"/>
  <c r="D29" i="39"/>
  <c r="C124" i="39"/>
  <c r="C70" i="39"/>
  <c r="H39" i="44"/>
  <c r="H47" i="44"/>
  <c r="C78" i="39"/>
  <c r="C132" i="39"/>
  <c r="D37" i="39"/>
  <c r="E38" i="44"/>
  <c r="C69" i="39"/>
  <c r="C123" i="39"/>
  <c r="C133" i="39"/>
  <c r="C79" i="39"/>
  <c r="C130" i="39"/>
  <c r="C76" i="39"/>
  <c r="D20" i="20"/>
  <c r="C121" i="39"/>
  <c r="C67" i="39"/>
  <c r="F77" i="39"/>
  <c r="C60" i="39"/>
  <c r="C114" i="39"/>
  <c r="C120" i="39"/>
  <c r="C66" i="39"/>
  <c r="C128" i="39"/>
  <c r="C74" i="39"/>
  <c r="C118" i="39"/>
  <c r="C64" i="39"/>
  <c r="B24" i="24"/>
  <c r="B20" i="44" s="1"/>
  <c r="A109" i="39"/>
  <c r="C72" i="39"/>
  <c r="C126" i="39"/>
  <c r="C122" i="39"/>
  <c r="C68" i="39"/>
  <c r="C75" i="39"/>
  <c r="C129" i="39"/>
  <c r="C119" i="39"/>
  <c r="C65" i="39"/>
  <c r="C23" i="16"/>
  <c r="D20" i="42"/>
  <c r="H38" i="44"/>
  <c r="C32" i="16"/>
  <c r="E39" i="44"/>
  <c r="A28" i="42"/>
  <c r="H63" i="41"/>
  <c r="E19" i="42"/>
  <c r="D28" i="42"/>
  <c r="D17" i="42"/>
  <c r="T13" i="43"/>
  <c r="E17" i="42"/>
  <c r="D26" i="39"/>
  <c r="K13" i="13"/>
  <c r="I60" i="41" s="1"/>
  <c r="H60" i="41"/>
  <c r="B20" i="42"/>
  <c r="C21" i="16"/>
  <c r="T24" i="43"/>
  <c r="A17" i="42"/>
  <c r="B17" i="42"/>
  <c r="E47" i="44"/>
  <c r="E36" i="44"/>
  <c r="H36" i="44"/>
  <c r="T16" i="43"/>
  <c r="B28" i="42"/>
  <c r="E28" i="42"/>
  <c r="C28" i="42"/>
  <c r="B18" i="21" a="1"/>
  <c r="B18" i="21" s="1"/>
  <c r="B19" i="21" s="1"/>
  <c r="E20" i="42"/>
  <c r="C20" i="42"/>
  <c r="B14" i="21" a="1"/>
  <c r="B14" i="21" s="1"/>
  <c r="B35" i="40" s="1"/>
  <c r="C24" i="16"/>
  <c r="K16" i="13"/>
  <c r="F39" i="44" s="1"/>
  <c r="C15" i="18" a="1"/>
  <c r="C15" i="18" s="1"/>
  <c r="B19" i="30" s="1"/>
  <c r="D8" i="12" a="1"/>
  <c r="D8" i="12" s="1"/>
  <c r="B14" i="42"/>
  <c r="A14" i="42"/>
  <c r="T10" i="43"/>
  <c r="E14" i="42"/>
  <c r="D14" i="42"/>
  <c r="C14" i="42"/>
  <c r="H33" i="44"/>
  <c r="D23" i="39"/>
  <c r="E33" i="44"/>
  <c r="H57" i="41"/>
  <c r="C18" i="16"/>
  <c r="K10" i="13"/>
  <c r="C14" i="18" a="1"/>
  <c r="C14" i="18" s="1"/>
  <c r="C21" i="18" a="1"/>
  <c r="C21" i="18" s="1"/>
  <c r="R17" i="43"/>
  <c r="J17" i="13"/>
  <c r="E31" i="44"/>
  <c r="D21" i="39"/>
  <c r="C12" i="42"/>
  <c r="B12" i="42"/>
  <c r="E12" i="42"/>
  <c r="H31" i="44"/>
  <c r="K8" i="13"/>
  <c r="D12" i="42"/>
  <c r="C16" i="18" a="1"/>
  <c r="C16" i="18" s="1"/>
  <c r="E37" i="44"/>
  <c r="T14" i="43"/>
  <c r="E18" i="42"/>
  <c r="D18" i="42"/>
  <c r="C18" i="42"/>
  <c r="B18" i="42"/>
  <c r="A18" i="42"/>
  <c r="H37" i="44"/>
  <c r="H61" i="41"/>
  <c r="D27" i="39"/>
  <c r="K14" i="13"/>
  <c r="C22" i="16"/>
  <c r="C9" i="18" a="1"/>
  <c r="C9" i="18" s="1"/>
  <c r="E43" i="44"/>
  <c r="T20" i="43"/>
  <c r="H43" i="44"/>
  <c r="H67" i="41"/>
  <c r="D33" i="39"/>
  <c r="E24" i="42"/>
  <c r="K20" i="13"/>
  <c r="C28" i="16"/>
  <c r="D24" i="42"/>
  <c r="C24" i="42"/>
  <c r="B24" i="42"/>
  <c r="A24" i="42"/>
  <c r="B26" i="13"/>
  <c r="B28" i="13" s="1"/>
  <c r="J7" i="13"/>
  <c r="C7" i="18" a="1"/>
  <c r="C7" i="18" s="1"/>
  <c r="C22" i="18" a="1"/>
  <c r="C22" i="18" s="1"/>
  <c r="E36" i="39"/>
  <c r="D10" i="12" a="1"/>
  <c r="D10" i="12" s="1"/>
  <c r="E34" i="44"/>
  <c r="D24" i="39"/>
  <c r="E15" i="42"/>
  <c r="A15" i="42"/>
  <c r="H58" i="41"/>
  <c r="T11" i="43"/>
  <c r="K11" i="13"/>
  <c r="H34" i="44"/>
  <c r="D15" i="42"/>
  <c r="C19" i="16"/>
  <c r="C15" i="42"/>
  <c r="B15" i="42"/>
  <c r="D18" i="20"/>
  <c r="B6" i="20" a="1"/>
  <c r="B6" i="20" s="1"/>
  <c r="U15" i="43"/>
  <c r="E28" i="39"/>
  <c r="F38" i="44"/>
  <c r="I62" i="41"/>
  <c r="C25" i="41"/>
  <c r="D23" i="16"/>
  <c r="H72" i="41"/>
  <c r="D38" i="39"/>
  <c r="T25" i="43"/>
  <c r="E29" i="42"/>
  <c r="D29" i="42"/>
  <c r="A29" i="42"/>
  <c r="C29" i="42"/>
  <c r="D23" i="20"/>
  <c r="H48" i="44"/>
  <c r="B29" i="42"/>
  <c r="K25" i="13"/>
  <c r="E48" i="44"/>
  <c r="C33" i="16"/>
  <c r="D9" i="12" a="1"/>
  <c r="D9" i="12" s="1"/>
  <c r="D16" i="42"/>
  <c r="H35" i="44"/>
  <c r="C16" i="42"/>
  <c r="B16" i="42"/>
  <c r="A16" i="42"/>
  <c r="E35" i="44"/>
  <c r="H59" i="41"/>
  <c r="D19" i="20"/>
  <c r="T12" i="43"/>
  <c r="E16" i="42"/>
  <c r="D25" i="39"/>
  <c r="C20" i="16"/>
  <c r="K12" i="13"/>
  <c r="C18" i="18" a="1"/>
  <c r="C18" i="18" s="1"/>
  <c r="B26" i="42"/>
  <c r="A26" i="42"/>
  <c r="T22" i="43"/>
  <c r="H45" i="44"/>
  <c r="E26" i="42"/>
  <c r="D26" i="42"/>
  <c r="E45" i="44"/>
  <c r="C26" i="42"/>
  <c r="D35" i="39"/>
  <c r="C30" i="16"/>
  <c r="K22" i="13"/>
  <c r="H69" i="41"/>
  <c r="C19" i="18" a="1"/>
  <c r="C19" i="18" s="1"/>
  <c r="C24" i="18" a="1"/>
  <c r="C24" i="18" s="1"/>
  <c r="H68" i="41"/>
  <c r="H44" i="44"/>
  <c r="T21" i="43"/>
  <c r="E25" i="42"/>
  <c r="D34" i="39"/>
  <c r="D25" i="42"/>
  <c r="E44" i="44"/>
  <c r="C25" i="42"/>
  <c r="B25" i="42"/>
  <c r="A25" i="42"/>
  <c r="C29" i="16"/>
  <c r="K21" i="13"/>
  <c r="C23" i="18" a="1"/>
  <c r="C23" i="18" s="1"/>
  <c r="H41" i="44"/>
  <c r="E41" i="44"/>
  <c r="E22" i="42"/>
  <c r="D22" i="42"/>
  <c r="C22" i="42"/>
  <c r="H65" i="41"/>
  <c r="B22" i="42"/>
  <c r="A22" i="42"/>
  <c r="C26" i="16"/>
  <c r="K18" i="13"/>
  <c r="T18" i="43"/>
  <c r="C20" i="18" a="1"/>
  <c r="C20" i="18" s="1"/>
  <c r="C8" i="18" a="1"/>
  <c r="C8" i="18" s="1"/>
  <c r="H29" i="44"/>
  <c r="E29" i="44"/>
  <c r="C10" i="42"/>
  <c r="D19" i="39"/>
  <c r="B10" i="42"/>
  <c r="A10" i="42"/>
  <c r="E10" i="42"/>
  <c r="H53" i="41"/>
  <c r="T6" i="43"/>
  <c r="C14" i="16"/>
  <c r="K6" i="13"/>
  <c r="D10" i="42" s="1"/>
  <c r="J19" i="13"/>
  <c r="J9" i="13"/>
  <c r="C17" i="18" a="1"/>
  <c r="C17" i="18" s="1"/>
  <c r="B23" i="21" a="1"/>
  <c r="B23" i="21" s="1"/>
  <c r="H55" i="41" l="1"/>
  <c r="A12" i="42"/>
  <c r="C116" i="39"/>
  <c r="C16" i="16"/>
  <c r="C62" i="39"/>
  <c r="I71" i="41"/>
  <c r="U24" i="43"/>
  <c r="F47" i="44"/>
  <c r="C33" i="41"/>
  <c r="D31" i="16"/>
  <c r="E22" i="20"/>
  <c r="I70" i="41"/>
  <c r="U23" i="43"/>
  <c r="D32" i="16"/>
  <c r="E37" i="39"/>
  <c r="F68" i="39"/>
  <c r="D68" i="39"/>
  <c r="E68" i="39" s="1"/>
  <c r="D66" i="39"/>
  <c r="E66" i="39" s="1"/>
  <c r="F66" i="39"/>
  <c r="F69" i="39"/>
  <c r="D69" i="39"/>
  <c r="E69" i="39" s="1"/>
  <c r="B33" i="30"/>
  <c r="F62" i="39"/>
  <c r="D62" i="39"/>
  <c r="E62" i="39" s="1"/>
  <c r="F67" i="39"/>
  <c r="D67" i="39"/>
  <c r="E67" i="39" s="1"/>
  <c r="D78" i="39"/>
  <c r="E78" i="39" s="1"/>
  <c r="F78" i="39"/>
  <c r="C45" i="39"/>
  <c r="U13" i="43"/>
  <c r="C21" i="29"/>
  <c r="F65" i="39"/>
  <c r="D65" i="39"/>
  <c r="E65" i="39" s="1"/>
  <c r="F64" i="39"/>
  <c r="D64" i="39"/>
  <c r="E64" i="39" s="1"/>
  <c r="D72" i="39"/>
  <c r="E72" i="39" s="1"/>
  <c r="F72" i="39"/>
  <c r="C115" i="39"/>
  <c r="C61" i="39"/>
  <c r="D76" i="39"/>
  <c r="E76" i="39" s="1"/>
  <c r="F76" i="39"/>
  <c r="F70" i="39"/>
  <c r="D70" i="39"/>
  <c r="E70" i="39" s="1"/>
  <c r="C125" i="39"/>
  <c r="C71" i="39"/>
  <c r="C63" i="39"/>
  <c r="C117" i="39"/>
  <c r="C127" i="39"/>
  <c r="C73" i="39"/>
  <c r="D60" i="39"/>
  <c r="E60" i="39" s="1"/>
  <c r="F60" i="39"/>
  <c r="B12" i="39"/>
  <c r="B41" i="41"/>
  <c r="F74" i="39"/>
  <c r="D74" i="39"/>
  <c r="E74" i="39" s="1"/>
  <c r="F75" i="39"/>
  <c r="D75" i="39"/>
  <c r="E75" i="39" s="1"/>
  <c r="F79" i="39"/>
  <c r="D79" i="39"/>
  <c r="E79" i="39" s="1"/>
  <c r="E26" i="39"/>
  <c r="C23" i="41"/>
  <c r="F36" i="44"/>
  <c r="D21" i="16"/>
  <c r="E20" i="20"/>
  <c r="U16" i="43"/>
  <c r="F17" i="18" a="1"/>
  <c r="F17" i="18" s="1"/>
  <c r="F9" i="38" s="1"/>
  <c r="E15" i="18"/>
  <c r="D14" i="27" s="1"/>
  <c r="D15" i="18"/>
  <c r="C14" i="27" s="1"/>
  <c r="C7" i="38"/>
  <c r="G7" i="38" s="1"/>
  <c r="B15" i="21"/>
  <c r="C30" i="29" s="1"/>
  <c r="B30" i="29"/>
  <c r="B14" i="27"/>
  <c r="D24" i="16"/>
  <c r="F20" i="18" a="1"/>
  <c r="F20" i="18" s="1"/>
  <c r="D24" i="30" s="1"/>
  <c r="I63" i="41"/>
  <c r="C26" i="41"/>
  <c r="A6" i="41"/>
  <c r="B43" i="41"/>
  <c r="B11" i="39"/>
  <c r="D43" i="30"/>
  <c r="B9" i="28"/>
  <c r="E29" i="39"/>
  <c r="F23" i="18" a="1"/>
  <c r="F23" i="18" s="1"/>
  <c r="D27" i="30" s="1"/>
  <c r="C1" i="44"/>
  <c r="C1" i="25"/>
  <c r="C1" i="13"/>
  <c r="C1" i="1"/>
  <c r="C1" i="43"/>
  <c r="C1" i="24"/>
  <c r="C1" i="12"/>
  <c r="C1" i="42"/>
  <c r="C1" i="23"/>
  <c r="C1" i="4"/>
  <c r="C1" i="41"/>
  <c r="C1" i="22"/>
  <c r="C1" i="10"/>
  <c r="C1" i="40"/>
  <c r="C1" i="21"/>
  <c r="C1" i="9"/>
  <c r="C1" i="39"/>
  <c r="C1" i="20"/>
  <c r="C1" i="8"/>
  <c r="C1" i="16"/>
  <c r="C1" i="38"/>
  <c r="C1" i="19"/>
  <c r="C1" i="7"/>
  <c r="C1" i="30"/>
  <c r="C1" i="18"/>
  <c r="C1" i="6"/>
  <c r="C1" i="29"/>
  <c r="C1" i="17"/>
  <c r="C1" i="5"/>
  <c r="C1" i="28"/>
  <c r="C1" i="27"/>
  <c r="C1" i="15"/>
  <c r="C1" i="3"/>
  <c r="C1" i="26"/>
  <c r="C1" i="14"/>
  <c r="C1" i="2"/>
  <c r="B30" i="42"/>
  <c r="B22" i="27"/>
  <c r="B27" i="30"/>
  <c r="E23" i="18"/>
  <c r="D23" i="18"/>
  <c r="C22" i="27" s="1"/>
  <c r="C15" i="38"/>
  <c r="D9" i="18"/>
  <c r="E9" i="18"/>
  <c r="H56" i="41"/>
  <c r="H32" i="44"/>
  <c r="T9" i="43"/>
  <c r="E13" i="42"/>
  <c r="D22" i="39"/>
  <c r="D13" i="42"/>
  <c r="E32" i="44"/>
  <c r="C13" i="42"/>
  <c r="B13" i="42"/>
  <c r="A13" i="42"/>
  <c r="C17" i="16"/>
  <c r="K9" i="13"/>
  <c r="E40" i="44"/>
  <c r="C21" i="42"/>
  <c r="H64" i="41"/>
  <c r="B21" i="42"/>
  <c r="A21" i="42"/>
  <c r="D30" i="39"/>
  <c r="T17" i="43"/>
  <c r="E21" i="42"/>
  <c r="K17" i="13"/>
  <c r="H40" i="44"/>
  <c r="D21" i="42"/>
  <c r="C25" i="16"/>
  <c r="D21" i="20"/>
  <c r="I53" i="41"/>
  <c r="F29" i="44"/>
  <c r="E19" i="39"/>
  <c r="C16" i="41"/>
  <c r="U6" i="43"/>
  <c r="D14" i="16"/>
  <c r="F21" i="18" a="1"/>
  <c r="F21" i="18" s="1"/>
  <c r="C12" i="38"/>
  <c r="B19" i="27"/>
  <c r="E20" i="18"/>
  <c r="B24" i="30"/>
  <c r="D20" i="18"/>
  <c r="C19" i="27" s="1"/>
  <c r="C14" i="38"/>
  <c r="B26" i="30"/>
  <c r="D22" i="18"/>
  <c r="C21" i="27" s="1"/>
  <c r="B21" i="27"/>
  <c r="E22" i="18"/>
  <c r="F31" i="44"/>
  <c r="E21" i="39"/>
  <c r="C18" i="41"/>
  <c r="U8" i="43"/>
  <c r="D16" i="16"/>
  <c r="I55" i="41"/>
  <c r="B25" i="30"/>
  <c r="B20" i="27"/>
  <c r="E21" i="18"/>
  <c r="D21" i="18"/>
  <c r="C20" i="27" s="1"/>
  <c r="C13" i="38"/>
  <c r="F34" i="44"/>
  <c r="E24" i="39"/>
  <c r="I58" i="41"/>
  <c r="U11" i="43"/>
  <c r="C21" i="41"/>
  <c r="D19" i="16"/>
  <c r="E18" i="20"/>
  <c r="F43" i="44"/>
  <c r="I67" i="41"/>
  <c r="E33" i="39"/>
  <c r="D28" i="16"/>
  <c r="C30" i="41"/>
  <c r="U20" i="43"/>
  <c r="E23" i="42"/>
  <c r="D23" i="42"/>
  <c r="C23" i="42"/>
  <c r="D32" i="39"/>
  <c r="B23" i="42"/>
  <c r="A23" i="42"/>
  <c r="T19" i="43"/>
  <c r="K19" i="13"/>
  <c r="H42" i="44"/>
  <c r="E42" i="44"/>
  <c r="H66" i="41"/>
  <c r="C27" i="16"/>
  <c r="E38" i="39"/>
  <c r="U25" i="43"/>
  <c r="I72" i="41"/>
  <c r="C35" i="41"/>
  <c r="E23" i="20"/>
  <c r="F48" i="44"/>
  <c r="D33" i="16"/>
  <c r="F37" i="44"/>
  <c r="I61" i="41"/>
  <c r="C24" i="41"/>
  <c r="U14" i="43"/>
  <c r="E27" i="39"/>
  <c r="D22" i="16"/>
  <c r="E7" i="18"/>
  <c r="D7" i="18"/>
  <c r="B18" i="27"/>
  <c r="C11" i="38"/>
  <c r="D19" i="18"/>
  <c r="C18" i="27" s="1"/>
  <c r="B23" i="30"/>
  <c r="E19" i="18"/>
  <c r="D10" i="21"/>
  <c r="B27" i="12"/>
  <c r="B27" i="21" s="1"/>
  <c r="E10" i="12"/>
  <c r="E10" i="21" s="1"/>
  <c r="B36" i="40"/>
  <c r="C31" i="29"/>
  <c r="B31" i="29"/>
  <c r="D9" i="21"/>
  <c r="E9" i="12"/>
  <c r="E9" i="21" s="1"/>
  <c r="I65" i="41"/>
  <c r="F41" i="44"/>
  <c r="E31" i="39"/>
  <c r="D26" i="16"/>
  <c r="U18" i="43"/>
  <c r="C28" i="41"/>
  <c r="C8" i="38"/>
  <c r="B20" i="30"/>
  <c r="B15" i="27"/>
  <c r="D16" i="18"/>
  <c r="C15" i="27" s="1"/>
  <c r="E16" i="18"/>
  <c r="E8" i="18"/>
  <c r="D8" i="18"/>
  <c r="F22" i="18" a="1"/>
  <c r="F22" i="18" s="1"/>
  <c r="B13" i="27"/>
  <c r="C6" i="38"/>
  <c r="D14" i="18"/>
  <c r="C13" i="27" s="1"/>
  <c r="E14" i="18"/>
  <c r="B18" i="30"/>
  <c r="B14" i="30"/>
  <c r="B15" i="30" s="1"/>
  <c r="B26" i="18"/>
  <c r="B13" i="30"/>
  <c r="B35" i="30" s="1"/>
  <c r="F15" i="18" a="1"/>
  <c r="F15" i="18" s="1"/>
  <c r="E11" i="42"/>
  <c r="D11" i="42"/>
  <c r="C11" i="42"/>
  <c r="D20" i="39"/>
  <c r="B11" i="42"/>
  <c r="A11" i="42"/>
  <c r="H30" i="44"/>
  <c r="E30" i="44"/>
  <c r="T7" i="43"/>
  <c r="H54" i="41"/>
  <c r="C15" i="16"/>
  <c r="K7" i="13"/>
  <c r="I57" i="41"/>
  <c r="U10" i="43"/>
  <c r="E23" i="39"/>
  <c r="F33" i="44"/>
  <c r="C20" i="41"/>
  <c r="D18" i="16"/>
  <c r="C16" i="38"/>
  <c r="B28" i="30"/>
  <c r="B23" i="27"/>
  <c r="D24" i="18"/>
  <c r="C23" i="27" s="1"/>
  <c r="E24" i="18"/>
  <c r="F19" i="18" a="1"/>
  <c r="F19" i="18" s="1"/>
  <c r="B22" i="30"/>
  <c r="C10" i="38"/>
  <c r="B17" i="27"/>
  <c r="D18" i="18"/>
  <c r="C17" i="27" s="1"/>
  <c r="E18" i="18"/>
  <c r="B16" i="27"/>
  <c r="E17" i="18"/>
  <c r="B21" i="30"/>
  <c r="D17" i="18"/>
  <c r="C16" i="27" s="1"/>
  <c r="C9" i="38"/>
  <c r="F24" i="18" a="1"/>
  <c r="F24" i="18" s="1"/>
  <c r="F18" i="18" a="1"/>
  <c r="F18" i="18" s="1"/>
  <c r="F16" i="18" a="1"/>
  <c r="F16" i="18" s="1"/>
  <c r="B14" i="44"/>
  <c r="B7" i="20"/>
  <c r="F9" i="29" s="1"/>
  <c r="B14" i="20"/>
  <c r="F8" i="29" s="1"/>
  <c r="D8" i="21"/>
  <c r="B26" i="12"/>
  <c r="B26" i="21" s="1"/>
  <c r="E8" i="12"/>
  <c r="E8" i="21" s="1"/>
  <c r="U21" i="43"/>
  <c r="E34" i="39"/>
  <c r="F44" i="44"/>
  <c r="C31" i="41"/>
  <c r="D29" i="16"/>
  <c r="I68" i="41"/>
  <c r="A7" i="41"/>
  <c r="C5" i="41"/>
  <c r="B7" i="44"/>
  <c r="B5" i="41"/>
  <c r="A28" i="43"/>
  <c r="B53" i="44"/>
  <c r="B40" i="41"/>
  <c r="B39" i="39"/>
  <c r="C16" i="28"/>
  <c r="G16" i="28" s="1"/>
  <c r="B10" i="39"/>
  <c r="B43" i="30"/>
  <c r="T26" i="43"/>
  <c r="B6" i="28"/>
  <c r="B6" i="16"/>
  <c r="A41" i="40"/>
  <c r="C43" i="30"/>
  <c r="B29" i="13"/>
  <c r="B31" i="13"/>
  <c r="F14" i="18" a="1"/>
  <c r="F14" i="18" s="1"/>
  <c r="I69" i="41"/>
  <c r="U22" i="43"/>
  <c r="C32" i="41"/>
  <c r="F45" i="44"/>
  <c r="E35" i="39"/>
  <c r="D30" i="16"/>
  <c r="C22" i="41"/>
  <c r="F35" i="44"/>
  <c r="I59" i="41"/>
  <c r="E19" i="20"/>
  <c r="U12" i="43"/>
  <c r="E25" i="39"/>
  <c r="D20" i="16"/>
  <c r="D21" i="30" l="1"/>
  <c r="D7" i="38"/>
  <c r="C19" i="30"/>
  <c r="F71" i="39"/>
  <c r="D71" i="39"/>
  <c r="E71" i="39" s="1"/>
  <c r="F61" i="39"/>
  <c r="D61" i="39"/>
  <c r="E61" i="39" s="1"/>
  <c r="F63" i="39"/>
  <c r="D63" i="39"/>
  <c r="E63" i="39" s="1"/>
  <c r="F73" i="39"/>
  <c r="D73" i="39"/>
  <c r="E73" i="39" s="1"/>
  <c r="B9" i="16"/>
  <c r="B14" i="29" s="1"/>
  <c r="B9" i="44"/>
  <c r="A49" i="1"/>
  <c r="B10" i="44"/>
  <c r="A105" i="39"/>
  <c r="F12" i="38"/>
  <c r="F15" i="38"/>
  <c r="E7" i="38"/>
  <c r="B28" i="21"/>
  <c r="B7" i="16"/>
  <c r="B7" i="30" s="1"/>
  <c r="B10" i="28"/>
  <c r="A15" i="39"/>
  <c r="B8" i="29"/>
  <c r="B6" i="30"/>
  <c r="B13" i="29"/>
  <c r="G9" i="29"/>
  <c r="C27" i="29"/>
  <c r="B9" i="40"/>
  <c r="E30" i="40"/>
  <c r="D9" i="38"/>
  <c r="D16" i="27"/>
  <c r="C21" i="30"/>
  <c r="C17" i="41"/>
  <c r="E20" i="39"/>
  <c r="F30" i="44"/>
  <c r="U7" i="43"/>
  <c r="I54" i="41"/>
  <c r="D15" i="16"/>
  <c r="D8" i="38"/>
  <c r="D15" i="27"/>
  <c r="C20" i="30"/>
  <c r="G11" i="38"/>
  <c r="E11" i="38"/>
  <c r="E31" i="40"/>
  <c r="B23" i="40"/>
  <c r="C28" i="29"/>
  <c r="G8" i="29"/>
  <c r="B10" i="40"/>
  <c r="B27" i="29"/>
  <c r="B15" i="44"/>
  <c r="D30" i="40"/>
  <c r="B8" i="40"/>
  <c r="D9" i="29"/>
  <c r="D8" i="29"/>
  <c r="B12" i="44"/>
  <c r="C17" i="38"/>
  <c r="U9" i="43"/>
  <c r="E22" i="39"/>
  <c r="F32" i="44"/>
  <c r="C19" i="41"/>
  <c r="I56" i="41"/>
  <c r="D17" i="16"/>
  <c r="G13" i="38"/>
  <c r="E13" i="38"/>
  <c r="F7" i="38"/>
  <c r="D19" i="30"/>
  <c r="C25" i="30"/>
  <c r="D13" i="38"/>
  <c r="D20" i="27"/>
  <c r="D16" i="38"/>
  <c r="C28" i="30"/>
  <c r="D23" i="27"/>
  <c r="E14" i="38"/>
  <c r="G14" i="38"/>
  <c r="D31" i="40"/>
  <c r="B22" i="40"/>
  <c r="B28" i="29"/>
  <c r="B16" i="44"/>
  <c r="B24" i="40"/>
  <c r="C22" i="30"/>
  <c r="D10" i="38"/>
  <c r="D17" i="27"/>
  <c r="G8" i="38"/>
  <c r="E8" i="38"/>
  <c r="D12" i="38"/>
  <c r="D19" i="27"/>
  <c r="C24" i="30"/>
  <c r="D13" i="27"/>
  <c r="D6" i="38"/>
  <c r="C18" i="30"/>
  <c r="F8" i="38"/>
  <c r="D20" i="30"/>
  <c r="F40" i="44"/>
  <c r="E30" i="39"/>
  <c r="C27" i="41"/>
  <c r="U17" i="43"/>
  <c r="I64" i="41"/>
  <c r="D25" i="16"/>
  <c r="E21" i="20"/>
  <c r="F6" i="38"/>
  <c r="D18" i="30"/>
  <c r="B36" i="30"/>
  <c r="F10" i="38"/>
  <c r="D22" i="30"/>
  <c r="E10" i="38"/>
  <c r="G10" i="38"/>
  <c r="G6" i="38"/>
  <c r="E6" i="38"/>
  <c r="D25" i="30"/>
  <c r="F13" i="38"/>
  <c r="D22" i="27"/>
  <c r="C27" i="30"/>
  <c r="D15" i="38"/>
  <c r="E16" i="38"/>
  <c r="G16" i="38"/>
  <c r="G15" i="38"/>
  <c r="E15" i="38"/>
  <c r="D16" i="28"/>
  <c r="F16" i="28"/>
  <c r="E16" i="28"/>
  <c r="B16" i="40"/>
  <c r="E32" i="40"/>
  <c r="C29" i="29"/>
  <c r="G12" i="38"/>
  <c r="E12" i="38"/>
  <c r="B32" i="13"/>
  <c r="B10" i="16" s="1"/>
  <c r="B9" i="30" s="1"/>
  <c r="D28" i="30"/>
  <c r="F16" i="38"/>
  <c r="B15" i="40"/>
  <c r="B17" i="44"/>
  <c r="B29" i="29"/>
  <c r="B17" i="40"/>
  <c r="D32" i="40"/>
  <c r="G9" i="38"/>
  <c r="E9" i="38"/>
  <c r="F11" i="38"/>
  <c r="D23" i="30"/>
  <c r="F14" i="38"/>
  <c r="D26" i="30"/>
  <c r="D18" i="27"/>
  <c r="D11" i="38"/>
  <c r="C23" i="30"/>
  <c r="C29" i="41"/>
  <c r="E32" i="39"/>
  <c r="U19" i="43"/>
  <c r="I66" i="41"/>
  <c r="F42" i="44"/>
  <c r="D27" i="16"/>
  <c r="D14" i="38"/>
  <c r="D21" i="27"/>
  <c r="C26" i="30"/>
  <c r="B8" i="30" l="1"/>
  <c r="B9" i="29"/>
  <c r="B12" i="28"/>
  <c r="B15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C7" authorId="0" shapeId="0" xr:uid="{7493F7E3-B18C-4A3C-A201-E0141B522AE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Instrumental médico clubes salud; capacitación auxiliares enfermería; medicinas consultorio GAD — ítems PAC #68, #87, #88, #134</t>
        </r>
      </text>
    </comment>
    <comment ref="C8" authorId="0" shapeId="0" xr:uid="{E791AEB2-4FFF-46E7-84EA-6ECFD18E5F6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Electrodomésticos cursos ciudadanía $5k; capacitaciones talleres informática/gastronomía $3.9k — ítems PAC #52, #85</t>
        </r>
      </text>
    </comment>
    <comment ref="C9" authorId="0" shapeId="0" xr:uid="{0300664E-91F6-4272-8434-637E3CE7051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Bacheo/pavimentación $600k+$500k; materiales pétreos $400k+$57k; aceras/bordillos $50k; materiales infraestructura $56.8k+$30k; estudios vial $150k+$62.8k; alquiler maq./mto. material pétreo $200k+$100k — ítems PAC #27,28,33,34,39,48,62,95,98,100,164</t>
        </r>
      </text>
    </comment>
    <comment ref="C10" authorId="0" shapeId="0" xr:uid="{BAF2A49F-1448-4572-BF06-25793D8E783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AH-I-X-02: Sin actividad PAC 2024 identificada para esta meta específica</t>
        </r>
      </text>
    </comment>
    <comment ref="C11" authorId="0" shapeId="0" xr:uid="{56A496F5-912C-4987-A7AC-AF9D674FEB5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Insumos limpieza espacios públicos; herramientas; cubierta metálica cancha; escenario/baños; cementerio; Parque Las Pampas; terrazas; infr. parques/canchas/cementerios $172k; transformadores; cámaras vigilancia; materiales operatividad; logística espacios; casa patrimonial; mantenimiento instalaciones — ítems PAC #1,13,29,35,36,37,38,40,41,42,49,101,115,116</t>
        </r>
      </text>
    </comment>
    <comment ref="C12" authorId="0" shapeId="0" xr:uid="{281BA7EC-ED58-4746-9E44-3E39A3B2C63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Ejecución delegada a EP Montehogar. Procesos SERCOP bajo RUC de la empresa pública adscrita. Modalidad DEA — Ei = 0.75. Partida transferencia GAD → EP verificable en eSIGEF.</t>
        </r>
      </text>
    </comment>
    <comment ref="C13" authorId="0" shapeId="0" xr:uid="{D47E5F81-3821-47BC-80CE-B1339B92484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Logística eventos cívicos/culturales $77k; libro Raíces Montecristi $6k; eventos promocionales $5k; difusión planes GAD (plan de medios) $190k; logística sesiones octubre $21.3k — ítems PAC #125,147,156,157,159. Modalidad SPD/CD.</t>
        </r>
      </text>
    </comment>
    <comment ref="C14" authorId="0" shapeId="0" xr:uid="{AC87F2EB-4076-4BF0-B300-F80AA8CC58F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Herramientas semaforización; semáforos nuevos $70k; BTL educación vial; conos/vallas; insumos señalización; señalización vial H+V $63k; estudios Macro-Movilidad $62.8k; repotenciación sistema semafórico $56k; materiales educación vial; eventos ed. vial — ítems PAC #8,51,58,60,61,65,95,98,109,118,119</t>
        </r>
      </text>
    </comment>
    <comment ref="C15" authorId="0" shapeId="0" xr:uid="{32D3896C-7D59-4CEF-A31F-663AAB7AB15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Licencias software; equipos informáticos; camionetas 4x4 $138k; maquinaria pesada $600k; equipos/mobiliarios; seguros $75k; herramientas vehicular; lubricantes; uniformes; capacitación servidores $45k; consultoría ERP $252k; neumáticos; mantenimiento vehículos livianos; hidrosuccionador; mant. camionetas; maquinaria/equipos $210k; rastreo; combustible $113k+$100k+$50k+$97k — ítems PAC #3,5,6,7,9,14,21,22,24,47,72,73,75,76,89,97,102,103,104,105,106,107,108,117,139,155,165,166</t>
        </r>
      </text>
    </comment>
    <comment ref="C16" authorId="0" shapeId="0" xr:uid="{E16376B4-93BA-439F-8307-2A0866ACC78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Equipos laboratorio análisis agua $25k; equipos operativos sistemas agua $16k; estación bombeo/reservorio $1k; materiales presión agua $80k; tuberías PVC agua potable $50k; estudios prefactibilidad agua/alc. Leónidas Proaño $65k; tanqueros distribución agua $200k; insumos parámetros fisicoquímicos $15k; químicos plantas tratamiento $9.9k; productos plantas aguas residuales $35k; alquiler maq. obras agua $6.3k; repotenciación plantas tratamiento $55k — ítems PAC #10,19,45,59,64,91,99,128,129,130,149,153</t>
        </r>
      </text>
    </comment>
    <comment ref="C17" authorId="0" shapeId="0" xr:uid="{E4094A29-F43B-49C7-B452-E061FECF416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Mantenimiento alcantarillado sanitario $69k; tuberías alcantarillado $50k; construcción alcantarillado Ciudadela Paola 1-2 $249.9k; suministros tuberías PVC alcantarillado $66k; suministros tuberías/accesorios/válvulas agua+alc. $95k; rehabilitación estaciones bombeo aguas residuales $90k; martillo hidráulico obras alcantarillado $6k — ítems PAC #30,43,44,63,67,111,150</t>
        </r>
      </text>
    </comment>
    <comment ref="C18" authorId="0" shapeId="0" xr:uid="{DA44B897-462C-45C1-838C-0B36FEFE94F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Souvenirs proyectos sociales jóvenes $3k; alimentos 5 Agendas Igualdad $1.5k; refrigerios proyectos sociales $13.5k; alimentos talleres gastronomía $4k; eventos reducción indicadores territoriales $10k; campaña violencia sexual instituciones educativas materiales $3k; campaña prevención violencia adolescentes $2k — ítems PAC #79,81,83,84,124,135,141. Modalidad SPD.</t>
        </r>
      </text>
    </comment>
    <comment ref="C19" authorId="0" shapeId="0" xr:uid="{8ECC5A94-F67C-4006-AF58-CCE5301CA3E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Equipos control/monitoreo concesiones mineras artesanales $26.5k; kit respuesta humanitaria emergencias $52k — ítems PAC #18, #53</t>
        </r>
      </text>
    </comment>
    <comment ref="C20" authorId="0" shapeId="0" xr:uid="{272ADB60-5E95-4BBD-B655-B2404EE6A5C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Ejecución delegada a EP Aseo Montecristi. Relleno sanitario y recolección bajo RUC de la empresa pública adscrita. Modalidad DEA — Ei = 0.75. PAC GAD solo registra charlas educación ambiental $5k (ítem #70).</t>
        </r>
      </text>
    </comment>
    <comment ref="C21" authorId="0" shapeId="0" xr:uid="{3388EBA0-5637-4E37-829D-F08B1D8747C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Motoguadañas/herramientas mantenimiento áreas verdes $14k; plantas siembra árboles gestión riesgo vial $5k; fertilizantes/fungicidas áreas verdes $7k; mantenimiento motoguadañas/bombas fumigas $2k; semillas/insumos huertos 26 comunidades $9.6k — ítems PAC #13,46,55,110,131</t>
        </r>
      </text>
    </comment>
    <comment ref="C22" authorId="0" shapeId="0" xr:uid="{CBB8684F-3EDB-4F02-93C8-519BDB73EAA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Servicio esterilización y desparasitación perros y gatos varios sectores cantón Montecristi $5k — ítem PAC #122. Modalidad SPD/catálogo.</t>
        </r>
      </text>
    </comment>
    <comment ref="C23" authorId="0" shapeId="0" xr:uid="{A2AE70A6-21D3-45CE-9A1E-E3FDC2EAF00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GPS receptor $10k; accesorios/equipo topográfico $25.4k; drone topografía/catastro $6.8k; LiDAR terrestre fachadas cabecera cantonal $65k; consultoría ERP financiero/planificación $252k; soporte sistema ERP Olympo $12.9k; cloud migración servicios informáticos $40k; sistema informático control bienes $10k — ítems PAC #15,16,17,92,97,142,143,145</t>
        </r>
      </text>
    </comment>
    <comment ref="C24" authorId="0" shapeId="0" xr:uid="{E40E96AC-0B76-42B8-9478-5B699D32E6A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Alimentos/bebidas talleres participación ciudadana y liderazgo $2.5k; estudio satisfacción ciudadana sobre competencias/servicios GAD $7.4k; consultoría fortalecimiento sistema de derechos $10.3k — ítems PAC #80,82,146. Modalidad SPD.</t>
        </r>
      </text>
    </comment>
    <comment ref="C25" authorId="0" shapeId="0" xr:uid="{0974BA68-2CCD-4348-9EB4-9BFA19B0EDD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Becas subsidios certificaciones artesanales $18k; materiales/insumos paja toquilla proyecto Kal-Arte $3k; semillas/insumos huertos 26 comunidades (compartido FA-I-X-02) $9.6k — ítems PAC #23,54,131. Modalidad SPD/subsidio.</t>
        </r>
      </text>
    </comment>
    <comment ref="C26" authorId="0" shapeId="0" xr:uid="{3C793EF9-96F8-432C-A143-F84C75B11F9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Servicio organización eventos turísticos nac./internacionales Montecristi $78.4k; servicio organización eventos turismo religioso festividades $85k — ítems PAC #120, #121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tc={5761AE5A-87E2-4F77-B36F-AB2FA3CEDCFE}</author>
  </authors>
  <commentList>
    <comment ref="I10" authorId="0" shapeId="0" xr:uid="{5761AE5A-87E2-4F77-B36F-AB2FA3CEDC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ALERTA AUDITORIAL: Maquinaria pesada (Motoniveladora, Rodillo, 2 Retroexcavadoras) precontratada pero sin entrega al 31/12/2024. T_i=0 por ejecución financiera nula. Fuente: Informe RDC N°22844 Montecristi.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H7" authorId="0" shapeId="0" xr:uid="{84C33623-EEC9-4927-96F2-2E739DDDE70A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Servicio social — menor trazabilidad documental pública. LOTAIP Art.7: probable publicación parcial.</t>
        </r>
      </text>
    </comment>
    <comment ref="H8" authorId="0" shapeId="0" xr:uid="{C165C9AF-116C-4246-AAAB-70697DB3AF81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Servicio social — menor trazabilidad documental pública.</t>
        </r>
      </text>
    </comment>
    <comment ref="H9" authorId="0" shapeId="0" xr:uid="{7C1C0A65-FFAC-476B-BABE-3C1180EA8AA5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Obra infraestructura — contratos obligatorios SERCOP → LOTAIP Art.7 lit.k. URL: Ver portal SERCOP código [proceso]</t>
        </r>
      </text>
    </comment>
    <comment ref="H10" authorId="0" shapeId="0" xr:uid="{F773AFC4-8643-455E-AAD3-117F631FBC68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Sin actividad 2024 — meta sin ejecución presupuestaria en período.</t>
        </r>
      </text>
    </comment>
    <comment ref="H11" authorId="0" shapeId="0" xr:uid="{EBD674C3-454A-450A-8254-F9ADCB381FAD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Obra infraestructura — contratos obligatorios SERCOP → LOTAIP Art.7 lit.k.</t>
        </r>
      </text>
    </comment>
    <comment ref="H12" authorId="0" shapeId="0" xr:uid="{32AE7FED-9FEE-42CD-99F2-D885B5F2E0E4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Transferencia a EP Montehogar — los contratos son de la EP, no del GAD. No aplica LOTAIP del GAD.</t>
        </r>
      </text>
    </comment>
    <comment ref="H13" authorId="0" shapeId="0" xr:uid="{422D6806-D684-490A-B0C6-3D35FE954262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Servicio social — menor trazabilidad documental pública.</t>
        </r>
      </text>
    </comment>
    <comment ref="H14" authorId="0" shapeId="0" xr:uid="{A4DBB41F-0A5C-40AF-B19B-1545B254642E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Obra infraestructura — contratos obligatorios SERCOP → LOTAIP Art.7 lit.k.</t>
        </r>
      </text>
    </comment>
    <comment ref="H15" authorId="0" shapeId="0" xr:uid="{C9C7A922-58EE-4F78-A097-858C9A835EAA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Obra infraestructura — contratos obligatorios SERCOP → LOTAIP Art.7 lit.k.</t>
        </r>
      </text>
    </comment>
    <comment ref="H16" authorId="0" shapeId="0" xr:uid="{B21D2959-2082-4D26-8EEE-BE468786DC54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Obra infraestructura — contratos obligatorios SERCOP → LOTAIP Art.7 lit.k.</t>
        </r>
      </text>
    </comment>
    <comment ref="H17" authorId="0" shapeId="0" xr:uid="{9C6A4B47-A29F-4DE4-A4A0-F7BCA3BDB9A3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Obra infraestructura — contratos obligatorios SERCOP → LOTAIP Art.7 lit.k.</t>
        </r>
      </text>
    </comment>
    <comment ref="H18" authorId="0" shapeId="0" xr:uid="{C8E69BB7-8A92-4D99-BF10-14EB8D2AFDAE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Servicio social — participación ciudadana. Probable publicación parcial.</t>
        </r>
      </text>
    </comment>
    <comment ref="H19" authorId="0" shapeId="0" xr:uid="{E245EDA6-7C5B-458A-A613-0113EE92BB6F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Obra infraestructura — contratos obligatorios SERCOP → LOTAIP Art.7 lit.k.</t>
        </r>
      </text>
    </comment>
    <comment ref="H20" authorId="0" shapeId="0" xr:uid="{41269AF2-97EA-4CA6-BF2B-707878633C14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Obra infraestructura — contratos obligatorios SERCOP → LOTAIP Art.7 lit.k.</t>
        </r>
      </text>
    </comment>
    <comment ref="H21" authorId="0" shapeId="0" xr:uid="{BEB911D1-8966-41B1-A5FC-661C0A2E9470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Ambiental/planificación — estudios y consultorías generan contratos públicos verificables.</t>
        </r>
      </text>
    </comment>
    <comment ref="H22" authorId="0" shapeId="0" xr:uid="{657AC456-0CD7-44E2-B72B-75F07FE9F5A4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Servicio social — patrimonio y cultura. Probable publicación parcial.</t>
        </r>
      </text>
    </comment>
    <comment ref="H23" authorId="0" shapeId="0" xr:uid="{D7DD6BC6-73AF-4733-A3F4-929A3D594F71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Ambiental/planificación — estudios y consultorías generan contratos públicos verificables.</t>
        </r>
      </text>
    </comment>
    <comment ref="H24" authorId="0" shapeId="0" xr:uid="{D40B411A-E73F-4363-A393-586AA6D32E4C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Servicio social — seguridad vial. Probable publicación parcial.</t>
        </r>
      </text>
    </comment>
    <comment ref="H25" authorId="0" shapeId="0" xr:uid="{0968AA69-7224-4CBE-8EDE-8AD8FD62F653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Servicio social — vivienda interés social. Probable publicación parcial.</t>
        </r>
      </text>
    </comment>
    <comment ref="H26" authorId="0" shapeId="0" xr:uid="{C4A9FC45-7F34-4361-8157-4D96309587F9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Servicio social — fortalecimiento productivo. Probable publicación parcial.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C7" authorId="0" shapeId="0" xr:uid="{21E55FBF-A6A4-4C70-A8F5-8A5BF84EDAC0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ICM=100%: Mayor presupuesto — mencionada en Rendición de Cuentas 2024</t>
        </r>
      </text>
    </comment>
    <comment ref="C8" authorId="0" shapeId="0" xr:uid="{C5E02931-A10B-4C99-87FB-558E56FA27F1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Meta menor — no mencionada en Rendición de Cuentas 2024</t>
        </r>
      </text>
    </comment>
    <comment ref="C10" authorId="0" shapeId="0" xr:uid="{F04BC6C8-A34C-4B71-83FA-EE516D90934D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Sin actividad 2024 — no mencionada</t>
        </r>
      </text>
    </comment>
    <comment ref="C12" authorId="0" shapeId="0" xr:uid="{86F4EBAE-AE98-4405-9631-A0AF6812E0CE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Transferencia EP Montehogar — no mencionada directamente</t>
        </r>
      </text>
    </comment>
    <comment ref="C18" authorId="0" shapeId="0" xr:uid="{B665E45D-77DD-4835-9D5A-A8466E9FBEAC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Mencionada con mayor presupuesto</t>
        </r>
      </text>
    </comment>
    <comment ref="C19" authorId="0" shapeId="0" xr:uid="{F5DD6ABD-39D5-4032-9CDA-2CCF474EB194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Meta menor — no mencionada</t>
        </r>
      </text>
    </comment>
    <comment ref="C21" authorId="0" shapeId="0" xr:uid="{58E34E32-71AC-4B98-AAEE-E331492FCD82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Meta menor — no mencionada</t>
        </r>
      </text>
    </comment>
    <comment ref="C22" authorId="0" shapeId="0" xr:uid="{6AA7E7B8-AFB2-4A02-9063-2D3117A3968F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Meta menor — no mencionada</t>
        </r>
      </text>
    </comment>
    <comment ref="C24" authorId="0" shapeId="0" xr:uid="{53B6C95F-B129-49AA-B40B-83FCBDD8556E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Meta menor — no mencionada</t>
        </r>
      </text>
    </comment>
    <comment ref="C25" authorId="0" shapeId="0" xr:uid="{6D042705-F5F3-45B1-A147-4326BBFE1174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Meta menor — no mencionada</t>
        </r>
      </text>
    </comment>
    <comment ref="C26" authorId="0" shapeId="0" xr:uid="{6CA40929-A674-460E-B18B-36E27C42E7ED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Meta menor — no mencionada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<sst xmlns="http://schemas.openxmlformats.org/spreadsheetml/2006/main" count="2727" uniqueCount="1569">
  <si>
    <t>Bloque</t>
  </si>
  <si>
    <t>Hoja</t>
  </si>
  <si>
    <t>Nivel</t>
  </si>
  <si>
    <t>—</t>
  </si>
  <si>
    <t>IFE</t>
  </si>
  <si>
    <t>IED</t>
  </si>
  <si>
    <t>ITAM</t>
  </si>
  <si>
    <t>ICS+ISP</t>
  </si>
  <si>
    <t>ICODS</t>
  </si>
  <si>
    <t>SAT-I</t>
  </si>
  <si>
    <t>Fragmentación Selectiva</t>
  </si>
  <si>
    <t>SAT-II</t>
  </si>
  <si>
    <t>Sustitución Estratégica</t>
  </si>
  <si>
    <t>SAT-III</t>
  </si>
  <si>
    <t>Inflación de Unidades</t>
  </si>
  <si>
    <t>SAT-IV</t>
  </si>
  <si>
    <t>H01 — PARÁMETROS GENERALES TERRA SIAP-ICPI v2.0</t>
  </si>
  <si>
    <t>FUENTE Única de toda configuración. TODAS las hojas leen de aquí. NADIE más tiene valores de configuración hardcodeados.</t>
  </si>
  <si>
    <t>▌ SECCIÓN A — IDENTIFICACIÓN DEL GAD</t>
  </si>
  <si>
    <t>GAD_Nombre</t>
  </si>
  <si>
    <t>GAD Municipal de Montecristi</t>
  </si>
  <si>
    <t>GAD_Codigo</t>
  </si>
  <si>
    <t>GAD_RUC</t>
  </si>
  <si>
    <t>GAD_Provincia</t>
  </si>
  <si>
    <t>Manabí</t>
  </si>
  <si>
    <t>GAD_Período</t>
  </si>
  <si>
    <t>2024-2027</t>
  </si>
  <si>
    <t>GAD_Alcalde</t>
  </si>
  <si>
    <t>ICM_SIGAD_Oficial</t>
  </si>
  <si>
    <t>Fecha_Corte</t>
  </si>
  <si>
    <t>31/12/2024</t>
  </si>
  <si>
    <t>Año_Fiscal</t>
  </si>
  <si>
    <t>Total_Metas_PDOT</t>
  </si>
  <si>
    <t>Total_Promesas_CNE</t>
  </si>
  <si>
    <t>▌ SECCIÓN B — ESCALA AVEP (5 NIVELES)</t>
  </si>
  <si>
    <t>Etiqueta</t>
  </si>
  <si>
    <t>Color_Hex</t>
  </si>
  <si>
    <t>Emoji</t>
  </si>
  <si>
    <t>Excelencia en Gobernanza</t>
  </si>
  <si>
    <t>#003087</t>
  </si>
  <si>
    <t>🔵</t>
  </si>
  <si>
    <t>Gestión por Mandato</t>
  </si>
  <si>
    <t>#38a169</t>
  </si>
  <si>
    <t>🟢</t>
  </si>
  <si>
    <t>Transición Crítica</t>
  </si>
  <si>
    <t>#d69e2e</t>
  </si>
  <si>
    <t>🟡</t>
  </si>
  <si>
    <t>Gestión por Ocurrencia</t>
  </si>
  <si>
    <t>#e67e22</t>
  </si>
  <si>
    <t>🟠</t>
  </si>
  <si>
    <t>Ruptura Sistémica</t>
  </si>
  <si>
    <t>#e53e3e</t>
  </si>
  <si>
    <t>🔴</t>
  </si>
  <si>
    <t>Función AVEP estándar (referencia):</t>
  </si>
  <si>
    <t>=SI(valor&gt;=90,"🔵 Excelencia en Gobernanza",SI(valor&gt;=70,"🟢 Gestión por Mandato",SI(valor&gt;=40,"🟡 Transición Crítica",SI(valor&gt;=20,"🟠 Gestión por Ocurrencia","🔴 Ruptura Sistémica"))))</t>
  </si>
  <si>
    <t>▌ SECCIÓN C — PARÁMETROS FISCALES Y DISCRIMINACIÓN POSITIVA</t>
  </si>
  <si>
    <t>Presupuesto_Total_GAD</t>
  </si>
  <si>
    <t>Presupuesto_Patronato (Art.249 COOTAD — 10%)</t>
  </si>
  <si>
    <t>Fecha_Reforma_COOTAD</t>
  </si>
  <si>
    <t>Fecha_Vigencia_Regla_Fiscal</t>
  </si>
  <si>
    <t>Pct_Inversion_Minimo</t>
  </si>
  <si>
    <t>Pct_Corriente_Maximo</t>
  </si>
  <si>
    <t>SAT_IV_Activa [MALEABLE: actualizar B31 si reforma COOTAD derogada]</t>
  </si>
  <si>
    <t>--- DISCRIMINACIÓN POSITIVA — Módulo TERRA Ciudadano ---</t>
  </si>
  <si>
    <t>Multiplicador_Clima [Bono 15% para metas ODS 13 — Resiliencia]</t>
  </si>
  <si>
    <t>Multiplicador_Genero [Bono 15% para metas ODS 5 — Igualdad]</t>
  </si>
  <si>
    <t>Nota discriminación positiva:</t>
  </si>
  <si>
    <t>Estos multiplicadores elevan el R_i de metas de género y clima en H04, haciendo que su incumplimiento penalice más el IED. La fórmula canónica del motor NO cambia.</t>
  </si>
  <si>
    <t>▌ SECCIÓN D — UMBRALES SEÑALES SAT</t>
  </si>
  <si>
    <t>SAT_I_Umbral_ICM</t>
  </si>
  <si>
    <t>SAT_I_Umbral_Universo</t>
  </si>
  <si>
    <t>SAT_II_Umbral_Reforma</t>
  </si>
  <si>
    <t>SAT_III_Umbral_Cumpl</t>
  </si>
  <si>
    <t>SAT_III_Umbral_Deveng</t>
  </si>
  <si>
    <t>MMP_Umbral_Brecha [Si devengado &lt; 30% al Q3, meta elegible financiamiento externo]</t>
  </si>
  <si>
    <t>▌ SECCIÓN E — PLAN NACIONAL VIGENTE</t>
  </si>
  <si>
    <t>PND_Nombre</t>
  </si>
  <si>
    <t>Ecuador No Se Detiene 2025-2029</t>
  </si>
  <si>
    <t>PND_Resolución</t>
  </si>
  <si>
    <t>CNP 0012-2025</t>
  </si>
  <si>
    <t>PND_Metas_ODS [de 98 metas totales vinculadas a Agenda 2030]</t>
  </si>
  <si>
    <t>SNP_Nombre [NUNCA usar SENPLADES — fue suprimida en 2019]</t>
  </si>
  <si>
    <t>Secretaría Nacional de Planificación</t>
  </si>
  <si>
    <t>2024-12-31T05:00:00.000Z</t>
  </si>
  <si>
    <t>2026-02-23T05:00:00.000Z</t>
  </si>
  <si>
    <t>2026-06-01T05:00:00.000Z</t>
  </si>
  <si>
    <t>H02 — GLOSARIO TERRA — 15 TÉRMINOS CANÓNICOS</t>
  </si>
  <si>
    <t>Los únicos términos propios del ecosistema. NO se inventan otros.</t>
  </si>
  <si>
    <t>#</t>
  </si>
  <si>
    <t>Sigla</t>
  </si>
  <si>
    <t>Término Completo</t>
  </si>
  <si>
    <t>Definición</t>
  </si>
  <si>
    <t>Ref. Legal</t>
  </si>
  <si>
    <t>TERRA</t>
  </si>
  <si>
    <t>Ecosistema de Integridad Algorítmica Preventiva</t>
  </si>
  <si>
    <t>Plataforma GovTech de QUADRUM para gobernanza preventiva municipal</t>
  </si>
  <si>
    <t>COOTAD Art.295</t>
  </si>
  <si>
    <t>SIAP</t>
  </si>
  <si>
    <t>Sistema de Integridad Algorítmica Preventiva</t>
  </si>
  <si>
    <t>Arquitectura metodológica de verificación cruzada intersistémica para GADs</t>
  </si>
  <si>
    <t>COOTAD Art.295 + COPFP Art.9</t>
  </si>
  <si>
    <t>ICPI</t>
  </si>
  <si>
    <t>Índice de Congruencia Programática e Intersistémica</t>
  </si>
  <si>
    <t>Métrica nuclear que certifica alineación verificable entre PDOT y ejecución en 9 silos</t>
  </si>
  <si>
    <t>COPFP Art.54</t>
  </si>
  <si>
    <t>Índice de Fidelidad Electoral</t>
  </si>
  <si>
    <t>Verificador complementario. Mide si las promesas del Plan CNE fueron incorporadas al PDOT. NO es motor de cálculo.</t>
  </si>
  <si>
    <t>Código Democracia</t>
  </si>
  <si>
    <t>Índice de Eficiencia Directiva</t>
  </si>
  <si>
    <t>ICPI desagregado por silo y dirección. Evalúa calidad del flujo administrativo.</t>
  </si>
  <si>
    <t>LOSEP Art.76 + NCI 200-04</t>
  </si>
  <si>
    <t>Índice de Transparencia Activa Municipal</t>
  </si>
  <si>
    <t>Calidad y accesibilidad documental en los silos públicos del GAD</t>
  </si>
  <si>
    <t>LOTAIP Art.7</t>
  </si>
  <si>
    <t>ICS</t>
  </si>
  <si>
    <t>Índice de Congruencia Social</t>
  </si>
  <si>
    <t>ICPI filtrado para metas sociales y grupos de atención prioritaria</t>
  </si>
  <si>
    <t>Constitución Art.35</t>
  </si>
  <si>
    <t>ISP</t>
  </si>
  <si>
    <t>Índice de Congruencia del Patronato</t>
  </si>
  <si>
    <t>Trazabilidad del gasto social delegado. Componente opcional del ICS.</t>
  </si>
  <si>
    <t>COOTAD Art.249</t>
  </si>
  <si>
    <t>Índice de Congruencia ODS</t>
  </si>
  <si>
    <t>Alineación de metas PDOT con Agenda 2030. Incluye subíndice género y generacional.</t>
  </si>
  <si>
    <t>ODS 16-17 prioritarios</t>
  </si>
  <si>
    <t>MOM</t>
  </si>
  <si>
    <t>Mutación del Objeto de Medición</t>
  </si>
  <si>
    <t>Gaming del sistema de autoreporte municipal. Tres tipos detectados algorítmicamente.</t>
  </si>
  <si>
    <t>Campbell 1976 + Hood 2006</t>
  </si>
  <si>
    <t>SAT</t>
  </si>
  <si>
    <t>Señales de Atención Temprana</t>
  </si>
  <si>
    <t>Cuatro protocolos algorítmicos de detección de anomalías en la cadena de trazabilidad.</t>
  </si>
  <si>
    <t>COPFP Art.117 + COA Art.196</t>
  </si>
  <si>
    <t>Cadena de Trazabilidad Intersistémica</t>
  </si>
  <si>
    <t>Flujo documental con firma digital desde informe mensual de servidor hasta CPCCS.</t>
  </si>
  <si>
    <t>Constitución Art.18</t>
  </si>
  <si>
    <t>AVEP</t>
  </si>
  <si>
    <t>Escala de Clasificación ICPI</t>
  </si>
  <si>
    <t>Alineación-Verificación-Ejecución-Publicación. 5 niveles con colores canónicos.</t>
  </si>
  <si>
    <t>Metodología SIAP-ICPI propia</t>
  </si>
  <si>
    <t>TAC</t>
  </si>
  <si>
    <t>Tablero de Acción Ciudadana</t>
  </si>
  <si>
    <t>Dashboard público con tres vistas: ciudadana, periodista y técnica. Incluye TAM</t>
  </si>
  <si>
    <t>LOPC Art.88</t>
  </si>
  <si>
    <t>MMP</t>
  </si>
  <si>
    <t>Motor de Monitoreo Programático</t>
  </si>
  <si>
    <t>Seguimiento mensual con firma digital por servidor público y director. Cadena de integridad intersistémica.</t>
  </si>
  <si>
    <t>COPFP Art.115-117</t>
  </si>
  <si>
    <t>ID_Promesa</t>
  </si>
  <si>
    <t>Eje_Estratégico</t>
  </si>
  <si>
    <t>Descripción_Promesa</t>
  </si>
  <si>
    <t>ID_Meta_PDOT_Vinculada</t>
  </si>
  <si>
    <t>Score_IFE</t>
  </si>
  <si>
    <t>Tipo_Vinculación</t>
  </si>
  <si>
    <t>Justificación_Técnica</t>
  </si>
  <si>
    <t>EC-001</t>
  </si>
  <si>
    <t>Económico</t>
  </si>
  <si>
    <t>Directa</t>
  </si>
  <si>
    <t>EC-002</t>
  </si>
  <si>
    <t>EC-003</t>
  </si>
  <si>
    <t>EC-004</t>
  </si>
  <si>
    <t>Parcial</t>
  </si>
  <si>
    <t>EC-005</t>
  </si>
  <si>
    <t>IN-001</t>
  </si>
  <si>
    <t>Institucional</t>
  </si>
  <si>
    <t>IN-002</t>
  </si>
  <si>
    <t>IN-003</t>
  </si>
  <si>
    <t>PDOT-018</t>
  </si>
  <si>
    <t>IN-004</t>
  </si>
  <si>
    <t>SC-001</t>
  </si>
  <si>
    <t>Social</t>
  </si>
  <si>
    <t>PDOT-006</t>
  </si>
  <si>
    <t>SC-002</t>
  </si>
  <si>
    <t>PDOT-007</t>
  </si>
  <si>
    <t>SC-003</t>
  </si>
  <si>
    <t>PDOT-008</t>
  </si>
  <si>
    <t>SC-004</t>
  </si>
  <si>
    <t>SC-005</t>
  </si>
  <si>
    <t>Sin vínculo</t>
  </si>
  <si>
    <t>AM-001</t>
  </si>
  <si>
    <t>Ambiental</t>
  </si>
  <si>
    <t>AM-002</t>
  </si>
  <si>
    <t>AM-003</t>
  </si>
  <si>
    <t>TE-001</t>
  </si>
  <si>
    <t>Territorial</t>
  </si>
  <si>
    <t>TE-002</t>
  </si>
  <si>
    <t>TE-003</t>
  </si>
  <si>
    <t>IFE_Numerador</t>
  </si>
  <si>
    <t>IFE_Total_Promesas</t>
  </si>
  <si>
    <t>★ IFE_GLOBAL ★ [FUENTE Única DEL IFE]</t>
  </si>
  <si>
    <t>Clasificación_IFE</t>
  </si>
  <si>
    <t>[★★★ CELDA MAESTRA IFE — H16 y H28 referencian única y exclusivamente esta celda ★★★]</t>
  </si>
  <si>
    <t>ID_Meta</t>
  </si>
  <si>
    <t>Competencia_GAD</t>
  </si>
  <si>
    <t>R_i_raw</t>
  </si>
  <si>
    <t>ODS_Cluster</t>
  </si>
  <si>
    <t>ODS_Específico</t>
  </si>
  <si>
    <t>Bono_Equidad</t>
  </si>
  <si>
    <t>R_i_final</t>
  </si>
  <si>
    <t>Fuente_Financiamiento</t>
  </si>
  <si>
    <t>Meta_Cuantitativa</t>
  </si>
  <si>
    <t>Línea_Base</t>
  </si>
  <si>
    <t>Indicador_PDOT</t>
  </si>
  <si>
    <t>Dirección_Responsable</t>
  </si>
  <si>
    <t>Página_PDOT</t>
  </si>
  <si>
    <t>Complementaria</t>
  </si>
  <si>
    <t>Gobernanza</t>
  </si>
  <si>
    <t>Recursos propios GAD</t>
  </si>
  <si>
    <t>Dirección Económica</t>
  </si>
  <si>
    <t>Exclusiva_Importante</t>
  </si>
  <si>
    <t>Dirección de Obras Públicas</t>
  </si>
  <si>
    <t>16,17</t>
  </si>
  <si>
    <t>Dirección TIC</t>
  </si>
  <si>
    <t>Inclusion</t>
  </si>
  <si>
    <t>Recursos propios + MSP</t>
  </si>
  <si>
    <t>Dirección de Salud</t>
  </si>
  <si>
    <t>Dirección de Educación</t>
  </si>
  <si>
    <t>Patronato Municipal</t>
  </si>
  <si>
    <t>Exclusiva_Crítica</t>
  </si>
  <si>
    <t>Infraestructura</t>
  </si>
  <si>
    <t>9,11</t>
  </si>
  <si>
    <t>Recursos propios + BDE</t>
  </si>
  <si>
    <t>Recursos propios + BDE + MIDUVI</t>
  </si>
  <si>
    <t>Dirección de Agua y Saneamiento</t>
  </si>
  <si>
    <t>PDOT-012</t>
  </si>
  <si>
    <t>Dirección Ambiental</t>
  </si>
  <si>
    <t>Dirección Administrativa</t>
  </si>
  <si>
    <t>Recursos propios + Patronato</t>
  </si>
  <si>
    <t>Secretaría General</t>
  </si>
  <si>
    <t>Dirección de Cultura y Deporte</t>
  </si>
  <si>
    <t>S3 — SILO OPERATIVO (POA)</t>
  </si>
  <si>
    <t>Plan Operativo Anual con metas desagregadas, cronograma de ejecución y responsables. Operacionaliza el PDOT en acciones ejecutables dentro del año fiscal.</t>
  </si>
  <si>
    <t>Fundamentación: COPFP Art.9 + COOTAD Art.234</t>
  </si>
  <si>
    <t>Descripción_Meta</t>
  </si>
  <si>
    <t>Unidad_Medida</t>
  </si>
  <si>
    <t>Presup_Anual_2024</t>
  </si>
  <si>
    <t>ENE_Plan_%</t>
  </si>
  <si>
    <t>ENE_Ejec_%</t>
  </si>
  <si>
    <t>FEB_Plan_%</t>
  </si>
  <si>
    <t>FEB_Ejec_%</t>
  </si>
  <si>
    <t>MAR_Plan_%</t>
  </si>
  <si>
    <t>MAR_Ejec_%</t>
  </si>
  <si>
    <t>ABR_Plan_%</t>
  </si>
  <si>
    <t>ABR_Ejec_%</t>
  </si>
  <si>
    <t>MAY_Plan_%</t>
  </si>
  <si>
    <t>MAY_Ejec_%</t>
  </si>
  <si>
    <t>JUN_Plan_%</t>
  </si>
  <si>
    <t>JUN_Ejec_%</t>
  </si>
  <si>
    <t>JUL_Plan_%</t>
  </si>
  <si>
    <t>JUL_Ejec_%</t>
  </si>
  <si>
    <t>AGO_Plan_%</t>
  </si>
  <si>
    <t>AGO_Ejec_%</t>
  </si>
  <si>
    <t>SEP_Plan_%</t>
  </si>
  <si>
    <t>SEP_Ejec_%</t>
  </si>
  <si>
    <t>OCT_Plan_%</t>
  </si>
  <si>
    <t>OCT_Ejec_%</t>
  </si>
  <si>
    <t>NOV_Plan_%</t>
  </si>
  <si>
    <t>NOV_Ejec_%</t>
  </si>
  <si>
    <t>DIC_Plan_%</t>
  </si>
  <si>
    <t>DIC_Ejec_%</t>
  </si>
  <si>
    <t>Avance_Acum_Real</t>
  </si>
  <si>
    <t>Semáforo_POA</t>
  </si>
  <si>
    <t>Alerta_Inversión</t>
  </si>
  <si>
    <t>S4 — SILO CONTRATACIÓN PÚBLICA (SERCOP)</t>
  </si>
  <si>
    <t>Procesos contractuales publicados en el portal del SERCOP. Materializa las metas POA en compromisos contractuales verificables.</t>
  </si>
  <si>
    <t>Fundamentación: LOSNCP Art.22 + Art.73</t>
  </si>
  <si>
    <t>ID_Proceso_SERCOP</t>
  </si>
  <si>
    <t>Monto_Adjudicado</t>
  </si>
  <si>
    <t>Proveedor_RUC</t>
  </si>
  <si>
    <t>Estado_Proceso</t>
  </si>
  <si>
    <t>URL_SERCOP</t>
  </si>
  <si>
    <t>V_SERCOP</t>
  </si>
  <si>
    <t>Alerta_Sobreprecio</t>
  </si>
  <si>
    <t>Adjudicado</t>
  </si>
  <si>
    <t>En_proceso</t>
  </si>
  <si>
    <t>S5 — SILO FINANCIERO (eSIGEF/MEF)</t>
  </si>
  <si>
    <t>Ejecución presupuestaria con devengado certificado en el sistema nacional del MEF. Registra el momento en que el bien o servicio es efectivamente recibido.</t>
  </si>
  <si>
    <t>Fundamentación: COPFP Arts.115-117 + Acuerdo 067 MEF</t>
  </si>
  <si>
    <t>Partida_Presupuestaria</t>
  </si>
  <si>
    <t>Grupo_Presup</t>
  </si>
  <si>
    <t>Codificado</t>
  </si>
  <si>
    <t>Devengado</t>
  </si>
  <si>
    <t>T_i (Tasa Ejec.)</t>
  </si>
  <si>
    <t>V_eSIGEF</t>
  </si>
  <si>
    <t>Flag_SAT_IV</t>
  </si>
  <si>
    <t>TOTALES</t>
  </si>
  <si>
    <t>T_i_Promedio_Global</t>
  </si>
  <si>
    <t>S6 — SILO AUTOREPORTE (SIGAD/SNP)</t>
  </si>
  <si>
    <t>Índice de Cumplimiento de Metas reportado a la Secretaría Nacional de Planificación. Métrica oficial de evaluación de gestión — objeto de contraste con el ICPI verificado.</t>
  </si>
  <si>
    <t>Fundamentación: COPFP Art.9 + COOTAD Art.295 | NUNCA usar 'SENPLADES' — fue suprimida en 2019</t>
  </si>
  <si>
    <t>Pct_Avance_Reportado_SIGAD</t>
  </si>
  <si>
    <t>Unidad_Medida_Reportada</t>
  </si>
  <si>
    <t>Fecha_Ultimo_Reporte</t>
  </si>
  <si>
    <t>V_SIGAD</t>
  </si>
  <si>
    <t>Alerta_Unidad_MOM_III</t>
  </si>
  <si>
    <t>ICM_Global_SIGAD</t>
  </si>
  <si>
    <t>← ICM Oficial SIGAD (referenciado por SAT-I)</t>
  </si>
  <si>
    <t>Total_Metas_Reportadas</t>
  </si>
  <si>
    <t>S7 — SILO TRANSPARENCIA ACTIVA (LOTAIP)</t>
  </si>
  <si>
    <t>Documentos contractuales, actas y evidencia publicados en el portal institucional del GAD. Si el documento no está en URL pública, algorítmicamente no existe.</t>
  </si>
  <si>
    <t>Fundamentación: LOTAIP Art.7 + Constitución Art.18</t>
  </si>
  <si>
    <t>Literal_LOTAIP</t>
  </si>
  <si>
    <t>Tipo_Documento</t>
  </si>
  <si>
    <t>URL_Portal_GAD</t>
  </si>
  <si>
    <t>Fecha_Publicacion</t>
  </si>
  <si>
    <t>Accesible</t>
  </si>
  <si>
    <t>V_LOTAIP</t>
  </si>
  <si>
    <t>k</t>
  </si>
  <si>
    <t>Acta adjudicación</t>
  </si>
  <si>
    <t>https://montecristi.gob.ec/transparencia/k/pdot001</t>
  </si>
  <si>
    <t>SÍ</t>
  </si>
  <si>
    <t>Contrato MIPYMES</t>
  </si>
  <si>
    <t>https://montecristi.gob.ec/transparencia/k/pdot002</t>
  </si>
  <si>
    <t>a4</t>
  </si>
  <si>
    <t>Informe obras</t>
  </si>
  <si>
    <t>https://montecristi.gob.ec/transparencia/a4/pdot003</t>
  </si>
  <si>
    <t>Acta feria</t>
  </si>
  <si>
    <t>https://montecristi.gob.ec/transparencia/k/pdot004</t>
  </si>
  <si>
    <t>a1</t>
  </si>
  <si>
    <t>Plataforma digital</t>
  </si>
  <si>
    <t>https://montecristi.gob.ec/transparencia/a1/pdot005</t>
  </si>
  <si>
    <t>m</t>
  </si>
  <si>
    <t>Informe salud</t>
  </si>
  <si>
    <t>https://montecristi.gob.ec/transparencia/m/pdot006</t>
  </si>
  <si>
    <t>Convenio MINEDUC</t>
  </si>
  <si>
    <t>https://montecristi.gob.ec/transparencia/m/pdot007</t>
  </si>
  <si>
    <t>Acta guarderìa</t>
  </si>
  <si>
    <t>https://montecristi.gob.ec/transparencia/k/pdot008</t>
  </si>
  <si>
    <t>Acta recepción vías</t>
  </si>
  <si>
    <t>https://montecristi.gob.ec/transparencia/a4/pdot009</t>
  </si>
  <si>
    <t>Acta agua potable</t>
  </si>
  <si>
    <t>https://montecristi.gob.ec/transparencia/a4/pdot010</t>
  </si>
  <si>
    <t>Acta alcantarillado</t>
  </si>
  <si>
    <t>https://montecristi.gob.ec/transparencia/a4/pdot011</t>
  </si>
  <si>
    <t>Informe brigadas</t>
  </si>
  <si>
    <t>NO</t>
  </si>
  <si>
    <t>Acta reforestación</t>
  </si>
  <si>
    <t>https://montecristi.gob.ec/transparencia/k/pdot013</t>
  </si>
  <si>
    <t>Informe residuos</t>
  </si>
  <si>
    <t>https://montecristi.gob.ec/transparencia/a4/pdot014</t>
  </si>
  <si>
    <t>Informe cuencas</t>
  </si>
  <si>
    <t>Informe TIC</t>
  </si>
  <si>
    <t>https://montecristi.gob.ec/transparencia/a1/pdot016</t>
  </si>
  <si>
    <t>Informe SERCOP</t>
  </si>
  <si>
    <t>https://montecristi.gob.ec/transparencia/k/pdot017</t>
  </si>
  <si>
    <t>Informe adulto mayor</t>
  </si>
  <si>
    <t>https://montecristi.gob.ec/transparencia/m/pdot018</t>
  </si>
  <si>
    <t>Informe rendición</t>
  </si>
  <si>
    <t>https://montecristi.gob.ec/transparencia/a1/pdot019</t>
  </si>
  <si>
    <t>Acta infraestructura</t>
  </si>
  <si>
    <t>https://montecristi.gob.ec/transparencia/k/pdot020</t>
  </si>
  <si>
    <t>ITAM_Base</t>
  </si>
  <si>
    <t>← Este valor es referenciado por H18_ITAM</t>
  </si>
  <si>
    <t>S8 — SILO PARTICIPACIÓN CIUDADANA (CPCCS)</t>
  </si>
  <si>
    <t>Mencionada_Rendición</t>
  </si>
  <si>
    <t>Pct_Declarado_Alcalde</t>
  </si>
  <si>
    <t>Evidencia_Citada</t>
  </si>
  <si>
    <t>Observaciones_Asamblea</t>
  </si>
  <si>
    <t>V_CPCCS</t>
  </si>
  <si>
    <t>Alerta_Demagogia</t>
  </si>
  <si>
    <t>S9 — SILO AGENDA GLOBAL (ODS/BILATERALES)</t>
  </si>
  <si>
    <t>Alineación de metas PDOT con Agenda 2030. Puente entre gestión local y estándares de reportabilidad ante CAF, BID y BM.</t>
  </si>
  <si>
    <t>PND vigente: 'Ecuador No Se Detiene' 2025-2029 (Resolución CNP 0012-2025). 96 de 98 metas alineadas con Agenda 2030.</t>
  </si>
  <si>
    <t>▌ SECCIÓN A — 3 CLÚSTERES ODS</t>
  </si>
  <si>
    <t>Clúster</t>
  </si>
  <si>
    <t>ODS</t>
  </si>
  <si>
    <t>N°_Metas_PDOT</t>
  </si>
  <si>
    <t>ICPI_Cluster (pendiente H12)</t>
  </si>
  <si>
    <t>Semáforo</t>
  </si>
  <si>
    <t>🏛️ Gobernanza</t>
  </si>
  <si>
    <t>ODS 16-17</t>
  </si>
  <si>
    <t>🏗️ Infraestructura</t>
  </si>
  <si>
    <t>ODS 6-9-11-13</t>
  </si>
  <si>
    <t>🤝 Inclusión Social</t>
  </si>
  <si>
    <t>ODS 1-3-4-5-10</t>
  </si>
  <si>
    <t>▌ SECCIÓN B — ENFOQUE GÉNERO Y GENERACIONAL</t>
  </si>
  <si>
    <t>♀️🌍 Metas con enfoque especial</t>
  </si>
  <si>
    <t>Total_Metas_Género_ODS5</t>
  </si>
  <si>
    <t>← Metas con ODS 5 (Igualdad de género)</t>
  </si>
  <si>
    <t>Total_Metas_Clima_ODS13</t>
  </si>
  <si>
    <t>← Metas con ODS 13 (Acción por el clima)</t>
  </si>
  <si>
    <t>Descripción</t>
  </si>
  <si>
    <t>ODS_Primario</t>
  </si>
  <si>
    <t>Enfoque</t>
  </si>
  <si>
    <t>Guardería comunitaria</t>
  </si>
  <si>
    <t>ODS 5</t>
  </si>
  <si>
    <t>Género</t>
  </si>
  <si>
    <t>Adulto mayor</t>
  </si>
  <si>
    <t>ODS 10</t>
  </si>
  <si>
    <t>Generacional</t>
  </si>
  <si>
    <t>Salud móvil</t>
  </si>
  <si>
    <t>ODS 3</t>
  </si>
  <si>
    <t>Género/Generacional</t>
  </si>
  <si>
    <t>Educación rural</t>
  </si>
  <si>
    <t>ODS 4</t>
  </si>
  <si>
    <t>Salud rural</t>
  </si>
  <si>
    <t>▌ SECCIÓN C — ARGUMENTOS PARA FINANCIADORES INTERNACIONALES</t>
  </si>
  <si>
    <t>CAF — Texto automático:</t>
  </si>
  <si>
    <t>BID/BM — Texto automático:</t>
  </si>
  <si>
    <t>P_i (Peso Fin.)</t>
  </si>
  <si>
    <t>R_i (con bono)</t>
  </si>
  <si>
    <t>V_i (Producto lógico silos)</t>
  </si>
  <si>
    <t>E_i (Autonomía orgánica)</t>
  </si>
  <si>
    <t>T_i (Devengado real)</t>
  </si>
  <si>
    <t>C_i (Calidad proceso)</t>
  </si>
  <si>
    <t>Numerador_i (Pi×Ri×Vi×Ei×Ti×Ci)</t>
  </si>
  <si>
    <t>Denominador_i (Pi×Ri)</t>
  </si>
  <si>
    <t>ICPI_Meta_i</t>
  </si>
  <si>
    <t>Nivel_AVEP</t>
  </si>
  <si>
    <t>E_i: 1.0=autónomo | 0.9=compartido | 0.75=difuso   |   C_i: 1.0=proceso único limpio | 0.9=compartido | 0.75=difuso o ambiguo   [Ingresar manualmente según Estatuto Orgánico]</t>
  </si>
  <si>
    <t>ICPI_Numerador_Global</t>
  </si>
  <si>
    <t>ICPI_Denominador_Global</t>
  </si>
  <si>
    <t>★★★ ICPI_GLOBAL_SISTEMA ★★★</t>
  </si>
  <si>
    <t>← CELDA MAESTRA ICPI. H15, H16, H17, H18, H19, H20, H28, H36 solo referencian esta celda.</t>
  </si>
  <si>
    <t>Clasificación_AVEP</t>
  </si>
  <si>
    <t>ICM_Oficial (SIGAD)</t>
  </si>
  <si>
    <t>Brecha_ICM_ICPI</t>
  </si>
  <si>
    <t>Interpretación_Brecha</t>
  </si>
  <si>
    <t>← FUENTE ÚNICA ICPI. Todas las hojas referencian SOLO esta celda. NUNCA recalculan.</t>
  </si>
  <si>
    <t>H13 — VARIABLES Vi — VERIFICACIÓN INTERSISTÉMICA</t>
  </si>
  <si>
    <t>Los 5 componentes que forman el producto lógico V_i en H12. Cada uno verifica evidencia independiente en un silo diferente.</t>
  </si>
  <si>
    <t>REGLA MAESTRA: Si todos ≥1 → V_i=1.0 | Si suma ≥2 → V_i=0.5 | Si suma &lt;2 → V_i=0.0</t>
  </si>
  <si>
    <t>Silo</t>
  </si>
  <si>
    <t>V_Componente</t>
  </si>
  <si>
    <t>Criterio V=1.0</t>
  </si>
  <si>
    <t>Criterio V=0.5</t>
  </si>
  <si>
    <t>Criterio V=0.0</t>
  </si>
  <si>
    <t>Fuente de Datos</t>
  </si>
  <si>
    <t>Fundamentación Legal</t>
  </si>
  <si>
    <t>S3 — POA</t>
  </si>
  <si>
    <t>V_POA</t>
  </si>
  <si>
    <t>Proyecto incluido en POA con cronograma mensual y presupuesto asignado</t>
  </si>
  <si>
    <t>POA registrado sin cronograma completo o sin presupuesto</t>
  </si>
  <si>
    <t>Proyecto sin POA o sin registro en S3</t>
  </si>
  <si>
    <t>H05_S3_OPERATIVO_POA</t>
  </si>
  <si>
    <t>COPFP Art.9 + COOTAD Art.234</t>
  </si>
  <si>
    <t>S4 — SERCOP</t>
  </si>
  <si>
    <t>Proceso adjudicado publicado en portal SERCOP</t>
  </si>
  <si>
    <t>Proceso registrado en SERCOP pero no adjudicado (en proceso)</t>
  </si>
  <si>
    <t>Sin proceso SERCOP registrado</t>
  </si>
  <si>
    <t>H06_S4_CONTRATACIÓN_SERCOP</t>
  </si>
  <si>
    <t>LOSNCP Art.22 + Art.73</t>
  </si>
  <si>
    <t>S5 — eSIGEF</t>
  </si>
  <si>
    <t>Devengado certificado &gt; 0 en sistema MEF</t>
  </si>
  <si>
    <t>Codificado &gt; 0 pero sin devengado registrado</t>
  </si>
  <si>
    <t>Sin registro presupuestario en eSIGEF</t>
  </si>
  <si>
    <t>H07_S5_FINANCIERO_eSIGEF</t>
  </si>
  <si>
    <t>COPFP Arts.115-117 + Acuerdo 067 MEF</t>
  </si>
  <si>
    <t>S7 — LOTAIP</t>
  </si>
  <si>
    <t>Documento en URL pública del GAD y accesible</t>
  </si>
  <si>
    <t>URL registrada pero no accesible o sin evidencia completa</t>
  </si>
  <si>
    <t>Sin URL pública — algorítmicamente no existe</t>
  </si>
  <si>
    <t>H09_S7_TRANSPARENCIA_LOTAIP</t>
  </si>
  <si>
    <t>LOTAIP Art.7 + Constitución Art.18</t>
  </si>
  <si>
    <t>S8 — CPCCS</t>
  </si>
  <si>
    <t>Mencionada en rendición con evidencia citada ante CPCCS</t>
  </si>
  <si>
    <t>Mencionada en rendición sin evidencia documental</t>
  </si>
  <si>
    <t>No mencionada en acto de rendición de cuentas</t>
  </si>
  <si>
    <t>H10_S8_PARTICIPACIÓN_CPCCS</t>
  </si>
  <si>
    <t>LOPC Art.88 + Constitución Art.204</t>
  </si>
  <si>
    <t>▌ FÓRMULA DEL PRODUCTO LÓGICO V_i (implementada en H12 columna D)</t>
  </si>
  <si>
    <t>NOTA: V_POA (S3) no entra en el producto lógico del motor H12 — S3 es la programación, los verificadores son S4/S5/S7/S8.</t>
  </si>
  <si>
    <t>H14 — PONDERADORES Pi y Ri — JUSTIFICACIÓN METODOLÓGICA</t>
  </si>
  <si>
    <t>P_i = Peso financiero normalizado (Presupuesto_Anual / Total). Suma = 1.0000. R_i_raw: 1.5=Exclusiva Crítica | 1.0=Exclusiva Importante | 0.5=Complementaria</t>
  </si>
  <si>
    <t>Escala R_i_raw: 1.5=agua/alcantarillado/desechos | 1.0=vialidad/salud/educación | 0.5=cultura/deporte/turismo. R_i_final incorpora bono ODS 5 y ODS 13 (×1.15 desde H01).</t>
  </si>
  <si>
    <t>P_i</t>
  </si>
  <si>
    <t>Justificación R_i</t>
  </si>
  <si>
    <t>Justificación P_i</t>
  </si>
  <si>
    <t>Competencia complementaria — fomento productivo no exclusivo del GAD</t>
  </si>
  <si>
    <t>Peso proporcional al presupuesto anual 2024 / total presupuesto anual del PDOT</t>
  </si>
  <si>
    <t>Competencia complementaria — apoyo económico delegado</t>
  </si>
  <si>
    <t>Competencia exclusiva importante — infraestructura de servicios municipales</t>
  </si>
  <si>
    <t>Mayor peso por presupuesto significativo de rehabilitación de mercado</t>
  </si>
  <si>
    <t>Competencia complementaria — ferias y desarrollo productivo</t>
  </si>
  <si>
    <t>Peso moderado acorde a presupuesto de ferias</t>
  </si>
  <si>
    <t>Competencia exclusiva importante — digitalización de servicios municipales</t>
  </si>
  <si>
    <t>Peso moderado por inversión en plataforma digital</t>
  </si>
  <si>
    <t>Competencia complementaria — salud compartida con MSP</t>
  </si>
  <si>
    <t>Peso proporcional con componente MSP</t>
  </si>
  <si>
    <t>Competencia complementaria — educación compartida con MINEDUC</t>
  </si>
  <si>
    <t>Peso proporcional con componente MINEDUC</t>
  </si>
  <si>
    <t>Competencia complementaria — género/social delegado (bono ODS 5 ×1.15)</t>
  </si>
  <si>
    <t>Peso menor por delegación parcial al Patronato</t>
  </si>
  <si>
    <t>Competencia exclusiva crítica — vialidad urbana y rural del cantón</t>
  </si>
  <si>
    <t>Alto peso por inversión vial 200K — competencia exclusiva crítica</t>
  </si>
  <si>
    <t>Competencia exclusiva crítica — agua potable bajo COOTAD Art.264</t>
  </si>
  <si>
    <t>Mayor peso presupuestario — agua potable 300K prioridad constitucional</t>
  </si>
  <si>
    <t>Competencia exclusiva crítica — saneamiento bajo COOTAD Art.264</t>
  </si>
  <si>
    <t>Alto peso — alcantarillado 237.5K competencia exclusiva</t>
  </si>
  <si>
    <t>Competencia complementaria — salud móvil con MSP (bono ODS 5 ×1.15)</t>
  </si>
  <si>
    <t>Peso reducido — brigadas de bajo costo unitario</t>
  </si>
  <si>
    <t>Competencia exclusiva importante — ambiente y reforestación (bono ODS 13 ×1.15)</t>
  </si>
  <si>
    <t>Peso moderado — reforestación 55K con impacto ambiental</t>
  </si>
  <si>
    <t>Competencia exclusiva crítica — gestión residuos sólidos COOTAD</t>
  </si>
  <si>
    <t>Alto peso — 100K residuos sólidos competencia crítica</t>
  </si>
  <si>
    <t>Competencia exclusiva importante — protección cuencas hídricas</t>
  </si>
  <si>
    <t>Peso moderado — 45K protección cuencas</t>
  </si>
  <si>
    <t>Competencia exclusiva importante — TIC institucional municipal</t>
  </si>
  <si>
    <t>Peso menor — modernización TIC 35K</t>
  </si>
  <si>
    <t>Competencia exclusiva importante — transparencia y SERCOP</t>
  </si>
  <si>
    <t>Peso menor — transparencia 20K</t>
  </si>
  <si>
    <t>Competencia complementaria — grupos vulnerables con Patronato</t>
  </si>
  <si>
    <t>Peso moderado — adulto mayor 32.5K Patronato</t>
  </si>
  <si>
    <t>Competencia exclusiva importante — rendición de cuentas CPCCS</t>
  </si>
  <si>
    <t>Peso menor — rendición de cuentas 15K</t>
  </si>
  <si>
    <t>Competencia complementaria — cultura y deporte no exclusivo</t>
  </si>
  <si>
    <t>Peso proporcional — cultura y deporte 50K</t>
  </si>
  <si>
    <t>TOTALES / VERIFICACIÓN</t>
  </si>
  <si>
    <t>← Suma P_i debe ser = 1.0000</t>
  </si>
  <si>
    <t>✅ Celdas D7, D8, D9 actualizadas con referencias reales a H12_MOTOR_ICPI_CANÓNICO</t>
  </si>
  <si>
    <t>H15 — ICPI GLOBAL — ÍNDICE NUCLEAR</t>
  </si>
  <si>
    <t>NIVEL 3 — Solo referencia H12. NUNCA recalcula el ICPI. Fuente: H12_MOTOR_ICPI_CANÓNICO!B29</t>
  </si>
  <si>
    <t>▌ PANEL MAESTRO ICPI</t>
  </si>
  <si>
    <t>ICPI_Global (%)</t>
  </si>
  <si>
    <t>← Fuente única: H12!B29. Esta hoja NO recalcula el ICPI.</t>
  </si>
  <si>
    <t>▌ ICPI POR META (20 metas)</t>
  </si>
  <si>
    <t>ICPI_Meta_i (%)</t>
  </si>
  <si>
    <t>H16 — IFE — ÍNDICE DE FIDELIDAD ELECTORAL</t>
  </si>
  <si>
    <t>NIVEL 3 — Verificador complementario. Solo referencia H03!B30. El motor del ecosistema es el PDOT, no el CNE.</t>
  </si>
  <si>
    <t>NOTA: IFE es verificador complementario. La base del ecosistema es el PDOT (S2). El CNE es el origen democrático de los compromisos.</t>
  </si>
  <si>
    <t>▌ PANEL IFE</t>
  </si>
  <si>
    <t>IFE_Global (%)</t>
  </si>
  <si>
    <t>Interpretación</t>
  </si>
  <si>
    <t>▌ 20 PROMESAS CNE — DETALLE IFE</t>
  </si>
  <si>
    <t>Eje</t>
  </si>
  <si>
    <t>ID_Meta_PDOT</t>
  </si>
  <si>
    <t>▌ IED POR CLÚSTER ODS</t>
  </si>
  <si>
    <t>Clúster_ODS</t>
  </si>
  <si>
    <t>N°_Metas</t>
  </si>
  <si>
    <t>IED_%</t>
  </si>
  <si>
    <t>Semáforo_AVEP</t>
  </si>
  <si>
    <t>Nivel_LOSEP</t>
  </si>
  <si>
    <t>▌ IED POR DIRECCIÓN MUNICIPAL</t>
  </si>
  <si>
    <t>Dirección</t>
  </si>
  <si>
    <t>Metas_en_Riesgo</t>
  </si>
  <si>
    <t>IED_Promedio_Global</t>
  </si>
  <si>
    <t>← Referenciado por H28 y H29</t>
  </si>
  <si>
    <t>H18 — ITAM — ÍNDICE DE TRANSPARENCIA ACTIVA MUNICIPAL</t>
  </si>
  <si>
    <t>NIVEL 3 — Calidad y accesibilidad documental. Solo referencia H09!B27 (ITAM_Base). Fundamentación: LOTAIP Art.7 + Constitución Art.18</t>
  </si>
  <si>
    <t>▌ PANEL ITAM</t>
  </si>
  <si>
    <t>ITAM_Global (%)</t>
  </si>
  <si>
    <t>Clasificación_ITAM</t>
  </si>
  <si>
    <t>Metas con URL pública</t>
  </si>
  <si>
    <t>Metas sin URL pública</t>
  </si>
  <si>
    <t>← Fuente única: H09!B27. Esta hoja NO recalcula el ITAM.</t>
  </si>
  <si>
    <t>▌ DESGLOSE POR LITERAL LOTAIP</t>
  </si>
  <si>
    <t>N°_Documentos</t>
  </si>
  <si>
    <t>Accesibles</t>
  </si>
  <si>
    <t>V_LOTAIP_Prom</t>
  </si>
  <si>
    <t>otro</t>
  </si>
  <si>
    <t>▌ DETALLE POR META</t>
  </si>
  <si>
    <t>Literal</t>
  </si>
  <si>
    <t>H19 — ICS+ISP — CONGRUENCIA SOCIAL Y PATRONATO</t>
  </si>
  <si>
    <t>ICS: ICPI filtrado para metas ODS Cluster=Inclusion. ISP: Trazabilidad del gasto social delegado (Patronato). Fundamentación: Constitución Art.35 + COOTAD Art.249</t>
  </si>
  <si>
    <t>▌ ICS — ÍNDICE DE CONGRUENCIA SOCIAL</t>
  </si>
  <si>
    <t>ICS_Global (%)</t>
  </si>
  <si>
    <t>Clasificación_ICS</t>
  </si>
  <si>
    <t>N°_Metas_Sociales</t>
  </si>
  <si>
    <t>▌ ISP — ÍNDICE DE CONGRUENCIA DEL PATRONATO (Componente opcional)</t>
  </si>
  <si>
    <t>Presupuesto_Ejecutado_Patronato [ingresar manualmente]</t>
  </si>
  <si>
    <t>Presupuesto_Patronato_10%_COOTAD</t>
  </si>
  <si>
    <t>ISP_Patronato (%)</t>
  </si>
  <si>
    <t>SSC_Compuesto</t>
  </si>
  <si>
    <t>← SSC = ICS×0.70 + ISP×0.30 si Patronato activo | = ICS si sin Patronato</t>
  </si>
  <si>
    <t>▌ METAS SOCIALES (ODS_Cluster = Inclusion)</t>
  </si>
  <si>
    <t>H20 — ICODS — ÍNDICE DE CONGRUENCIA ODS</t>
  </si>
  <si>
    <t>Alineación de metas PDOT con Agenda 2030. Lee de H11_S9 y H12. Pasaporte internacional de TERRA para CAF, BID y BM.</t>
  </si>
  <si>
    <t>▌ ICODS POR CLÚSTER</t>
  </si>
  <si>
    <t>ICPI_Cluster (%)</t>
  </si>
  <si>
    <t>Inclusión Social</t>
  </si>
  <si>
    <t>▌ SUBÍNDICE GÉNERO (ODS 5)</t>
  </si>
  <si>
    <t>N°_Metas_ODS5</t>
  </si>
  <si>
    <t>ICPI_Género (%)</t>
  </si>
  <si>
    <t>Clasificación_Género</t>
  </si>
  <si>
    <t>▌ SUBÍNDICE GENERACIONAL (ODS 3, 4, 10)</t>
  </si>
  <si>
    <t>ICPI_Generacional (%)</t>
  </si>
  <si>
    <t>Clasificación_Generacional</t>
  </si>
  <si>
    <t>▌ SUBÍNDICE CLIMA (ODS 13)</t>
  </si>
  <si>
    <t>N°_Metas_ODS13</t>
  </si>
  <si>
    <t>ICPI_Clima (%)</t>
  </si>
  <si>
    <t>▌ ARGUMENTOS BILATERALES AUTOMÁTICOS</t>
  </si>
  <si>
    <t>CAF (Gobernanza ODS 16-17):</t>
  </si>
  <si>
    <t>BID/BM (Inclusión Social):</t>
  </si>
  <si>
    <t>Género ODS 5:</t>
  </si>
  <si>
    <t>PND Ecuador:</t>
  </si>
  <si>
    <t>Alineado con 'Ecuador No Se Detiene 2025-2029' (Res. CNP 0012-2025). 96/98 metas nacionales vinculadas Agenda 2030.</t>
  </si>
  <si>
    <t>H21 — SAT-I — FRAGMENTACIÓN SELECTIVA</t>
  </si>
  <si>
    <t>SEÑAL DE ATENCIÓN TEMPRANA I: Auto-reporte muy alto sobre universo reducido de metas. Fundamentación: COPFP Art.54</t>
  </si>
  <si>
    <t>Condición: ICM_SIGAD &gt;= Umbral_ICM (H01!B41) Y metas_reportadas/20 &lt;= Umbral_Universo (H01!B42)</t>
  </si>
  <si>
    <t>▌ PARÁMETROS DE DETECCIÓN (leídos de H01)</t>
  </si>
  <si>
    <t>ICM reportado &gt;= este valor activa la condición 1</t>
  </si>
  <si>
    <t>Pct metas reportadas/total &lt;= este valor activa condición 2</t>
  </si>
  <si>
    <t>ICM_Global_SIGAD (actual)</t>
  </si>
  <si>
    <t>ICM promedio reportado al SNP</t>
  </si>
  <si>
    <t>Pct_Metas_Reportadas (actual)</t>
  </si>
  <si>
    <t>Proporción de metas con reporte</t>
  </si>
  <si>
    <t>▌ ESTADO SAT-I</t>
  </si>
  <si>
    <t>Estado:</t>
  </si>
  <si>
    <t>▌ EVIDENCIA AUTOMÁTICA</t>
  </si>
  <si>
    <t>ICM reportado:</t>
  </si>
  <si>
    <t>Metas reportadas:</t>
  </si>
  <si>
    <t>Total metas universo:</t>
  </si>
  <si>
    <t>Presupuesto excluido estimado:</t>
  </si>
  <si>
    <t>▌ DICTAMEN</t>
  </si>
  <si>
    <t>Alta calificación sobre universo reducido. Posible omisión selectiva de metas con bajo cumplimiento. Ref: COPFP Art.54</t>
  </si>
  <si>
    <t>Dictamen:</t>
  </si>
  <si>
    <t>Estado_SAT_I (alias para H28):</t>
  </si>
  <si>
    <t>H22 — SAT-II — SUSTITUCIÓN ESTRATÉGICA</t>
  </si>
  <si>
    <t>SEÑAL DE ATENCIÓN TEMPRANA II: Cambio de unidad de medida sin ordenanza formal de reforma al PDOT.</t>
  </si>
  <si>
    <t>Condición: Existe al menos 1 meta con alerta MOM-III en H08 col G (Unidad_Medida_Reportada ≠ Unidad_Medida_ORIGINAL PDOT)</t>
  </si>
  <si>
    <t>▌ PARÁMETROS DE DETECCIÓN</t>
  </si>
  <si>
    <t>Metas con cambio de unidad detectado:</t>
  </si>
  <si>
    <t>← Conteo de alertas MOM-III en H08 col G</t>
  </si>
  <si>
    <t>▌ ESTADO SAT-II</t>
  </si>
  <si>
    <t>▌ METAS CON CAMBIO DE UNIDAD DETECTADO</t>
  </si>
  <si>
    <t>Unidad_PDOT_Original</t>
  </si>
  <si>
    <t>Unidad_Reportada_SIGAD</t>
  </si>
  <si>
    <t>Alerta_MOM_III</t>
  </si>
  <si>
    <t>Cambio de unidad de medida sin reforma formal del PDOT constituye mutación del objeto de medición (MOM-II). Requiere ordenanza municipal de reforma o reverting a unidad original. Ref: Campbell 1976 + Hood 2006.</t>
  </si>
  <si>
    <t>Estado_SAT_II (alias para H28):</t>
  </si>
  <si>
    <t>H23 — SAT-III — INFLACIÓN DE UNIDADES</t>
  </si>
  <si>
    <t>SEÑAL DE ATENCIÓN TEMPRANA III: Cumplimiento reportado &gt;500% con devengado &lt;10% del codificado y cambio de unidad de medida.</t>
  </si>
  <si>
    <t>Condición TRIPLE: ICM_SIGAD &gt; Umbral_Cumpl (500%) Y T_i_promedio &lt; Umbral_Deveng (10%) Y cambio de unidad detectado (SAT-II activa)</t>
  </si>
  <si>
    <t>SAT_III_Umbral_Cumpl (500%)</t>
  </si>
  <si>
    <t>ICM_SIGAD debe superar este múltiplo</t>
  </si>
  <si>
    <t>SAT_III_Umbral_Deveng (10%)</t>
  </si>
  <si>
    <t>T_i promedio debe estar por debajo de este valor</t>
  </si>
  <si>
    <t>ICM reportado — verificar contra umbral</t>
  </si>
  <si>
    <t>T_i_Promedio_Global (actual)</t>
  </si>
  <si>
    <t>Tasa devengado promedio</t>
  </si>
  <si>
    <t>Metas con cambio de unidad:</t>
  </si>
  <si>
    <t>Conteo alertas MOM</t>
  </si>
  <si>
    <t>▌ ESTADO SAT-III</t>
  </si>
  <si>
    <t>▌ DIAGNÓSTICO DE CONDICIONES</t>
  </si>
  <si>
    <t>Condición 1 — ICM &gt; 500%:</t>
  </si>
  <si>
    <t>Condición 2 — T_i &lt; 10%:</t>
  </si>
  <si>
    <t>Condición 3 — Cambio unidad:</t>
  </si>
  <si>
    <t>Cumplimiento reportado masivo con ejecución financiera mínima y cambio de unidad. Patrón típico de gaming del sistema de autoreporte (MOM tipo III). Requiere auditoría de la Contraloría General. Ref: Campbell 1976 + Hood 2006 + COPFP Art.117.</t>
  </si>
  <si>
    <t>Estado_SAT_III (alias para H28):</t>
  </si>
  <si>
    <t>H24 — SAT-IV — TENSIÓN NORMATIVA PROGRAMÁTICA</t>
  </si>
  <si>
    <t>SEÑAL DE ATENCIÓN TEMPRANA IV: Meta social ejecutada con grupos presupuestarios 71/73/78 en período de restricción fiscal COOTAD 2026.</t>
  </si>
  <si>
    <t>★ SAT-IV ES MALEABLE ★ Si la Corte Constitucional deroga la reforma COOTAD, actualizar H01_PARÁMETROS!B31 con la nueva fecha. La señal se desactiva automáticamente.</t>
  </si>
  <si>
    <t>▌ PARÁMETROS DE CONTROL NORMATIVO (leídos de H01)</t>
  </si>
  <si>
    <t>SAT_IV_Activa (H01!B34):</t>
  </si>
  <si>
    <t>SÍ si Fecha_Corte &gt;= Fecha_Vigencia_Regla_Fiscal</t>
  </si>
  <si>
    <t>Fecha_Vigencia_Regla_Fiscal:</t>
  </si>
  <si>
    <t>Actualizar si reforma es derogada</t>
  </si>
  <si>
    <t>Fecha_Corte:</t>
  </si>
  <si>
    <t>Fecha de evaluación actual</t>
  </si>
  <si>
    <t>Metas afectadas (grupos 71/73/78):</t>
  </si>
  <si>
    <t>Flag_SAT_IV en H07 col I</t>
  </si>
  <si>
    <t>▌ ESTADO SAT-IV</t>
  </si>
  <si>
    <t>▌ INSTRUCCIÓN DE MALEABILIDAD</t>
  </si>
  <si>
    <t>Para desactivar SAT-IV:</t>
  </si>
  <si>
    <t>1. Ir a H01_PARÁMETROS!B31. Actualizar Fecha_Vigencia_Regla_Fiscal a una fecha posterior al año fiscal actual.</t>
  </si>
  <si>
    <t>Resultado automático:</t>
  </si>
  <si>
    <t>H01!B34 calculará 'NO'. Esta celda B12 mostrará '✅ SAT-IV no aplica'. Ningún otro cambio requerido en el sistema.</t>
  </si>
  <si>
    <t>▌ METAS CON GRUPOS PRESUPUESTARIOS 71 / 73 / 78</t>
  </si>
  <si>
    <t>T_i</t>
  </si>
  <si>
    <t>▌ DICTAMEN (si SAT-IV activa)</t>
  </si>
  <si>
    <t>Metas con grupos presupuestarios 71/73/78 ejecutadas en período de restricción fiscal. El GAD priorizó compromisos PDOT sobre regla fiscal. Documentar justificación técnica mediante ordenanza municipal para blindaje jurídico institucional.</t>
  </si>
  <si>
    <t>Estado_SAT_IV (alias para H28):</t>
  </si>
  <si>
    <t>H25 — MOTOR DE MONITOREO PROGRAMÁTICO (MMP) — NIVEL MENSUAL</t>
  </si>
  <si>
    <t>Meta_Anual</t>
  </si>
  <si>
    <t>Presupuesto_Codificado</t>
  </si>
  <si>
    <t>Pi_Meta</t>
  </si>
  <si>
    <t>ENE_Plan%</t>
  </si>
  <si>
    <t>ENE_Ejec%</t>
  </si>
  <si>
    <t>ENE_Dev_$</t>
  </si>
  <si>
    <t>ENE_Sem</t>
  </si>
  <si>
    <t>ENE_Hash</t>
  </si>
  <si>
    <t>FEB_Plan%</t>
  </si>
  <si>
    <t>FEB_Ejec%</t>
  </si>
  <si>
    <t>FEB_Dev_$</t>
  </si>
  <si>
    <t>FEB_Sem</t>
  </si>
  <si>
    <t>FEB_Hash</t>
  </si>
  <si>
    <t>MAR_Plan%</t>
  </si>
  <si>
    <t>MAR_Ejec%</t>
  </si>
  <si>
    <t>MAR_Dev_$</t>
  </si>
  <si>
    <t>MAR_Sem</t>
  </si>
  <si>
    <t>MAR_Hash</t>
  </si>
  <si>
    <t>ABR_Plan%</t>
  </si>
  <si>
    <t>ABR_Ejec%</t>
  </si>
  <si>
    <t>ABR_Dev_$</t>
  </si>
  <si>
    <t>ABR_Sem</t>
  </si>
  <si>
    <t>ABR_Hash</t>
  </si>
  <si>
    <t>MAY_Plan%</t>
  </si>
  <si>
    <t>MAY_Ejec%</t>
  </si>
  <si>
    <t>MAY_Dev_$</t>
  </si>
  <si>
    <t>MAY_Sem</t>
  </si>
  <si>
    <t>MAY_Hash</t>
  </si>
  <si>
    <t>JUN_Plan%</t>
  </si>
  <si>
    <t>JUN_Ejec%</t>
  </si>
  <si>
    <t>JUN_Dev_$</t>
  </si>
  <si>
    <t>JUN_Sem</t>
  </si>
  <si>
    <t>JUN_Hash</t>
  </si>
  <si>
    <t>JUL_Plan%</t>
  </si>
  <si>
    <t>JUL_Ejec%</t>
  </si>
  <si>
    <t>JUL_Dev_$</t>
  </si>
  <si>
    <t>JUL_Sem</t>
  </si>
  <si>
    <t>JUL_Hash</t>
  </si>
  <si>
    <t>AGO_Plan%</t>
  </si>
  <si>
    <t>AGO_Ejec%</t>
  </si>
  <si>
    <t>AGO_Dev_$</t>
  </si>
  <si>
    <t>AGO_Sem</t>
  </si>
  <si>
    <t>AGO_Hash</t>
  </si>
  <si>
    <t>SEP_Plan%</t>
  </si>
  <si>
    <t>SEP_Ejec%</t>
  </si>
  <si>
    <t>SEP_Dev_$</t>
  </si>
  <si>
    <t>SEP_Sem</t>
  </si>
  <si>
    <t>SEP_Hash</t>
  </si>
  <si>
    <t>OCT_Plan%</t>
  </si>
  <si>
    <t>OCT_Ejec%</t>
  </si>
  <si>
    <t>OCT_Dev_$</t>
  </si>
  <si>
    <t>OCT_Sem</t>
  </si>
  <si>
    <t>OCT_Hash</t>
  </si>
  <si>
    <t>NOV_Plan%</t>
  </si>
  <si>
    <t>NOV_Ejec%</t>
  </si>
  <si>
    <t>NOV_Dev_$</t>
  </si>
  <si>
    <t>NOV_Sem</t>
  </si>
  <si>
    <t>NOV_Hash</t>
  </si>
  <si>
    <t>DIC_Plan%</t>
  </si>
  <si>
    <t>DIC_Ejec%</t>
  </si>
  <si>
    <t>DIC_Dev_$</t>
  </si>
  <si>
    <t>DIC_Sem</t>
  </si>
  <si>
    <t>DIC_Hash</t>
  </si>
  <si>
    <t>Proyección_Cierre_%</t>
  </si>
  <si>
    <t>AVEP_Proyectado</t>
  </si>
  <si>
    <t>SAT_Activa</t>
  </si>
  <si>
    <t>Brecha_Financiamiento</t>
  </si>
  <si>
    <t>Inf_Director_Estado</t>
  </si>
  <si>
    <t>Fecha_Firma_Digital</t>
  </si>
  <si>
    <t>Hash_Informe_Director</t>
  </si>
  <si>
    <t>[SHA-256 pendiente]</t>
  </si>
  <si>
    <t>Pendiente</t>
  </si>
  <si>
    <t>[SHA-256 director pendiente]</t>
  </si>
  <si>
    <t>ICPI_Mensual_Emergente (indicador tendencia — NO reemplaza H12)</t>
  </si>
  <si>
    <t>H26 — MMP TRIMESTRAL — PROYECCIÓN CURVA S</t>
  </si>
  <si>
    <t>Lee de H25. 4 cortes trimestrales. Proyección cierre año, semáforo por dirección y recomendaciones de redistribución presupuestaria.</t>
  </si>
  <si>
    <t>Trimestre</t>
  </si>
  <si>
    <t>ICPI_Emergente_%</t>
  </si>
  <si>
    <t>Riesgo_Incumplimiento</t>
  </si>
  <si>
    <t>Recomendación</t>
  </si>
  <si>
    <t>Q1 (Ene-Mar)</t>
  </si>
  <si>
    <t>Primer trimestre: análisis tendencia inicial</t>
  </si>
  <si>
    <t>Q2 (Abr-Jun)</t>
  </si>
  <si>
    <t>Segundo trimestre: punto de inflexión curva S</t>
  </si>
  <si>
    <t>Q3 (Jul-Sep)</t>
  </si>
  <si>
    <t>Tercer trimestre: ★ Si devengado &lt; 30% → meta elegible cooperación externa</t>
  </si>
  <si>
    <t>Q4 (Oct-Dic)</t>
  </si>
  <si>
    <t>Cuarto trimestre: cierre y base para reforma POA siguiente año</t>
  </si>
  <si>
    <t>▌ SEMÁFORO IED POR DIRECCIÓN (referencia H17)</t>
  </si>
  <si>
    <t>H27 — MMP ANUAL — ANÁLISIS ESTRATÉGICO QUINQUENAL PDOT</t>
  </si>
  <si>
    <t>Lee de H26. Análisis estratégico quinquenal. Tendencia ICPI anual vs meta PDOT 5 años. Insumo para reforma POA año siguiente.</t>
  </si>
  <si>
    <t>Indicador</t>
  </si>
  <si>
    <t>Valor</t>
  </si>
  <si>
    <t>Referencia</t>
  </si>
  <si>
    <t>ICPI_Global_2024</t>
  </si>
  <si>
    <t>Referencia directa al motor H12</t>
  </si>
  <si>
    <t>ICPI_Q4_Tendencia</t>
  </si>
  <si>
    <t>Tendencia cierre año desde H26</t>
  </si>
  <si>
    <t>Proyección_Cierre_Año</t>
  </si>
  <si>
    <t>Proyección al 100% basada en Q4</t>
  </si>
  <si>
    <t>Escala de gobernanza</t>
  </si>
  <si>
    <t>ICM_Oficial_SIGAD</t>
  </si>
  <si>
    <t>Autoreporte oficial SNP</t>
  </si>
  <si>
    <t>Diferencia entre reporte y verificación</t>
  </si>
  <si>
    <t>Diagnóstico automático de brecha</t>
  </si>
  <si>
    <t>▌ ANÁLISIS RIESGO INCUMPLIMIENTO PDOT 2024-2027</t>
  </si>
  <si>
    <t>Año</t>
  </si>
  <si>
    <t>ICPI_Meta_%</t>
  </si>
  <si>
    <t>ICPI_Real_%</t>
  </si>
  <si>
    <t>Brecha_%</t>
  </si>
  <si>
    <t>Acción_Requerida</t>
  </si>
  <si>
    <t>[Completar en cierre de año]</t>
  </si>
  <si>
    <t>H28 — RESUMEN EJECUTIVO — DASHBOARD MAESTRO TERRA SIAP-ICPI v2.0</t>
  </si>
  <si>
    <t>GAD Municipal de Montecristi | Período 2024-2027 | QUADRUM GovTech</t>
  </si>
  <si>
    <t>NIVEL 6 — Lee SOLO de índices nivel 3 (H15-H20) y SAT nivel 4 (H21-H24). NUNCA referencia H12 directamente. Principio de flujo descendente absoluto.</t>
  </si>
  <si>
    <t>▌ ÍNDICES MAESTROS TERRA</t>
  </si>
  <si>
    <t>ICPI
Global</t>
  </si>
  <si>
    <t>IED
Promedio</t>
  </si>
  <si>
    <t>ICODS
Gobernanza</t>
  </si>
  <si>
    <t>Valor (%)</t>
  </si>
  <si>
    <t>Clasificación AVEP</t>
  </si>
  <si>
    <t>▌ BRECHA ICM-ICPI — ALERTA SISTÉMICA</t>
  </si>
  <si>
    <t>ICM_Oficial_SIGAD (%)</t>
  </si>
  <si>
    <t>ICPI_Verificado (%)</t>
  </si>
  <si>
    <t>Brecha_ICM_ICPI (puntos)</t>
  </si>
  <si>
    <t>▌ SEÑALES DE ATENCIÓN TEMPRANA (SAT)</t>
  </si>
  <si>
    <t>Señal</t>
  </si>
  <si>
    <t>Tipo</t>
  </si>
  <si>
    <t>Estado</t>
  </si>
  <si>
    <t>PDOT+COOTAD</t>
  </si>
  <si>
    <t>Campbell 1976</t>
  </si>
  <si>
    <t>Tensión Normativa Prog.</t>
  </si>
  <si>
    <t>COOTAD 2026</t>
  </si>
  <si>
    <t>▌ ICODS — ALINEACIÓN AGENDA 2030</t>
  </si>
  <si>
    <t>ICPI_%</t>
  </si>
  <si>
    <t>♀️ Género (ODS 5)</t>
  </si>
  <si>
    <t>🌍 Clima (ODS 13)</t>
  </si>
  <si>
    <t>ODS 13</t>
  </si>
  <si>
    <t>▌ DATOS DE GENERACIÓN</t>
  </si>
  <si>
    <t>GAD:</t>
  </si>
  <si>
    <t>Período:</t>
  </si>
  <si>
    <t>Año_Fiscal:</t>
  </si>
  <si>
    <t>Versión Sistema:</t>
  </si>
  <si>
    <t>TERRA SIAP-ICPI v2.0 | QUADRUM GovTech</t>
  </si>
  <si>
    <t>H29 — TABLERO DEL ALCALDE — DECISIONES ESTRATÉGICAS</t>
  </si>
  <si>
    <t>Vista ejecutiva para toma de decisiones | TERRA SIAP-ICPI v2.0 | GAD Municipal de Montecristi</t>
  </si>
  <si>
    <t>❓ PREGUNTA 1 — ¿CÓMO VAMOS?</t>
  </si>
  <si>
    <t>ICPI Verificado:</t>
  </si>
  <si>
    <t>Clasificación:</t>
  </si>
  <si>
    <t>vs ICM Oficial:</t>
  </si>
  <si>
    <t>Diagnóstico brecha:</t>
  </si>
  <si>
    <t>❓ PREGUNTA 2 — ¿DÓNDE ESTÁ EL PROBLEMA?</t>
  </si>
  <si>
    <t>Dirección con IED más bajo:</t>
  </si>
  <si>
    <t>IED mínimo:</t>
  </si>
  <si>
    <t>Semáforo:</t>
  </si>
  <si>
    <t>Metas_Riesgo</t>
  </si>
  <si>
    <t>❓ PREGUNTA 3 — ¿QUÉ DECIDIR?</t>
  </si>
  <si>
    <t>Acciones (basadas en SAT activas):</t>
  </si>
  <si>
    <t>Dirección a reforzar:</t>
  </si>
  <si>
    <t>Metas en riesgo incumplimiento:</t>
  </si>
  <si>
    <t>Metas elegibles cooperación externa:</t>
  </si>
  <si>
    <t>Fecha de corte:</t>
  </si>
  <si>
    <t>Generado por:</t>
  </si>
  <si>
    <t>Fuente</t>
  </si>
  <si>
    <t>H01_PARÁMETROS</t>
  </si>
  <si>
    <t>Transparencia LOTAIP (%)</t>
  </si>
  <si>
    <t>H19_ICS_ISP</t>
  </si>
  <si>
    <t>Clasificación AVEP:</t>
  </si>
  <si>
    <t>ICPI Verificado (%)</t>
  </si>
  <si>
    <t>Brecha ICM-ICPI (puntos)</t>
  </si>
  <si>
    <t>Período</t>
  </si>
  <si>
    <t>TERRA SIAP-ICPI v2.0</t>
  </si>
  <si>
    <t>Total silos verificadores:</t>
  </si>
  <si>
    <t>H00_ÍNDICE</t>
  </si>
  <si>
    <t>✅ Activa</t>
  </si>
  <si>
    <t>H03_S1_ELECTORAL_CNE</t>
  </si>
  <si>
    <t>H04_S2_PLANIFICACIÓN_PDOT</t>
  </si>
  <si>
    <t>H08_S6_AUTOREPORTE_SIGAD</t>
  </si>
  <si>
    <t>H11_S9_AGENDA_GLOBAL_ODS</t>
  </si>
  <si>
    <t>H12_MOTOR_ICPI_CANÓNICO</t>
  </si>
  <si>
    <t>H13_VARIABLES_Vi</t>
  </si>
  <si>
    <t>H14_PONDERADORES</t>
  </si>
  <si>
    <t>H15_ICPI_GLOBAL</t>
  </si>
  <si>
    <t>H16_IFE</t>
  </si>
  <si>
    <t>H17_IED</t>
  </si>
  <si>
    <t>H18_ITAM</t>
  </si>
  <si>
    <t>H20_ICODS</t>
  </si>
  <si>
    <t>H21_SAT-I</t>
  </si>
  <si>
    <t>✅ Sin señal</t>
  </si>
  <si>
    <t>H22_SAT-II</t>
  </si>
  <si>
    <t>H23_SAT-III</t>
  </si>
  <si>
    <t>H24_SAT-IV</t>
  </si>
  <si>
    <t>✅ No aplica</t>
  </si>
  <si>
    <t>H25_MMP_MENSUAL</t>
  </si>
  <si>
    <t>H26_MMP_TRIMESTRAL</t>
  </si>
  <si>
    <t>H27_MMP_ANUAL</t>
  </si>
  <si>
    <t>H28_RESUMEN_EJECUTIVO</t>
  </si>
  <si>
    <t>H29_TABLERO_ALCALDE</t>
  </si>
  <si>
    <t>Estado_Sistema</t>
  </si>
  <si>
    <t>★ FUENTE ÚNICA ★</t>
  </si>
  <si>
    <t>✅ Template</t>
  </si>
  <si>
    <t>Presup_PDOT_Total</t>
  </si>
  <si>
    <t>Presup_Anual</t>
  </si>
  <si>
    <t>Unidad_Medida_ORIGINAL ⚠️INMUTABLE</t>
  </si>
  <si>
    <t>Vinculación_IFE</t>
  </si>
  <si>
    <t>Min_%</t>
  </si>
  <si>
    <t>Max_%</t>
  </si>
  <si>
    <t>▌ ESTADO ACTUAL DE GESTIÓN</t>
  </si>
  <si>
    <t>Sistema: TERRA SIAP-ICPI v2.0 | QUADRUM GovTech | GAD Municipal de Montecristi</t>
  </si>
  <si>
    <t>Dirección_Municipal</t>
  </si>
  <si>
    <t>N°_Metas_Asignadas</t>
  </si>
  <si>
    <t>Recomendación_Sistema</t>
  </si>
  <si>
    <t>▌ PROMEDIO IED GLOBAL</t>
  </si>
  <si>
    <t>▌ VINCULACIÓN EVALUACIÓN DESEMPEÑO LOSEP</t>
  </si>
  <si>
    <t>El IED permite fundar la evaluación anual del servidor público (LOSEP Art.76) en evidencia algorítmica objetiva: cumplimiento verificado de metas PDOT bajo su dirección, con trazabilidad en 9 silos independientes. No depende de la percepción del supervisor. Clasificación LOSEP: ⭐ Excelente ≥95% | ✅ Muy Bueno ≥85% | 🟡 Satisfactorio ≥75% | 🟠 Regular ≥60% | 🔴 Insuficiente &lt;60%</t>
  </si>
  <si>
    <t>▌ TABLA DE CLASIFICACIÓN LOSEP Art.76</t>
  </si>
  <si>
    <t>Rango_IED</t>
  </si>
  <si>
    <t>Calificación_LOSEP</t>
  </si>
  <si>
    <t>Acción_Recomendada</t>
  </si>
  <si>
    <t>Base_Legal</t>
  </si>
  <si>
    <t>≥ 95%</t>
  </si>
  <si>
    <t>⭐ Excelente</t>
  </si>
  <si>
    <t>Reconocimiento público + bonificación según LOSEP</t>
  </si>
  <si>
    <t>LOSEP Art.76 lit.a</t>
  </si>
  <si>
    <t>85%-94%</t>
  </si>
  <si>
    <t>✅ Muy Bueno</t>
  </si>
  <si>
    <t>Continuidad — sin acción requerida</t>
  </si>
  <si>
    <t>LOSEP Art.76 lit.b</t>
  </si>
  <si>
    <t>75%-84%</t>
  </si>
  <si>
    <t>🟡 Satisfactorio</t>
  </si>
  <si>
    <t>Plan de mejora trimestral</t>
  </si>
  <si>
    <t>LOSEP Art.76 lit.c</t>
  </si>
  <si>
    <t>60%-74%</t>
  </si>
  <si>
    <t>🟠 Regular</t>
  </si>
  <si>
    <t>Plan de mejora mensual + seguimiento</t>
  </si>
  <si>
    <t>LOSEP Art.76 lit.d</t>
  </si>
  <si>
    <t>&lt; 60%</t>
  </si>
  <si>
    <t>🔴 Insuficiente</t>
  </si>
  <si>
    <t>Proceso de evaluación especial obligatorio</t>
  </si>
  <si>
    <t>LOSEP Arts.76,48</t>
  </si>
  <si>
    <t>H31 — REPORTE CPCCS — RENDICIÓN DE CUENTAS ANUAL AUTOMÁTICA</t>
  </si>
  <si>
    <t>▌ SECCIÓN A — IDENTIFICACIÓN INSTITUCIONAL</t>
  </si>
  <si>
    <t>GAD Municipal:</t>
  </si>
  <si>
    <t>Período de gestión:</t>
  </si>
  <si>
    <t>Autoridad que rinde cuentas:</t>
  </si>
  <si>
    <t>Fecha del informe:</t>
  </si>
  <si>
    <t>ICPI Verificado (%):</t>
  </si>
  <si>
    <t>ICM Auto-reportado SIGAD (%):</t>
  </si>
  <si>
    <t>▌ SECCIÓN B — RESUMEN EJECUTIVO DE GESTIÓN</t>
  </si>
  <si>
    <t>▌ SECCIÓN C — TABLA DE COMPROMISOS Y CUMPLIMIENTO (20 METAS PDOT)</t>
  </si>
  <si>
    <t>Meta_PDOT</t>
  </si>
  <si>
    <t>Ejecutado_%</t>
  </si>
  <si>
    <t>Estado_AVEP</t>
  </si>
  <si>
    <t>URL_Evidencia_LOTAIP</t>
  </si>
  <si>
    <t>ICPI Global verificado:</t>
  </si>
  <si>
    <t>▌ SECCIÓN D — ALERTAS DE INTEGRIDAD DEL SISTEMA SAT</t>
  </si>
  <si>
    <t>Norma_Vinculada</t>
  </si>
  <si>
    <t>▌ SECCIÓN E — CERTIFICACIÓN Y FIRMA</t>
  </si>
  <si>
    <t>Por la presente certifico que los datos contenidos en este informe han sido generados automáticamente por el Sistema TERRA SIAP-ICPI v2.0, con verificación cruzada de 9 silos de información pública independientes.</t>
  </si>
  <si>
    <t>_________________________________</t>
  </si>
  <si>
    <t>Alcalde del GAD Municipal de Montecristi</t>
  </si>
  <si>
    <t>Ronald Javier Delgado Santana</t>
  </si>
  <si>
    <t>Investigador Principal — TERRA SIAP-ICPI v2.0 | QUADRUM GovTech</t>
  </si>
  <si>
    <t>H32 — REPORTE ODS — ORGANISMOS BILATERALES Y MULTILATERALES</t>
  </si>
  <si>
    <t>▌ SECCIÓN A — ELEGIBILIDAD POR ORGANISMO</t>
  </si>
  <si>
    <t>🏦 CAF — Gobernanza Anticipatoria</t>
  </si>
  <si>
    <t>Clúster ODS:</t>
  </si>
  <si>
    <t>ODS 16-17 — Paz, Justicia e Instituciones Sólidas</t>
  </si>
  <si>
    <t>ICPI Gobernanza:</t>
  </si>
  <si>
    <t>Elegibilidad:</t>
  </si>
  <si>
    <t>Metas activas:</t>
  </si>
  <si>
    <t>🏦 BID — Inclusión Social y Desarrollo</t>
  </si>
  <si>
    <t>ODS 1-3-4-5-10 — Inclusión y Bienestar</t>
  </si>
  <si>
    <t>ICPI Inclusión:</t>
  </si>
  <si>
    <t>🏦 BM — Infraestructura y Desarrollo Local</t>
  </si>
  <si>
    <t>ODS 6-9-11-13 — Infraestructura y Clima</t>
  </si>
  <si>
    <t>ICPI Infraestructura:</t>
  </si>
  <si>
    <t>▌ SECCIÓN B — ALINEACIÓN ODS POR CLÚSTER</t>
  </si>
  <si>
    <t>ODS_Incluidos</t>
  </si>
  <si>
    <t>Relevancia_Bilateral</t>
  </si>
  <si>
    <t>CAF — GIZ</t>
  </si>
  <si>
    <t>BM — BEDE</t>
  </si>
  <si>
    <t>BID — FMAM</t>
  </si>
  <si>
    <t>▌ SECCIÓN C — ENFOQUE GÉNERO ODS 5 Y CLIMA ODS 13</t>
  </si>
  <si>
    <t>ODS 5 — Igualdad de Género</t>
  </si>
  <si>
    <t>ODS 13 — Acción por el Clima</t>
  </si>
  <si>
    <t>Bono Discriminación Positiva ODS5</t>
  </si>
  <si>
    <t>Bono Discriminación Positiva ODS13</t>
  </si>
  <si>
    <t>▌ SECCIÓN D — ARTICULACIÓN PLAN NACIONAL 'ECUADOR NO SE DETIENE'</t>
  </si>
  <si>
    <t>¿Cómo va Montecristi?</t>
  </si>
  <si>
    <t>📋 Metas con evidencia pública:</t>
  </si>
  <si>
    <t>🔍 Promesas electorales cumplidas:</t>
  </si>
  <si>
    <t>📄 Documentos accesibles en línea:</t>
  </si>
  <si>
    <t>🏠 VISTA 1 — PARA VECINOS — ¿Qué está haciendo el municipio?</t>
  </si>
  <si>
    <t>Obra / Proyecto</t>
  </si>
  <si>
    <t>¿Para quién?</t>
  </si>
  <si>
    <t>¿Cómo va?</t>
  </si>
  <si>
    <t>¿Documentos públicos?</t>
  </si>
  <si>
    <t>Contribuye a</t>
  </si>
  <si>
    <t>📰 VISTA 2 — PARA PERIODISTAS — Datos verificables y descargables</t>
  </si>
  <si>
    <t>URL</t>
  </si>
  <si>
    <t>https://quadrum.ec/verificar</t>
  </si>
  <si>
    <t>ICM Auto-reportado SIGAD (%)</t>
  </si>
  <si>
    <t>SNP/SIGAD</t>
  </si>
  <si>
    <t>https://sni.gob.ec</t>
  </si>
  <si>
    <t>Portal GAD Montecristi</t>
  </si>
  <si>
    <t>https://montecristi.gob.ec</t>
  </si>
  <si>
    <t>Fecha de corte</t>
  </si>
  <si>
    <t>Fuente: TERRA SIAP-ICPI v2.0 | QUADRUM GovTech | Datos abiertos para periodismo de datos</t>
  </si>
  <si>
    <t>🔬 VISTA 3 — PARA INVESTIGADORES — Análisis técnico completo</t>
  </si>
  <si>
    <t>Metodología: ICPI_i = [Pi × Ri × Vi × Ei × Ti × Ci]. ICPI_Global = Σ(Pi×Ri×Vi×Ei×Ti×Ci) / Σ(Pi×Ri) × 100</t>
  </si>
  <si>
    <t>Verificación cruzada de 9 silos independientes. Ningún silo controlado exclusivamente por el GAD. Ver H35_DATASET_ACADEMIA para datos completos.</t>
  </si>
  <si>
    <t>Pi</t>
  </si>
  <si>
    <t>Ri</t>
  </si>
  <si>
    <t>Vi</t>
  </si>
  <si>
    <t>Ei</t>
  </si>
  <si>
    <t>Ti</t>
  </si>
  <si>
    <t>Ci</t>
  </si>
  <si>
    <t>ICPI_i</t>
  </si>
  <si>
    <t>CERTIFICA QUE:</t>
  </si>
  <si>
    <t>ha alcanzado las siguientes metas con Índice de Congruencia ICPI_i ≥ 95%:</t>
  </si>
  <si>
    <t>Total metas certificadas:</t>
  </si>
  <si>
    <t>▌ FUNDAMENTACIÓN TÉCNICA</t>
  </si>
  <si>
    <t>ICPI calculado mediante verificación cruzada de 9 silos de información pública independientes. Ninguno controlado exclusivamente por el GAD. Evidencia irrefutable de congruencia programática.</t>
  </si>
  <si>
    <t>▌ VERIFICACIÓN</t>
  </si>
  <si>
    <t>URL de verificación pública:</t>
  </si>
  <si>
    <t>Versión del sistema:</t>
  </si>
  <si>
    <t>Fecha de emisión:</t>
  </si>
  <si>
    <t>___________________________________</t>
  </si>
  <si>
    <t>Investigador Principal — Metodología SIAP-ICPI | QUADRUM GovTech</t>
  </si>
  <si>
    <t>R_i_base</t>
  </si>
  <si>
    <t>T_i_Devengado</t>
  </si>
  <si>
    <t>V_i_producto</t>
  </si>
  <si>
    <t>E_i_Autonomia</t>
  </si>
  <si>
    <t>C_i_Calidad</t>
  </si>
  <si>
    <t>Numerador_i</t>
  </si>
  <si>
    <t>Denominador_i</t>
  </si>
  <si>
    <t>TOTALES / PROMEDIOS</t>
  </si>
  <si>
    <t>▌ SECCIÓN A — DATOS PARA SIAP-ICPI WEB INSTITUCIONAL</t>
  </si>
  <si>
    <t>Variable</t>
  </si>
  <si>
    <t>Fuente_TERRA</t>
  </si>
  <si>
    <t>ICPI_Global</t>
  </si>
  <si>
    <t>Numérico_%</t>
  </si>
  <si>
    <t>H12!B29</t>
  </si>
  <si>
    <t>ICM_Oficial</t>
  </si>
  <si>
    <t>H12!B31</t>
  </si>
  <si>
    <t>Numérico_puntos</t>
  </si>
  <si>
    <t>Clasificacion_AVEP</t>
  </si>
  <si>
    <t>Texto</t>
  </si>
  <si>
    <t>H12!B30</t>
  </si>
  <si>
    <t>IFE_Global</t>
  </si>
  <si>
    <t>H16!B6</t>
  </si>
  <si>
    <t>IED_Promedio</t>
  </si>
  <si>
    <t>H17!B27</t>
  </si>
  <si>
    <t>ITAM_Global</t>
  </si>
  <si>
    <t>H18!B5</t>
  </si>
  <si>
    <t>ICS_Global</t>
  </si>
  <si>
    <t>H19!B5</t>
  </si>
  <si>
    <t>ICODS_Gobernanza</t>
  </si>
  <si>
    <t>H20!D7</t>
  </si>
  <si>
    <t>ICODS_Infraestructura</t>
  </si>
  <si>
    <t>H20!D8</t>
  </si>
  <si>
    <t>ICODS_Inclusion</t>
  </si>
  <si>
    <t>H20!D9</t>
  </si>
  <si>
    <t>SAT_I_Estado</t>
  </si>
  <si>
    <t>Texto_semáforo</t>
  </si>
  <si>
    <t>H21!B23</t>
  </si>
  <si>
    <t>SAT_II_Estado</t>
  </si>
  <si>
    <t>H22!B37</t>
  </si>
  <si>
    <t>SAT_III_Estado</t>
  </si>
  <si>
    <t>H23!B23</t>
  </si>
  <si>
    <t>SAT_IV_Estado</t>
  </si>
  <si>
    <t>H24!B44</t>
  </si>
  <si>
    <t>Fecha_Actualizacion</t>
  </si>
  <si>
    <t>Fecha</t>
  </si>
  <si>
    <t>Automático</t>
  </si>
  <si>
    <t>H01!B6</t>
  </si>
  <si>
    <t>Periodo</t>
  </si>
  <si>
    <t>H01!B10</t>
  </si>
  <si>
    <t>▌ SECCIÓN B — DATOS PARA TERRA CIUDADANA (METAS)</t>
  </si>
  <si>
    <t>Elegible_Coop</t>
  </si>
  <si>
    <t>▌ SECCIÓN C — REFERENCIA DATASET ACADEMIA</t>
  </si>
  <si>
    <t>Ver hoja completa:</t>
  </si>
  <si>
    <t>H35_DATASET_ACADEMIA</t>
  </si>
  <si>
    <t>ICPI_Global en tiempo real:</t>
  </si>
  <si>
    <t>Total variables exportables:</t>
  </si>
  <si>
    <t>▌ INSTRUCCIONES DE EXPORTACIÓN MANUAL (PMV)</t>
  </si>
  <si>
    <t>1. Seleccionar Sección A (A7:D25) → Copiar → Pegar como valores en editor JSON
2. Usar https://www.convertcsv.com/csv-to-json.htm para convertir a JSON
3. Publicar en repositorio GitHub cada lunes 8:00 AM
4. Frecuencia recomendada: Semanal
En Fase 2 SaaS: API REST automática en tiempo real → quadrum.ec/api/v2/icpi</t>
  </si>
  <si>
    <t>Tab_Color</t>
  </si>
  <si>
    <t>0 — Navegación</t>
  </si>
  <si>
    <t>Índice navegable con ICPI en tiempo real</t>
  </si>
  <si>
    <t>#718096</t>
  </si>
  <si>
    <t>1 — Configuración</t>
  </si>
  <si>
    <t>Parámetros únicos del sistema TERRA</t>
  </si>
  <si>
    <t>H02_GLOSARIO_TERRA</t>
  </si>
  <si>
    <t>Glosario de 15 términos técnicos TERRA</t>
  </si>
  <si>
    <t>2 — Silo S1</t>
  </si>
  <si>
    <t>Promesas electorales → IFE (82,5%)</t>
  </si>
  <si>
    <t>#3182CE</t>
  </si>
  <si>
    <t>2 — Silo S2</t>
  </si>
  <si>
    <t>20 metas PDOT — Base absoluta del sistema</t>
  </si>
  <si>
    <t>2 — Silo S3</t>
  </si>
  <si>
    <t>Plan Operativo Anual — ejecución mensual</t>
  </si>
  <si>
    <t>2 — Silo S4</t>
  </si>
  <si>
    <t>Contratos SERCOP — V_SERCOP verificador</t>
  </si>
  <si>
    <t>2 — Silo S5</t>
  </si>
  <si>
    <t>Devengado eSIGEF — T_i por meta</t>
  </si>
  <si>
    <t>2 — Silo S6</t>
  </si>
  <si>
    <t>ICM auto-reportado 100% vs ICPI 72,7%</t>
  </si>
  <si>
    <t>2 — Silo S7</t>
  </si>
  <si>
    <t>ITAM transparencia activa 90%</t>
  </si>
  <si>
    <t>2 — Silo S8</t>
  </si>
  <si>
    <t>Rendición de cuentas CPCCS</t>
  </si>
  <si>
    <t>2 — Silo S9</t>
  </si>
  <si>
    <t>Alineación Agenda 2030 — 3 clústeres</t>
  </si>
  <si>
    <t>3 — ★ MOTOR</t>
  </si>
  <si>
    <t>★ FUENTE ÚNICA ICPI = 72,7% — NO TOCAR</t>
  </si>
  <si>
    <t>#D69E2E</t>
  </si>
  <si>
    <t>3 — Motor</t>
  </si>
  <si>
    <t>Documentación V_i — producto lógico 5 silos</t>
  </si>
  <si>
    <t>Ponderadores P_i y R_i con justificación</t>
  </si>
  <si>
    <t>4 — Índices</t>
  </si>
  <si>
    <t>ICPI Global — tabla de 20 metas</t>
  </si>
  <si>
    <t>Índice Fidelidad Electoral 82,5%</t>
  </si>
  <si>
    <t>Índice Eficiencia Directiva por dirección</t>
  </si>
  <si>
    <t>Índice Transparencia Activa Municipal 90%</t>
  </si>
  <si>
    <t>Índice Cohesión Social 32,3%</t>
  </si>
  <si>
    <t>Índice Congruencia ODS — 3 clústeres</t>
  </si>
  <si>
    <t>5 — SAT</t>
  </si>
  <si>
    <t>Fragmentación Selectiva — ✅ Sin señal</t>
  </si>
  <si>
    <t>Sustitución Estratégica — ✅ Sin señal</t>
  </si>
  <si>
    <t>Inflación de Unidades — ✅ Sin señal</t>
  </si>
  <si>
    <t>Tensión Normativa — ✅ No aplica (jun/2026)</t>
  </si>
  <si>
    <t>6 — MMP</t>
  </si>
  <si>
    <t>Plan mensual 20×12 meses</t>
  </si>
  <si>
    <t>#6B46C1</t>
  </si>
  <si>
    <t>Cortes trimestrales IED por dirección</t>
  </si>
  <si>
    <t>ICPI anual 2024 + horizonte 2027</t>
  </si>
  <si>
    <t>6 — Dashboard</t>
  </si>
  <si>
    <t>Dashboard Maestro — 6 índices + 4 SAT</t>
  </si>
  <si>
    <t>3 preguntas estratégicas para el Alcalde</t>
  </si>
  <si>
    <t>H30_IED_POR_DIRECCIÓN</t>
  </si>
  <si>
    <t>7 — Salidas</t>
  </si>
  <si>
    <t>IED por dirección — LOSEP Art.76</t>
  </si>
  <si>
    <t>#1e40af</t>
  </si>
  <si>
    <t>H31_REPORTE_CPCCS</t>
  </si>
  <si>
    <t>Reporte automático rendición CPCCS</t>
  </si>
  <si>
    <t>H32_REPORTE_ODS_BILATERALES</t>
  </si>
  <si>
    <t>Portafolio elegibilidad CAF/BID/BM/GIZ</t>
  </si>
  <si>
    <t>H33_TAC_TERRA_CIUDADANA</t>
  </si>
  <si>
    <t>Tablero Acción Ciudadana — 3 vistas</t>
  </si>
  <si>
    <t>H34_CERTIFICADO_TERRA</t>
  </si>
  <si>
    <t>Certificado Congruencia metas ICPI ≥95%</t>
  </si>
  <si>
    <t>#d4af37</t>
  </si>
  <si>
    <t>Dataset 22 variables — ULEAM/UTM/UNESUM</t>
  </si>
  <si>
    <t>#0891b2</t>
  </si>
  <si>
    <t>H36_TERRA_BRIDGE</t>
  </si>
  <si>
    <t>Puente Web JSON — SIAP Web + TERRA Ciudadana</t>
  </si>
  <si>
    <t>▌ ESTADÍSTICAS DEL SISTEMA</t>
  </si>
  <si>
    <t>Total hojas TERRA:</t>
  </si>
  <si>
    <t>Total señales SAT:</t>
  </si>
  <si>
    <t>Total índices derivados:</t>
  </si>
  <si>
    <t>=SI(Y(V1=1,V2=1,V3=1,V4=1),1.0,
 SI(SUMA(V1+V2+V3+V4)&gt;=2,0.5,0.0))</t>
  </si>
  <si>
    <t>🏛️ TERRA SIAP-ICPI v2.0 | QUADRUM</t>
  </si>
  <si>
    <t>⬅️ ÍNDICE GENERAL</t>
  </si>
  <si>
    <t>H00 — ÍNDICE</t>
  </si>
  <si>
    <t>H01 — PARÁMETROS</t>
  </si>
  <si>
    <t>H02 — GLOSARIO</t>
  </si>
  <si>
    <t>H03 — S1 CNE</t>
  </si>
  <si>
    <t>H04 — S2 PDOT</t>
  </si>
  <si>
    <t>H05 — S3 POA</t>
  </si>
  <si>
    <t>H06 — S4 SERCOP</t>
  </si>
  <si>
    <t>H07 — S5 eSIGEF</t>
  </si>
  <si>
    <t>H08 — S6 SIGAD</t>
  </si>
  <si>
    <t>H09 — S7 LOTAIP</t>
  </si>
  <si>
    <t>H10 — S8 CPCCS</t>
  </si>
  <si>
    <t>H11 — S9 ODS</t>
  </si>
  <si>
    <t>H12 — ★ MOTOR</t>
  </si>
  <si>
    <t>H13 — VARIABLES Vi</t>
  </si>
  <si>
    <t>H14 — PONDERADORES</t>
  </si>
  <si>
    <t>H15 — ICPI GLOBAL</t>
  </si>
  <si>
    <t>H16 — IFE</t>
  </si>
  <si>
    <t>H17 — IED</t>
  </si>
  <si>
    <t>H18 — ITAM</t>
  </si>
  <si>
    <t>H19 — ICS+ISP</t>
  </si>
  <si>
    <t>H20 — ICODS</t>
  </si>
  <si>
    <t>H21 — SAT-I</t>
  </si>
  <si>
    <t>H22 — SAT-II</t>
  </si>
  <si>
    <t>H23 — SAT-III</t>
  </si>
  <si>
    <t>H24 — SAT-IV</t>
  </si>
  <si>
    <t>H25 — MMP MENSUAL</t>
  </si>
  <si>
    <t>H26 — MMP TRIMESTRAL</t>
  </si>
  <si>
    <t>H27 — MMP ANUAL</t>
  </si>
  <si>
    <t>H28 — DASHBOARD</t>
  </si>
  <si>
    <t>H29 — TABLERO ALCALDE</t>
  </si>
  <si>
    <t>H30 — IED DIRECCIÓN</t>
  </si>
  <si>
    <t>H31 — CPCCS</t>
  </si>
  <si>
    <t>H32 — ODS BILATERALES</t>
  </si>
  <si>
    <t>H33 — TAC CIUDADANA</t>
  </si>
  <si>
    <t>H34 — CERTIFICADO</t>
  </si>
  <si>
    <t>H35 — DATASET</t>
  </si>
  <si>
    <t>H36 — BRIDGE</t>
  </si>
  <si>
    <t>🏛️ TERRA SIAP-ICPI v2.0 — ÍNDICE GENERAL DEL ECOSISTEMA</t>
  </si>
  <si>
    <t>37 hojas · 7 bloques funcionales · GAD Municipal de Montecristi | QUADRUM GovTech | NIVEL 0 — Navegación</t>
  </si>
  <si>
    <t>S1 — SILO ELECTORAL (CNE) — ÍNDICE DE FIDELIDAD ELECTORAL (IFE)</t>
  </si>
  <si>
    <t>Plan de Trabajo CNE → promesas verificables · Origen absoluto del IFE | Código de la Democracia + LOPC Art.88 | NOTA: IFE es verificador complementario — base del ecosistema es H04</t>
  </si>
  <si>
    <t>S2 — SILO PLANIFICACIÓN ESTRATÉGICA (PDOT) — BASE ABSOLUTA DEL ECOSISTEMA TERRA</t>
  </si>
  <si>
    <t>PDOT quinquenal aprobado mediante ordenanza · 20 metas · Base inmutable | COOTAD Art.295 + COPFP Arts.41-42 | NOTA: Esta hoja nunca se modifica una vez cargada</t>
  </si>
  <si>
    <t>★ MOTOR ICPI CANÓNICO — TERRA v2.0 — FUENTE ÚNICA DEL ICPI GLOBAL</t>
  </si>
  <si>
    <t>ICPI = [Σ(Pi×Ri×Vi×Ei×Ti×Ci) / Σ(Pi×Ri)] × 100 | ★★★ B30 ES LA FUENTE ÚNICA — NINGUNA OTRA HOJA CALCULA EL ICPI ★★★ | R_i incorpora bono discriminación positiva desde H04</t>
  </si>
  <si>
    <t>H17 — IED — ÍNDICE DE EFICIENCIA DIRECTIVA POR DIRECCIÓN MUNICIPAL</t>
  </si>
  <si>
    <t>ICPI desagregado por clúster/dirección · SUMPRODUCT filtrado sobre H12 · No recalcula | LOSEP Art.76 + NCI 200-04 | Escala: ≥95% Excelente · ≥85% Muy Bueno · ≥75% Satisfactorio · ≥60% Regular</t>
  </si>
  <si>
    <t>Seguimiento mensual operativo · cadena de responsabilidad documentada | Nivel 1 MMP | NOTA: Informe mensual firmado digitalmente constituye evidencia de gestión ante Contraloría</t>
  </si>
  <si>
    <t>H30 — IED POR DIRECCIÓN MUNICIPAL — EVALUACIÓN LOSEP Art.76</t>
  </si>
  <si>
    <t>Eficiencia directiva por unidad administrativa · referencia directa H17 · no recalcula | LOSEP Art.76 + NCI 200-04 | Fuente primaria: H17_IED</t>
  </si>
  <si>
    <t>Informe ante Consejo de Participación Ciudadana · ningún dato ingresado manualmente | LOPC Art.88 + Constitución Art.204 + COOTAD Art.266 | Generado 100% desde fuentes primarias</t>
  </si>
  <si>
    <t>Portafolio elegibilidad financiamiento internacional · CAF · BID · BM · GIZ | Agenda 2030 + PND Ecuador 2025-2029 | Lee SOLO de H20_ICODS y H11_S9 — nunca recalcula el ICPI</t>
  </si>
  <si>
    <t>👥 H33 — TABLERO DE ACCIÓN CIUDADANA (TAC) — TERRA CIUDADANA</t>
  </si>
  <si>
    <t>¿Cómo va tu municipio? Información pública verificada algorítmicamente · acceso público | Constitución Art.18 + LOTAIP Art.7 + LOPC Art.88 | Datos desde fuentes oficiales · sin intermediarios</t>
  </si>
  <si>
    <t>🏛️ H34 — CERTIFICADO DE CONGRUENCIA TERRA — SIAP-ICPI v2.0</t>
  </si>
  <si>
    <t>Certifica metas con ICPI_i ≥ 95% — Excelencia en Gobernanza verificada algorítmicamente | COPFP Art.54 + COOTAD Art.233 | NOTA: Evidencia técnica complementaria · no reemplaza auditoría</t>
  </si>
  <si>
    <t>H35 — DATASET ACADEMIA — INVESTIGACIÓN TERRITORIAL · ULEAM/UTM/UNESUM</t>
  </si>
  <si>
    <t>Dataset 22 variables por meta · 20 metas · verificación cruzada 9 silos | Licencia datos abiertos · Citar: Delgado-Santana, R. (2024) TERRA SIAP-ICPI v2.0 | QUADRUM GovTech</t>
  </si>
  <si>
    <t>H36 — TERRA BRIDGE — PUENTE PLATAFORMAS WEB · JSON-EQUIVALENTE</t>
  </si>
  <si>
    <t>Exportación estructurada para SIAP-ICPI Web e TERRA CIUDADANA · actualización semanal | QUADRUM GovTech · TERRA SIAP-ICPI v2.0 | Lee SOLO H12!B30 e índices H15-H20 · nunca recalcula</t>
  </si>
  <si>
    <t>H12!B28</t>
  </si>
  <si>
    <t>Equivalencia SNP/CNC
(Res. 001-2016-CNP)</t>
  </si>
  <si>
    <t>Equivalencia informativa con la categorización oficial SNP (Resolución CNP 001-2016) para uso en reportes SIGAD. La escala AVEP de 5 niveles de TERRA es metodológicamente superior.</t>
  </si>
  <si>
    <t>▌ ESTRUCTURA OFICIAL SNP/CNC — INFORME DE SEGUIMIENTO Y EVALUACIÓN PDOT</t>
  </si>
  <si>
    <t>Secciones requeridas por los Lineamientos SNP (Res. CNP 001-2016) y CNC (2023). Todos los campos se generan automáticamente desde los datos del sistema TERRA. El Director de Planificación solo revisa y firma.</t>
  </si>
  <si>
    <t>a. SEGUIMIENTO AL CUMPLIMIENTO DE METAS
(Art. 20a — Lineamientos SNP 2016)</t>
  </si>
  <si>
    <t>Meta_PDOT_Anualizada</t>
  </si>
  <si>
    <t>Valor_Real_Alcanzado (ICPI_Meta_i %)</t>
  </si>
  <si>
    <t>PCM_%</t>
  </si>
  <si>
    <t>Categoría_SNP</t>
  </si>
  <si>
    <t>Tendencia_Indicador</t>
  </si>
  <si>
    <t>b. SEGUIMIENTO A LA IMPLEMENTACIÓN DE PROGRAMAS Y PROYECTOS
(Art. 20b — Lineamientos SNP 2016)</t>
  </si>
  <si>
    <t>Programa_Proyecto</t>
  </si>
  <si>
    <t>Codificado_$</t>
  </si>
  <si>
    <t>Devengado_$</t>
  </si>
  <si>
    <t>PAF_%</t>
  </si>
  <si>
    <t>Categoría_Avance</t>
  </si>
  <si>
    <t>c. CONCLUSIONES
(Art. 20c — Lineamientos SNP 2016)</t>
  </si>
  <si>
    <t>[El Director de Planificación puede agregar conclusiones adicionales en este campo]</t>
  </si>
  <si>
    <t>d. RECOMENDACIONES
(Art. 20d — Lineamientos SNP 2016)</t>
  </si>
  <si>
    <t>[El Director de Planificación puede agregar recomendaciones adicionales en este campo]</t>
  </si>
  <si>
    <t>e. PLAN DE ACCIÓN
(Art. 20e — Lineamientos SNP 2016 + CNC Lineamientos PFI 2023)</t>
  </si>
  <si>
    <t>Objetivo_Estratégico_PDOT</t>
  </si>
  <si>
    <t>Problemática_Detectada</t>
  </si>
  <si>
    <t>Estrategia_Correctiva [editable]</t>
  </si>
  <si>
    <t>Responsable</t>
  </si>
  <si>
    <t>Plazo [editable]</t>
  </si>
  <si>
    <t>[Completar estrategia correctiva]</t>
  </si>
  <si>
    <t>[Mes/Año]</t>
  </si>
  <si>
    <t>Informe generado automáticamente por TERRA SIAP-ICPI v2.0 | QUADRUM GovTech
Alineado con: Lineamientos SNP (Res. CNP 001-2016) | Lineamientos CNC PFI (2023) | COOTAD Art. 295 | COPFP Art. 50. El Director de Planificación revisa, completa los campos editables y firma.</t>
  </si>
  <si>
    <t>Ing. Jonathan Toro Largacha</t>
  </si>
  <si>
    <t>Agua potable: cobertura 39.25%→42.38%; calidad 100% INEN 1108; infraestructura BUENA 22.74%→41.64%</t>
  </si>
  <si>
    <t>6,3,11</t>
  </si>
  <si>
    <t>% cobertura agua potable</t>
  </si>
  <si>
    <t>Porcentaje de cobertura de agua potable cantonal al 42.38% hasta 2027</t>
  </si>
  <si>
    <t>Gestión del talento humano municipal: desempeño 80%→90%; plan capacitación 90% anual</t>
  </si>
  <si>
    <t>% nivel desempeño personal</t>
  </si>
  <si>
    <t>Porcentaje de cumplimiento del nivel de desempeño institucional al 90% hasta 2027</t>
  </si>
  <si>
    <t>Sostenibilidad financiera: autonomía 43.35%→45.30%; gestión cobros y coactivas</t>
  </si>
  <si>
    <t>% autonomía financiera</t>
  </si>
  <si>
    <t>Porcentaje de autonomía financiera (ingresos propios / ingresos totales - financiamiento) al 45.30% hasta 2027</t>
  </si>
  <si>
    <t>Vialidad cantonal: mantenimiento 43.8 km vías CUP + 57.22 km rurales; 23.77 km tratamiento medio</t>
  </si>
  <si>
    <t>Km vías mantenidas CUP acumulado</t>
  </si>
  <si>
    <t>Kilómetros de mantenimiento de vías en el CUP incrementados a 130.21 km hasta 2027</t>
  </si>
  <si>
    <t>Salud integral municipal: población atendida 57,401→84,041 personas (+10% anual)</t>
  </si>
  <si>
    <t>3,1,10</t>
  </si>
  <si>
    <t>Personas atendidas salud municipal</t>
  </si>
  <si>
    <t>Número de personas atendidas en grupos de edades y por discapacidad en servicios de salud municipal</t>
  </si>
  <si>
    <t>Gestión integral desechos sólidos: 20,118→23,086 Tn/año; relleno sanitario; capacidad disposición 0%→20%</t>
  </si>
  <si>
    <t>11,13,3</t>
  </si>
  <si>
    <t>Toneladas de desechos gestionadas/año</t>
  </si>
  <si>
    <t>Toneladas de desechos sólidos gestionadas anualmente hasta 23,086.94 Tn/año al 2027</t>
  </si>
  <si>
    <t>Alcantarillado sanitario: cobertura 19.77%→24.32%; PTAR 0%→75%; estaciones bombeo 36%→72%</t>
  </si>
  <si>
    <t>% cobertura alcantarillado sanitario</t>
  </si>
  <si>
    <t>Porcentaje de cobertura de red pública de alcantarillado sanitario al 24.32% hasta 2027</t>
  </si>
  <si>
    <t>Modernización recursos administrativos: parque automotor, tecnología e infraestructura municipal</t>
  </si>
  <si>
    <t>Parque automotor y tecnología renovados</t>
  </si>
  <si>
    <t>Optimización y modernización de gestión de recursos administrativos municipales ejecutada</t>
  </si>
  <si>
    <t>Equipamientos públicos: terminal terrestre, mercado, estación bomberil, centro salud tipo C, mantenimiento espacios recreativos</t>
  </si>
  <si>
    <t>11,3,4</t>
  </si>
  <si>
    <t>m² / hab índice equipamiento urbano CUP</t>
  </si>
  <si>
    <t>Índice de equipamiento urbano en el Centro Urbano Principal incrementado a 10.73 m²/hab hasta 2027</t>
  </si>
  <si>
    <t>Protección derechos sociales: atenciones grupos prioritarios 943→1,649 (+15%/año); CDI; adultos mayores; violencia de género</t>
  </si>
  <si>
    <t>1,3,5,10</t>
  </si>
  <si>
    <t>Atenciones en programas grupos prioritarios</t>
  </si>
  <si>
    <t>Número de atenciones en programas para grupos de atención prioritaria incrementado a 1,649 hasta 2027</t>
  </si>
  <si>
    <t>Sistema información territorial: catastro urbano-rural 19.52%→80%; 12 procesos sistematizados; 37 trámites en línea</t>
  </si>
  <si>
    <t>11,16</t>
  </si>
  <si>
    <t>% levantamiento SIL catastro urbano-rural</t>
  </si>
  <si>
    <t>Porcentaje del sistema de información local (catastro urbano-rural) incrementado al 80% hasta 2027</t>
  </si>
  <si>
    <t>Participación ciudadana: 50→100 Unidades Territoriales participativas; 2→4 instancias efectivas (COPFP Art.115)</t>
  </si>
  <si>
    <t>Unidades Territoriales participativas activas</t>
  </si>
  <si>
    <t>Número de Unidades Territoriales participativas incrementado a 100 hasta 2027</t>
  </si>
  <si>
    <t>Gestión del riesgo: reducir 10% infraestructura susceptible (3,655→2,398 unidades); alerta temprana climática</t>
  </si>
  <si>
    <t>11,13</t>
  </si>
  <si>
    <t>Unidades infraestructura susceptible (meta reducción)</t>
  </si>
  <si>
    <t>Número de infraestructura susceptible a riesgos reducida al 10% hasta 2027</t>
  </si>
  <si>
    <t>Áreas verdes y parques: IVU 10.94→17.32 m²/hab; parques inter-barriales; recuperación manglar perfil costero</t>
  </si>
  <si>
    <t>11,13,15</t>
  </si>
  <si>
    <t>m²/hab índice verde urbano</t>
  </si>
  <si>
    <t>Índice verde urbano consolidado y áreas recreativas incrementado a 17.32 m²/hab hasta 2027</t>
  </si>
  <si>
    <t>Índice equipamiento urbano CUP 9.96→10.73 m²/hab; recolección desechos 91.95%→97.95%; 77.83→81.07 km/día barrido</t>
  </si>
  <si>
    <t>% cobertura recolección desechos</t>
  </si>
  <si>
    <t>Porcentaje de cobertura de recolección de desechos incrementado al 97.95% hasta 2027</t>
  </si>
  <si>
    <t>Inventario patrimonial 100% al 2026; 8,000→10,000 participantes eventos culturales; Museo del Sombrero</t>
  </si>
  <si>
    <t>4,11</t>
  </si>
  <si>
    <t>Participantes anuales en eventos culturales</t>
  </si>
  <si>
    <t>Número de participantes en eventos culturales incrementado a 10,000 hasta 2027</t>
  </si>
  <si>
    <t>Cumplimiento PDOT/PUGS 0%→80%; SIL 19.52%→80%; 37 trámites digitales implementados</t>
  </si>
  <si>
    <t>% cumplimiento PDOT/PUGS</t>
  </si>
  <si>
    <t>Porcentaje de proyectos del PDOT/PUGS ejecutados incrementado al 80% hasta 2027</t>
  </si>
  <si>
    <t>Señalización vial 0→10,000 m²; 0→8 semáforos; revisiones técnicas 4,000→20,000; educación vial 40 instituciones</t>
  </si>
  <si>
    <t>11,3</t>
  </si>
  <si>
    <t>Revisiones técnicas vehiculares anuales</t>
  </si>
  <si>
    <t>Número de revisiones técnicas vehiculares incrementado a 20,000 hasta 2027</t>
  </si>
  <si>
    <t>Vivienda de interés social: 50 VIS/VIP hasta 2027; reducción déficit habitacional cualitativo</t>
  </si>
  <si>
    <t>1,11</t>
  </si>
  <si>
    <t>Recursos propios + MIDUVI</t>
  </si>
  <si>
    <t>Viviendas de interés social ofertadas</t>
  </si>
  <si>
    <t>Número de viviendas de interés social ofertadas acumuladas: 50 hasta 2027</t>
  </si>
  <si>
    <t>Fortalecimiento productivo: beneficiarios artesanos, mipymes, emprendedores, huertos comunitarios y cadenas de valor</t>
  </si>
  <si>
    <t>1,8,10</t>
  </si>
  <si>
    <t>Beneficiarios programas fortalecimiento productivo</t>
  </si>
  <si>
    <t>Número de beneficiarios de programas de formación y fortalecimiento productivo anuales</t>
  </si>
  <si>
    <t>Convertir a Montecristi en destino turístico nacional/internacional; rutas gastronómicas, ecoturísticas, eventos culturales</t>
  </si>
  <si>
    <t>PDOT-020 (EP-02) recoge íntegramente la meta turística: 2,700→4,300 visitantes/año y 10→22 eventos, presupuesto $350k codificado</t>
  </si>
  <si>
    <t>Fomento al sector artesanal, MIPYMES y emprendedores; programa Ka-Larte es por Ti; Cuna de Emprendedores</t>
  </si>
  <si>
    <t>PDOT-019 (EP-01) recoge el programa artesanal y mipymes con indicador de beneficiarios y presupuesto $230k codificado</t>
  </si>
  <si>
    <t>Gestión para repotenciar y ordenar el mercado municipal</t>
  </si>
  <si>
    <t>AH-04 (PDOT-009) incluye 'Gestión para el desarrollo del Mercado de Montecristi' como proyecto estratégico; sin presupuesto exclusivo segregado</t>
  </si>
  <si>
    <t>Impulsar desarrollo turístico Playa San José e Isla de la Plata; manglar; Paseo Lúdico</t>
  </si>
  <si>
    <t>Parcialmente recogida en EP-02; Manglar y Paseo Lúdico aparecen como subproyectos sin indicador cuantitativo propio</t>
  </si>
  <si>
    <t>Generación de ordenanzas para exoneración de tributos a nuevas empresas; alianzas sector privado para atracción de inversión</t>
  </si>
  <si>
    <t>No existe meta en el PDOT 2023-2027 con indicador de ordenanzas tributarias ni atracción de inversión privada directa</t>
  </si>
  <si>
    <t>Elaborar PDOT 2023 con ODS; planificación territorial 30 años; Plan Bicentenario</t>
  </si>
  <si>
    <t>PDOT-017 (PI-05) recoge explícitamente cumplimiento PDOT/PUGS 0%→80% y 37 trámites en línea; el Plan Bicentenario fue elaborado y aprobado</t>
  </si>
  <si>
    <t>Actualización catastral urbana y rural; base de datos grupos vulnerables; registro y delimitación comunal</t>
  </si>
  <si>
    <t>PDOT-011 (PI-04) — catastro urbano-rural 19.52%→80%, 12 procesos sistematizados, 37 trámites en línea. Registro comunal como subactividad</t>
  </si>
  <si>
    <t>Transformación digital del GAD; plataforma digital de trámites; gobierno electrónico abierto; mejora equipos informáticos</t>
  </si>
  <si>
    <t>Transformación digital incluida en PI-04 como componente (37 trámites en línea); no tiene meta exclusiva de gobierno digital con indicador propio</t>
  </si>
  <si>
    <t>Acceso a información pública (LOTAIP); rendición de cuentas transparente; convenios interinstitucionales nacionales e internacionales</t>
  </si>
  <si>
    <t>PDOT-018 (PI-07) + PDOT-017 (PI-05) recogen participación ciudadana, rendición de cuentas y 4 instancias participativas efectivas (COPFP Art.115)</t>
  </si>
  <si>
    <t>IN-005</t>
  </si>
  <si>
    <t>Seguridad ciudadana: alarmas comunitarias, habilitación UPC Aníbal San Andrés y Colorado, cuarteles bomberos en zonas estratégicas</t>
  </si>
  <si>
    <t>AH-04 incluye 'Gestión para la Construcción de la Estación Bomberil Parroquia Colorado'; alarmas comunitarias y UPC sin meta ni indicador en PDOT</t>
  </si>
  <si>
    <t>IN-006</t>
  </si>
  <si>
    <t>Creación y fortalecimiento de marca ciudad Montecristi; posicionamiento nacional como referente de transformación</t>
  </si>
  <si>
    <t>Sin meta verificable en PDOT: la 'marca ciudad' no tiene indicador cuantificable ni presupuesto exclusivo auditables en ningún silo TERRA</t>
  </si>
  <si>
    <t>Construcción Centro de Salud Tipo C; construcción Centro Geriátrico; Plan Nacer Aquí; Concejo de Salud Montecristi</t>
  </si>
  <si>
    <t>PDOT-005 (AH-04) incluye 'Gestión para obtención Centro de Salud tipo C' y SC-01 incluye 'Gestión para Centro Geriátrico Montecristi' como proyectos estratégicos</t>
  </si>
  <si>
    <t>Salud integral gratuita e ininterrumpida; clubes de salud; medicina preventiva; atención puerta a puerta; diagnóstico enfermedades no transmisibles</t>
  </si>
  <si>
    <t>PDOT-001 (SC-01) — población atendida 57,401→84,041 (+10%/año); salud preventiva 320→480; cubre íntegramente acceso, prevención y atención integral</t>
  </si>
  <si>
    <t>Mejorar calidad de vida fauna urbana: albergue gatos y perros, programas de esterilización, ordenanza de protección animal</t>
  </si>
  <si>
    <t>FA-04 incluye Plan Fauna Urbana: 680 beneficiarios/año asistencia veterinaria + 124 esterilizaciones anuales. Albergue físico no confirmado como proyecto estratégico</t>
  </si>
  <si>
    <t>Capacitaciones ciudadanas presencial y online con certificación; plataforma digital; Cuna de Emprendedores; becas preparación universitaria</t>
  </si>
  <si>
    <t>SC-04 (PDOT-002): 19,265→23,265 beneficiarios puntos digitales; 900→1,100 bachilleres plataforma universitaria. Centro Cuna de Emprendedores en EP-01</t>
  </si>
  <si>
    <t>Participación ciudadana activa; instancias participativas barriales; liderazgo juvenil en política cantonal</t>
  </si>
  <si>
    <t>PDOT-018 (PI-07) — 50→100 Unidades Territoriales Participativas; 2→4 instancias efectivas (COPFP Art.115). Liderazgo juvenil como subactividad verificable</t>
  </si>
  <si>
    <t>SC-006</t>
  </si>
  <si>
    <t>Espacios de recreación deportivos, culturales y sociales; wifi en parques y plazas públicas en distintos sectores del cantón</t>
  </si>
  <si>
    <t>AH-04 (PDOT-006) incluye mantenimiento canchas/parques/plazas y wifi en espacios públicos; meta cuantitativa solo en IVU, wifi sin indicador propio</t>
  </si>
  <si>
    <t>Mitigar impacto ambiental: control contaminantes aire/suelo, remediación, gestión desechos sólidos desde la fuente, planta oxidación aguas residuales</t>
  </si>
  <si>
    <t>PDOT-014 (FA-01) — 20,118→23,086 Tn gestionadas/año; nuevo relleno sanitario; capacidad disposición final 0%→20%. Planta tratamiento incluida en AH-02</t>
  </si>
  <si>
    <t>Planificación y desarrollo de áreas verdes; arborización urbana y rural; protección cerro Montecristi y biodiversidad</t>
  </si>
  <si>
    <t>PDOT-015 (FA-03) — IVU 10.94→17.32 m²/hab; parques interb.; recuperación manglar. Arborización en calles y espacios públicos con presupuesto $710k</t>
  </si>
  <si>
    <t>Ampliar cobertura recolección desechos urbanos y rurales; cobertura 91.95%→97.95%; kilómetros barrido diario</t>
  </si>
  <si>
    <t>Cobertura recolección 91.95%→97.95% en AH-07 (AH-05 aseo); PTAR 0%→75% en AH-02; sin presupuesto exclusivo en eje ambiental — compartido con empresa de aseo</t>
  </si>
  <si>
    <t>Planificación y mantenimiento vías del cantón; equipo pavimento asfaltico; inventario vial; aceras y bordillos; paradas de buses</t>
  </si>
  <si>
    <t>PDOT-003 (AH-03) — 43.8 km mantenimiento vías CUP + 57.22 km rurales; 4 km aceras/bordillos CUP; ciclovías 1.62→2.62 km; adquisición equipo asfaltico</t>
  </si>
  <si>
    <t>Aumentar cobertura agua potable; ampliar tanques reservorios; pozos acuíferos rurales; macromed. Los Mangos; transparencia comercialización</t>
  </si>
  <si>
    <t>PDOT-010 (AH-01) — cobertura 39.25%→42.38%; calidad 100% INEN 1108; infraestructura BUENA 22.74%→41.64%; acueducto captación agua cruda $46.9M</t>
  </si>
  <si>
    <t>Ampliar alcantarillado Eloy Alfaro, Leónidas Proaño, Colorado; aceras y bordillos; paradas de buses; terminal terrestre; nuevo terminal</t>
  </si>
  <si>
    <t>PDOT-011 (AH-02) — alcantarillado 19.77%→24.32%; PTAR 9/12 al 75%; AH-04 incluye Terminal Terrestre como proyecto estratégico con presupuesto codificado</t>
  </si>
  <si>
    <t>TE-004</t>
  </si>
  <si>
    <t>Estudios técnicos y construcción cementerio parroquia Leónidas Proaño + nuevo cementerio general de Montecristi; mantenimiento cementerios</t>
  </si>
  <si>
    <t>AH-04 (PDOT-009) incluye 'Gestión para la construcción de nuevo cementerio' como proyecto estratégico. Cementerio Leónidas Proaño sin presupuesto exclusivo segregado</t>
  </si>
  <si>
    <t>TE-005</t>
  </si>
  <si>
    <t>Construcción camal municipal para faenamiento de carne fresca de calidad; control sanitario y ambiental</t>
  </si>
  <si>
    <t>No existe meta ni proyecto en el PDOT 2023-2027 que contemple el camal municipal con indicador cuantificable ni presupuesto codificado</t>
  </si>
  <si>
    <t>■ CÁLCULO IFE — FUENTE Única DEL SISTEMA</t>
  </si>
  <si>
    <t>[Suma de scores IFE de las 25 promesas]</t>
  </si>
  <si>
    <t>[Lee de H01_PARÁMETROS!B16 = 25]</t>
  </si>
  <si>
    <t>CIIN</t>
  </si>
  <si>
    <t>SC-I-N-01</t>
  </si>
  <si>
    <t>SC-L-N-02</t>
  </si>
  <si>
    <t>AH-I-X-01</t>
  </si>
  <si>
    <t>AH-I-X-02</t>
  </si>
  <si>
    <t>AH-I-X-03</t>
  </si>
  <si>
    <t>AH-I-N-01</t>
  </si>
  <si>
    <t>SC-L-G-01</t>
  </si>
  <si>
    <t>AH-I-X-04</t>
  </si>
  <si>
    <t>PI-I-G-01</t>
  </si>
  <si>
    <t>AH-C-X-01</t>
  </si>
  <si>
    <t>AH-C-X-02</t>
  </si>
  <si>
    <t>SC-I-N-03</t>
  </si>
  <si>
    <t>FA-I-X-01</t>
  </si>
  <si>
    <t>FA-C-X-01</t>
  </si>
  <si>
    <t>FA-I-X-02</t>
  </si>
  <si>
    <t>FA-L-N-01</t>
  </si>
  <si>
    <t>PI-I-G-02</t>
  </si>
  <si>
    <t>PI-L-G-01</t>
  </si>
  <si>
    <t>EP-L-N-01</t>
  </si>
  <si>
    <t>EP-L-X-01</t>
  </si>
  <si>
    <t>Componente</t>
  </si>
  <si>
    <t>Nombre Completo</t>
  </si>
  <si>
    <t>Descripción / Valores Permitidos</t>
  </si>
  <si>
    <t>ESTRUCTURA ID CANÓNICO:</t>
  </si>
  <si>
    <t>XX-T-E-NN</t>
  </si>
  <si>
    <t>Formato: Sistema (2L) – Tipo (1L) – Enfoque (1L) – Secuencial (2N)</t>
  </si>
  <si>
    <t>COPFP Art.54; COOTAD Art.295</t>
  </si>
  <si>
    <t>AH</t>
  </si>
  <si>
    <t>Asentamientos Humanos</t>
  </si>
  <si>
    <t>Infraestructura vial, agua potable, alcantarillado, equipamientos y vivienda. Competencia exclusiva GAD Municipal Art.55 COOTAD.</t>
  </si>
  <si>
    <t>COOTAD Art.55 lit.d/e</t>
  </si>
  <si>
    <t>SC</t>
  </si>
  <si>
    <t>Socio Cultural</t>
  </si>
  <si>
    <t>Servicios de salud municipal, protección derechos, cultura y patrimonio, TICs educativas.</t>
  </si>
  <si>
    <t>COOTAD Art.55 lit.b; COPFP Art.42</t>
  </si>
  <si>
    <t>FA</t>
  </si>
  <si>
    <t>Físico Ambiental</t>
  </si>
  <si>
    <t>Gestión ambiental, riesgo, desechos sólidos, áreas verdes. Competencia municipal sobre saneamiento.</t>
  </si>
  <si>
    <t>COOTAD Art.55 lit.c; TULSMA</t>
  </si>
  <si>
    <t>PI</t>
  </si>
  <si>
    <t>Político Institucional</t>
  </si>
  <si>
    <t>Planificación, talento humano, catastro, participación ciudadana, sostenibilidad financiera.</t>
  </si>
  <si>
    <t>COPFP Art.41; COOTAD Art.54</t>
  </si>
  <si>
    <t>EP</t>
  </si>
  <si>
    <t>Económico Productivo</t>
  </si>
  <si>
    <t>Fomento productivo, turismo, artesanías, mipymes. Competencia concurrente.</t>
  </si>
  <si>
    <t>COOTAD Art.135; COPCI</t>
  </si>
  <si>
    <t>C</t>
  </si>
  <si>
    <t>Competencia Exclusiva</t>
  </si>
  <si>
    <t>Obligación constitucional del GAD Municipal. Verificable directamente en sistemas estatales.</t>
  </si>
  <si>
    <t>COOTAD Art.55; CRE Art.264</t>
  </si>
  <si>
    <t>I</t>
  </si>
  <si>
    <t>Competencia Inversión</t>
  </si>
  <si>
    <t>Inversión pública territorial. Prioridad presupuestaria de la administración.</t>
  </si>
  <si>
    <t>COPFP Art.58; COOTAD Art.196</t>
  </si>
  <si>
    <t>L</t>
  </si>
  <si>
    <t>Competencia Concurrente</t>
  </si>
  <si>
    <t>Competencia compartida con otros niveles de gobierno o sector privado.</t>
  </si>
  <si>
    <t>COOTAD Art.136; CRE Art.260</t>
  </si>
  <si>
    <t>X</t>
  </si>
  <si>
    <t>Competencia Exclusiva (Enfoque)</t>
  </si>
  <si>
    <t>La meta pertenece a competencias exclusivas del GAD. Máxima trazabilidad TERRA.</t>
  </si>
  <si>
    <t>COOTAD Art.55; COPFP Art.41</t>
  </si>
  <si>
    <t>N</t>
  </si>
  <si>
    <t>Necesidades Básicas Insatisfechas</t>
  </si>
  <si>
    <t>La meta aborda directamente indicadores NBI. Prioridad social COPFP.</t>
  </si>
  <si>
    <t>COPFP Art.42; Agenda 2030 ODS 1/3/6</t>
  </si>
  <si>
    <t>G</t>
  </si>
  <si>
    <t>Gobernanza e Institucionalidad</t>
  </si>
  <si>
    <t>La meta fortalece capacidades institucionales, transparencia y rendición de cuentas.</t>
  </si>
  <si>
    <t>COPFP Art.54; COOTAD Art.3 lit.g</t>
  </si>
  <si>
    <t>NN</t>
  </si>
  <si>
    <t>Secuencial por Sistema</t>
  </si>
  <si>
    <t>Número ordinal de 2 dígitos dentro del mismo sistema (01, 02, …). Sin semántica adicional.</t>
  </si>
  <si>
    <t>Convención interna TERRA v2.0</t>
  </si>
  <si>
    <t>ID Canónico</t>
  </si>
  <si>
    <t>Meta Descriptiva</t>
  </si>
  <si>
    <t>Sistema / Competencia</t>
  </si>
  <si>
    <t>ODS Primario</t>
  </si>
  <si>
    <t>Salud Municipal: pob. atendida 57,401→84,041</t>
  </si>
  <si>
    <t>Socio Cultural / Inversión / NBI</t>
  </si>
  <si>
    <t>ODS 3, 1, 10</t>
  </si>
  <si>
    <t>TICs y educativo: 19,265→23,265 beneficiarios</t>
  </si>
  <si>
    <t>Socio Cultural / Concurrente / NBI</t>
  </si>
  <si>
    <t>ODS 4, 10</t>
  </si>
  <si>
    <t>Vialidad: 43.8km CUP + 57.22km rurales</t>
  </si>
  <si>
    <t>As. Humanos / Inversión / Exclusiva</t>
  </si>
  <si>
    <t>ODS 9, 11</t>
  </si>
  <si>
    <t>Señalización e IVU: 10.94→17.32 m²/hab</t>
  </si>
  <si>
    <t>ODS 11</t>
  </si>
  <si>
    <t>Equipamientos: canchas, parques, plazas, terminal</t>
  </si>
  <si>
    <t>ODS 11, 3, 4</t>
  </si>
  <si>
    <t>Vivienda interés social: 50 VIS hasta 2027</t>
  </si>
  <si>
    <t>As. Humanos / Inversión / NBI</t>
  </si>
  <si>
    <t>ODS 1, 11</t>
  </si>
  <si>
    <t>Cultura y patrimonio: inventario 100%; 10,000 asist.</t>
  </si>
  <si>
    <t>Socio Cultural / Concurrente / Gobernanza</t>
  </si>
  <si>
    <t>ODS 4, 11</t>
  </si>
  <si>
    <t>Tránsito: señaliz. 10,000m²; 8 semáforos; 20k rev.</t>
  </si>
  <si>
    <t>ODS 11, 3</t>
  </si>
  <si>
    <t>Modernización admin.: automotor + tecnología</t>
  </si>
  <si>
    <t>Pol. Institucional / Inversión / Gobernanza</t>
  </si>
  <si>
    <t>ODS 16</t>
  </si>
  <si>
    <t>Agua potable: cobertura 39.25%→42.38%</t>
  </si>
  <si>
    <t>As. Humanos / Exclusiva / Exclusiva</t>
  </si>
  <si>
    <t>ODS 6, 3, 11</t>
  </si>
  <si>
    <t>Alcantarillado: 19.77%→24.32%; PTAR 0%→75%</t>
  </si>
  <si>
    <t>Grupos prioritarios: 943→1,649 atenciones (+15%/año)</t>
  </si>
  <si>
    <t>ODS 1, 3, 5, 10</t>
  </si>
  <si>
    <t>Gestión riesgo: infr. susceptible -10%</t>
  </si>
  <si>
    <t>Físico Ambiental / Inversión / Exclusiva</t>
  </si>
  <si>
    <t>ODS 11, 13</t>
  </si>
  <si>
    <t>Desechos sólidos: 20,118→23,086 Tn/año + relleno</t>
  </si>
  <si>
    <t>Físico Ambiental / Exclusiva / Exclusiva</t>
  </si>
  <si>
    <t>ODS 11, 13, 3</t>
  </si>
  <si>
    <t>Áreas verdes: IVU 10.94→17.32 m²/hab; manglar</t>
  </si>
  <si>
    <t>ODS 11, 13, 15</t>
  </si>
  <si>
    <t>Fauna urbana: 680 ben. vet. + 124 esterilizaciones</t>
  </si>
  <si>
    <t>Físico Ambiental / Concurrente / NBI</t>
  </si>
  <si>
    <t>ODS 11, 15</t>
  </si>
  <si>
    <t>PDOT/PUGS 0%→80%; catastro 80%; 37 trámites en línea</t>
  </si>
  <si>
    <t>ODS 16, 17</t>
  </si>
  <si>
    <t>Participación ciudadana: 50→100 UTP; 2→4 instancias</t>
  </si>
  <si>
    <t>Pol. Institucional / Concurrente / Gobernanza</t>
  </si>
  <si>
    <t>Productivo: artesanos, mipymes, huertos comunitarios</t>
  </si>
  <si>
    <t>Econ. Productivo / Concurrente / NBI</t>
  </si>
  <si>
    <t>ODS 1, 8, 10</t>
  </si>
  <si>
    <t>Turismo: 2,700→4,300 visitantes/año; 22 eventos</t>
  </si>
  <si>
    <t>Econ. Productivo / Concurrente / Exclusiva</t>
  </si>
  <si>
    <t>ODS 8, 11</t>
  </si>
  <si>
    <t>PAC-2024-068/087/088/134</t>
  </si>
  <si>
    <t>[Por adjudicar — PAC publicado]</t>
  </si>
  <si>
    <t>https://www.compraspublicas.gob.ec/ProcesoContratacion/compras/PC/buscarProceso.cpe?sg=PAC2024GADMC</t>
  </si>
  <si>
    <t>PAC-2024-052/085</t>
  </si>
  <si>
    <t>PAC-2024-027/028/033/034/039/048/062/095/098/100/164</t>
  </si>
  <si>
    <t>[Múltiples proveedores — procesos en ejecución]</t>
  </si>
  <si>
    <t>PAC-2024-001/013/029/035/036/037/038/040/041/042/049/101/115/116</t>
  </si>
  <si>
    <t>DEA-MONTEHOGAR-2024</t>
  </si>
  <si>
    <t>EP Montehogar — RUC adscrito</t>
  </si>
  <si>
    <t>DEA</t>
  </si>
  <si>
    <t>PAC-2024-125/147/156/157/159</t>
  </si>
  <si>
    <t>[SPD — múltiples proveedores]</t>
  </si>
  <si>
    <t>PAC-2024-008/051/058/060/061/065/095/098/109/118/119</t>
  </si>
  <si>
    <t>PAC-2024-003/005/006/007/009/014/021/022/024/047/072/073/075/076/089/097/102/103/104/105/106/107/108/117/139/155/165/166</t>
  </si>
  <si>
    <t>PAC-2024-010/019/045/059/064/091/099/128/129/130/149/153</t>
  </si>
  <si>
    <t>PAC-2024-030/043/044/063/067/111/150</t>
  </si>
  <si>
    <t>PAC-2024-079/081/083/084/124/135/141</t>
  </si>
  <si>
    <t>PAC-2024-018/053</t>
  </si>
  <si>
    <t>DEA-ASEO-EP-2024</t>
  </si>
  <si>
    <t>EP Aseo Montecristi — RUC adscrito</t>
  </si>
  <si>
    <t>PAC-2024-013/046/055/110/131</t>
  </si>
  <si>
    <t>PAC-2024-122</t>
  </si>
  <si>
    <t>[SPD — proveedor único]</t>
  </si>
  <si>
    <t>PAC-2024-015/016/017/092/097/142/143/145</t>
  </si>
  <si>
    <t>PAC-2024-080/082/146</t>
  </si>
  <si>
    <t>[SPD — múltiples proveedores pequeños]</t>
  </si>
  <si>
    <t>PAC-2024-023/054/131</t>
  </si>
  <si>
    <t>[SPD — artesanos y emprendedores]</t>
  </si>
  <si>
    <t>PAC-2024-120/121</t>
  </si>
  <si>
    <t>⚠️ SIMULACIÓN TÉCNICA — CÉDULA 2024: Datos simulados a partir del PAC 2024 oficial y POA 2024 del GAD Montecristi. Portal eSIGEF no es de acceso público. Actualizar con cédula real cuando el GAD autorice el acceso. Metodología: tasas de ejecución basadas en estándares GADs similares Ecuador. Ref. Memorandum 0511-CNVC-DF-GADMCM-2026</t>
  </si>
  <si>
    <t>⚠️ SIMULACIÓN TÉCNICA: Datos simulados basados en estándares de transparencia de GADs costa ecuatoriana. Portal LOTAIP verificado manualmente de forma parcial. Actualizar con verificación sistemática del portal www.montecristi.gob.ec</t>
  </si>
  <si>
    <t>✅ DATOS REALES: Informe Rendición de Cuentas N°22844, GAD Montecristi, período 2024. Alcalde: Luis Jonathan Toro Largacha. Deliberación pública: 11/07/2025. Asistentes: 261. Lugar: Comuna Toalla Grande.</t>
  </si>
  <si>
    <t>ICPI: 58,8%</t>
  </si>
  <si>
    <t>Informe de rendición de cuentas anual ante el CPCCS. Fuente: PDF Informe RDC 2024 GAD Montecristi — Nro. 22844. Revisión: 15 páginas. Porcentajes declarados por meta: NO REPORTADOS en el documento (narración de acciones sin % por meta).</t>
  </si>
  <si>
    <t>Fundamentación: LOPC Art.88 + Constitución Art.204 | MECANISMOS CONFIRMADOS: Asamblea Local SÍ | Audiencia Pública SÍ | Consejo Planificación Local SÍ | Cabildo Popular NO</t>
  </si>
  <si>
    <t>N/D — no declarado %</t>
  </si>
  <si>
    <t>SÍ — 2438m tubería instalada; acueducto CAF $28M aprobado 29/12/2024; convenios Rocafuerte, Portoviejo, Jaramijó</t>
  </si>
  <si>
    <t>Avanzar agua potable Isabel Muentes; ampliación Com. Eloy Alfaro; soluciones reparto periódico agua</t>
  </si>
  <si>
    <t>✅ Sin alerta — T_i=0.95, D no declarado</t>
  </si>
  <si>
    <t>PARCIAL</t>
  </si>
  <si>
    <t>SÍ — capacitaciones AME, fortalecimiento servidores públicos gestión/transparencia</t>
  </si>
  <si>
    <t>Sin observaciones ciudadanas específicas a esta meta</t>
  </si>
  <si>
    <t>✅ Sin alerta — T_i=0.85, D no declarado</t>
  </si>
  <si>
    <t>SÍ — 6 ordenanzas tributarias sancionadas/Registro Oficial; convenio dación pago bonos MEF; URLs verificables</t>
  </si>
  <si>
    <t>Ciudadano señaló mala atención en pago predios hace 8 meses (retroalimentación negativa)</t>
  </si>
  <si>
    <t>✅ Sin alerta — T_i=0.72, D no declarado</t>
  </si>
  <si>
    <t>PARCIAL — Narrativa de 90km reconformación y maquinaria precontractual; maquinaria aún SIN ENTREGA (espera anticipo al cierre 2024)</t>
  </si>
  <si>
    <t>Arreglo de vías y escombros múltiples comunidades; arreglo vía Com. Eloy Alfaro</t>
  </si>
  <si>
    <t>⚠️ ALERTA EJECUCIÓN CERO — T_i=0.00 — maquinaria no entregada al 31/12/2024. Discurso narrativo alto vs ejecución financiera NULA</t>
  </si>
  <si>
    <t>SÍ — 3743 usuarios brigadas médicas; 500+ beneficiados violencia género; 320 talleres aux.enfermería ULEAM; 200 Club Diabéticos; gestión Centro Salud Tipo C y B</t>
  </si>
  <si>
    <t>Buscar mejoras en todos los centros de salud</t>
  </si>
  <si>
    <t>SÍ — 6 vehículos recolectores adquiridos; alquiler vehículos transición; estudio cierre técnico botadero; postulación BDE crédito PTAR</t>
  </si>
  <si>
    <t>Controlar recolección basura; cumplir horario Pepa de Huso; más contenedores; ducto cajón aguas residuales; chancheras mal olor</t>
  </si>
  <si>
    <t>✅ Sin alerta — T_i=0.80, D no declarado</t>
  </si>
  <si>
    <t>SÍ — Fase I alcantarillado Parroquia Gral. Eloy Alfaro rediseño 21/05/2024; PTAR cerramiento estudio; AASS y AAPP cabecera cantonal — estudios definitivos</t>
  </si>
  <si>
    <t>Ampliación alcantarillado/agua potable Isabel Muentes Cielito Lindo; rehabilitación alcantarillado Com. Eloy Alfaro</t>
  </si>
  <si>
    <t>PARCIAL — Digitalización trámites mencionada; Plan de Comunicación 2024; tecnología TIC implícita</t>
  </si>
  <si>
    <t>Sin observaciones ciudadanas directas</t>
  </si>
  <si>
    <t>SÍ — Parque La Huella; Mercado Municipal readecuado; cuartel bomberos estudio suelo; 57 espacios públicos recuperados; 5 puntos wifi; 15 alarmas comunitarias</t>
  </si>
  <si>
    <t>Gestionar senderos y miradores turísticos; mantenimiento alumbrado público calle Chimborazo</t>
  </si>
  <si>
    <t>SÍ — AVSI/CCPD movilidad humana; Patronato 3743 usuarios; Fundación Adelanto Comunitario 500+ charlas género; Club Diabéticos 200 beneficiados; Lactario/Biblioteca Patronato</t>
  </si>
  <si>
    <t>Sin observaciones ciudadanas específicas directas</t>
  </si>
  <si>
    <t>PARCIAL — Digitalización trámites municipales mencionada; catastro no cuantificado explícitamente en el informe</t>
  </si>
  <si>
    <t>Socialización cambios de domicilios en toda la extensión territorial (demanda ciudadana)</t>
  </si>
  <si>
    <t>SÍ — 87 personas talleres CPCCS; 16 clubes jóvenes 350 beneficiarios; Asamblea Local SÍ; Audiencia Pública SÍ; CPL SÍ; Presupuesto participativo 2023</t>
  </si>
  <si>
    <t>Felicitaciones al alcalde por mejoramiento recolección. Ordenanza protección dirigentes barriales solicitada</t>
  </si>
  <si>
    <t>PARCIAL — Gestión fortalecida mencionada; estudio suelo cuartel bomberos; sin datos cuantitativos de reducción infraestructura susceptible</t>
  </si>
  <si>
    <t>Destrucción del cerro carretera Toalla (demanda interinstitucional)</t>
  </si>
  <si>
    <t>✅ Sin alerta — T_i=0.65, D no declarado</t>
  </si>
  <si>
    <t>SÍ — 57 espacios públicos recuperados; 900 plantas Oxigenemos Montecristi; Plaza Cívica y Plazoleta Eloy Alfaro; proyecto albarradas 8 sectores; Manglar Vivo Playa San José (estudio definitivo 25/03/2024)</t>
  </si>
  <si>
    <t>Reforestar barrio Santa Isabella; mantenimiento paseo lúdico solicitado</t>
  </si>
  <si>
    <t>SÍ — 6 vehículos recolectores; frecuencias de servicio gestionadas; alquiler transicional documentado</t>
  </si>
  <si>
    <t>Controlar recolección basura; horario Pepa de Huso; más contenedores</t>
  </si>
  <si>
    <t>SÍ — Ciudad Creativa UNESCO; Plan gestión salvaguarda artesanías SENADI; MONTIFERIA nov.2024; Artes Vivas; Time Square NY; Denominación Origen sombrero fino</t>
  </si>
  <si>
    <t>Generar concursos para talentos; más talleres socioculturales en comunidades</t>
  </si>
  <si>
    <t>SÍ — Ordenanza PDOT/PUGS Plan Bicentenario sancionada/Registro Oficial (URL verificable). Metas del PDOT articuladas al informe</t>
  </si>
  <si>
    <t>Regularizar la parroquia Isabel Muentes</t>
  </si>
  <si>
    <t>PARCIAL — 15 alarmas comunitarias instaladas; señalización y semáforos en Plan Bicentenario pero sin datos 2024 explícitos</t>
  </si>
  <si>
    <t>Colocación alarmas comunitarias San Eloy 4,6 Isabel Muentes solicitada</t>
  </si>
  <si>
    <t>PARCIAL — MONTEHOGAR-EP convenio CREAMOS EP; expropiación terreno Av. Metropolitana/Chimborazo para reubicación comerciantes; sin unidades VIS entregadas en 2024</t>
  </si>
  <si>
    <t>Nuevo Prado 1 espacio para generar comercio; espacios para emprendimientos Monterrey</t>
  </si>
  <si>
    <t>SÍ — 20 personas agricultura orgánica UELAM; 350 jóvenes 16 clubes Plan Internacional; 3000 usuarios Manta Bachiller; Mercado Municipal reorganizado; borrador ordenanza incentivos inversión</t>
  </si>
  <si>
    <t>Turismo comunitario Sitio Secal; proyecto apicultura; siembra comunitaria; senderos y miradores turísticos</t>
  </si>
  <si>
    <t>← Fuente única: H03!B34 (IFE_GLOBAL). Esta hoja NO recalcula el IFE.</t>
  </si>
  <si>
    <t>EP Montehogar</t>
  </si>
  <si>
    <t>EP Aseo Montecristi</t>
  </si>
  <si>
    <t>Dirección Planificación</t>
  </si>
  <si>
    <t>Dirección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</si>
</sst>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"/>
    <numFmt numFmtId="165" formatCode="dd/mm/yyyy"/>
    <numFmt numFmtId="166" formatCode="0.0"/>
    <numFmt numFmtId="167" formatCode="0.0000"/>
    <numFmt numFmtId="168" formatCode="0.0%"/>
    <numFmt numFmtId="169" formatCode="0.000000"/>
    <numFmt numFmtId="170" formatCode="0.000"/>
  </numFmts>
  <fonts count="7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4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rgb="FF555555"/>
      <name val="Aptos Narrow"/>
      <family val="2"/>
      <scheme val="minor"/>
    </font>
    <font>
      <sz val="11"/>
      <color rgb="FF003087"/>
      <name val="Aptos Narrow"/>
      <family val="2"/>
      <scheme val="minor"/>
    </font>
    <font>
      <b/>
      <sz val="11"/>
      <color rgb="FF003087"/>
      <name val="Aptos Narrow"/>
      <family val="2"/>
      <scheme val="minor"/>
    </font>
    <font>
      <b/>
      <i/>
      <sz val="11"/>
      <color rgb="FF003087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rgb="FF003087"/>
      <name val="Aptos Narrow"/>
      <family val="2"/>
      <scheme val="minor"/>
    </font>
    <font>
      <i/>
      <sz val="11"/>
      <color rgb="FF888888"/>
      <name val="Aptos Narrow"/>
      <family val="2"/>
      <scheme val="minor"/>
    </font>
    <font>
      <i/>
      <sz val="11"/>
      <color rgb="FF856404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4"/>
      <color rgb="FF003087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27622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rgb="FF003087"/>
      <name val="Aptos Narrow"/>
      <family val="2"/>
      <scheme val="minor"/>
    </font>
    <font>
      <b/>
      <i/>
      <sz val="11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10"/>
      <color rgb="FFFFFFFF"/>
      <name val="Aptos Narrow"/>
      <family val="2"/>
      <scheme val="minor"/>
    </font>
    <font>
      <b/>
      <i/>
      <sz val="10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rgb="FF003087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rgb="FF003087"/>
      <name val="Aptos Narrow"/>
      <family val="2"/>
      <scheme val="minor"/>
    </font>
    <font>
      <b/>
      <sz val="16"/>
      <color rgb="FF38A169"/>
      <name val="Aptos Narrow"/>
      <family val="2"/>
      <scheme val="minor"/>
    </font>
    <font>
      <i/>
      <sz val="11"/>
      <color rgb="FF1E40AF"/>
      <name val="Aptos Narrow"/>
      <family val="2"/>
      <scheme val="minor"/>
    </font>
    <font>
      <i/>
      <sz val="11"/>
      <color rgb="FF3D0000"/>
      <name val="Aptos Narrow"/>
      <family val="2"/>
      <scheme val="minor"/>
    </font>
    <font>
      <i/>
      <sz val="11"/>
      <color rgb="FF4A235A"/>
      <name val="Aptos Narrow"/>
      <family val="2"/>
      <scheme val="minor"/>
    </font>
    <font>
      <b/>
      <sz val="13"/>
      <color rgb="FF38A169"/>
      <name val="Aptos Narrow"/>
      <family val="2"/>
      <scheme val="minor"/>
    </font>
    <font>
      <b/>
      <sz val="30"/>
      <color rgb="FF003087"/>
      <name val="Aptos Narrow"/>
      <family val="2"/>
      <scheme val="minor"/>
    </font>
    <font>
      <b/>
      <i/>
      <sz val="11"/>
      <color rgb="FF555555"/>
      <name val="Aptos Narrow"/>
      <family val="2"/>
      <scheme val="minor"/>
    </font>
    <font>
      <i/>
      <sz val="11"/>
      <color rgb="FF1A365D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9"/>
      <color rgb="FFFFFFFF"/>
      <name val="Aptos Narrow"/>
      <family val="2"/>
      <scheme val="minor"/>
    </font>
    <font>
      <i/>
      <sz val="9"/>
      <color rgb="FF555555"/>
      <name val="Courier New"/>
      <family val="3"/>
    </font>
    <font>
      <sz val="9"/>
      <color rgb="FFAAAACC"/>
      <name val="Aptos Narrow"/>
      <family val="2"/>
      <scheme val="minor"/>
    </font>
    <font>
      <sz val="9"/>
      <color rgb="FF888888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3"/>
      <color rgb="FFFFFFFF"/>
      <name val="Aptos Narrow"/>
      <family val="2"/>
      <scheme val="minor"/>
    </font>
    <font>
      <b/>
      <sz val="36"/>
      <color rgb="FF38A169"/>
      <name val="Aptos Narrow"/>
      <family val="2"/>
      <scheme val="minor"/>
    </font>
    <font>
      <b/>
      <sz val="11"/>
      <color rgb="FF555555"/>
      <name val="Aptos Narrow"/>
      <family val="2"/>
      <scheme val="minor"/>
    </font>
    <font>
      <b/>
      <sz val="15"/>
      <color rgb="FF38A169"/>
      <name val="Aptos Narrow"/>
      <family val="2"/>
      <scheme val="minor"/>
    </font>
    <font>
      <i/>
      <sz val="10"/>
      <color rgb="FF856404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8"/>
      <color rgb="FF4A5568"/>
      <name val="Aptos Narrow"/>
      <family val="2"/>
      <scheme val="minor"/>
    </font>
    <font>
      <i/>
      <sz val="9"/>
      <color rgb="FF2D3748"/>
      <name val="Aptos Narrow"/>
      <family val="2"/>
      <scheme val="minor"/>
    </font>
    <font>
      <i/>
      <sz val="9"/>
      <color rgb="FF9E9E9E"/>
      <name val="Aptos Narrow"/>
      <family val="2"/>
      <scheme val="minor"/>
    </font>
    <font>
      <i/>
      <sz val="9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name val="Aptos Narrow"/>
      <family val="2"/>
      <scheme val="minor"/>
    </font>
    <font>
      <b/>
      <sz val="9"/>
      <color rgb="FFFFFFFF"/>
      <name val="Aptos Narrow"/>
      <scheme val="minor"/>
    </font>
    <font>
      <sz val="9"/>
      <color indexed="81"/>
      <name val="Tahoma"/>
    </font>
    <font>
      <b/>
      <sz val="9"/>
      <color indexed="81"/>
      <name val="Tahoma"/>
    </font>
    <font>
      <b/>
      <sz val="9"/>
      <color rgb="FF006600"/>
      <name val="Aptos Narrow"/>
      <family val="2"/>
      <scheme val="minor"/>
    </font>
    <font>
      <b/>
      <sz val="11"/>
      <color rgb="FF006600"/>
      <name val="Aptos Narrow"/>
      <family val="2"/>
      <scheme val="minor"/>
    </font>
    <font>
      <sz val="11"/>
      <color rgb="FF7F6000"/>
      <name val="Aptos Narrow"/>
      <family val="2"/>
      <scheme val="minor"/>
    </font>
    <font>
      <b/>
      <sz val="13"/>
      <color rgb="FF0000FF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003087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38A169"/>
        <bgColor indexed="64"/>
      </patternFill>
    </fill>
    <fill>
      <patternFill patternType="solid">
        <fgColor rgb="FFD69E2E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E53E3E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6B46C1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718096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0891B2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3182CE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2C5282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3A6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1F4E79"/>
        <bgColor indexed="64"/>
      </patternFill>
    </fill>
  </fills>
  <borders count="14">
    <border>
      <left/>
      <right/>
      <top/>
      <bottom/>
      <diagonal/>
    </border>
    <border>
      <left style="thin">
        <color rgb="FF003087"/>
      </left>
      <right style="thin">
        <color rgb="FFCCCCCC"/>
      </right>
      <top style="thin">
        <color rgb="FF003087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3087"/>
      </top>
      <bottom style="thin">
        <color rgb="FFCCCCCC"/>
      </bottom>
      <diagonal/>
    </border>
    <border>
      <left style="thin">
        <color rgb="FFCCCCCC"/>
      </left>
      <right style="thin">
        <color rgb="FF003087"/>
      </right>
      <top style="thin">
        <color rgb="FF003087"/>
      </top>
      <bottom style="thin">
        <color rgb="FFCCCCCC"/>
      </bottom>
      <diagonal/>
    </border>
    <border>
      <left style="thin">
        <color rgb="FF003087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3087"/>
      </right>
      <top style="thin">
        <color rgb="FFCCCCCC"/>
      </top>
      <bottom style="thin">
        <color rgb="FFCCCCCC"/>
      </bottom>
      <diagonal/>
    </border>
    <border>
      <left style="thin">
        <color rgb="FF003087"/>
      </left>
      <right style="thin">
        <color rgb="FFCCCCCC"/>
      </right>
      <top style="thin">
        <color rgb="FFCCCCCC"/>
      </top>
      <bottom style="thin">
        <color rgb="FF00308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3087"/>
      </bottom>
      <diagonal/>
    </border>
    <border>
      <left style="thin">
        <color rgb="FFCCCCCC"/>
      </left>
      <right style="thin">
        <color rgb="FF003087"/>
      </right>
      <top style="thin">
        <color rgb="FFCCCCCC"/>
      </top>
      <bottom style="thin">
        <color rgb="FF003087"/>
      </bottom>
      <diagonal/>
    </border>
    <border>
      <left style="dashed">
        <color rgb="FFAAAAAA"/>
      </left>
      <right style="dashed">
        <color rgb="FFAAAAAA"/>
      </right>
      <top style="dashed">
        <color rgb="FFAAAAAA"/>
      </top>
      <bottom style="dashed">
        <color rgb="FFAAAAA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6">
    <xf numFmtId="0" fontId="0" fillId="0" borderId="0" xfId="0"/>
    <xf numFmtId="0" fontId="5" fillId="2" borderId="0" xfId="0" applyFont="1" applyFill="1"/>
    <xf numFmtId="0" fontId="6" fillId="2" borderId="0" xfId="0" applyFont="1" applyFill="1"/>
    <xf numFmtId="0" fontId="1" fillId="0" borderId="0" xfId="0" applyFont="1"/>
    <xf numFmtId="0" fontId="1" fillId="3" borderId="0" xfId="0" applyFont="1" applyFill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2" fillId="0" borderId="0" xfId="0" applyFont="1"/>
    <xf numFmtId="0" fontId="8" fillId="0" borderId="0" xfId="0" applyFont="1"/>
    <xf numFmtId="166" fontId="0" fillId="0" borderId="0" xfId="0" applyNumberFormat="1"/>
    <xf numFmtId="0" fontId="13" fillId="0" borderId="0" xfId="0" applyFon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4" fillId="0" borderId="0" xfId="0" applyFont="1"/>
    <xf numFmtId="0" fontId="17" fillId="2" borderId="0" xfId="0" applyFont="1" applyFill="1"/>
    <xf numFmtId="2" fontId="19" fillId="8" borderId="0" xfId="0" applyNumberFormat="1" applyFont="1" applyFill="1"/>
    <xf numFmtId="166" fontId="24" fillId="8" borderId="0" xfId="0" applyNumberFormat="1" applyFont="1" applyFill="1"/>
    <xf numFmtId="166" fontId="1" fillId="0" borderId="0" xfId="0" applyNumberFormat="1" applyFont="1"/>
    <xf numFmtId="0" fontId="25" fillId="2" borderId="0" xfId="0" applyFont="1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0" fontId="23" fillId="0" borderId="0" xfId="0" applyFont="1"/>
    <xf numFmtId="0" fontId="1" fillId="10" borderId="0" xfId="0" applyFont="1" applyFill="1"/>
    <xf numFmtId="0" fontId="6" fillId="11" borderId="0" xfId="0" applyFont="1" applyFill="1"/>
    <xf numFmtId="0" fontId="1" fillId="12" borderId="0" xfId="0" applyFont="1" applyFill="1"/>
    <xf numFmtId="0" fontId="18" fillId="0" borderId="0" xfId="0" applyFont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0" fontId="6" fillId="2" borderId="4" xfId="0" applyFont="1" applyFill="1" applyBorder="1"/>
    <xf numFmtId="0" fontId="10" fillId="8" borderId="4" xfId="0" applyFont="1" applyFill="1" applyBorder="1" applyAlignment="1">
      <alignment horizontal="center"/>
    </xf>
    <xf numFmtId="0" fontId="6" fillId="9" borderId="2" xfId="0" applyFont="1" applyFill="1" applyBorder="1"/>
    <xf numFmtId="0" fontId="0" fillId="9" borderId="2" xfId="0" applyFill="1" applyBorder="1"/>
    <xf numFmtId="0" fontId="0" fillId="9" borderId="3" xfId="0" applyFill="1" applyBorder="1"/>
    <xf numFmtId="0" fontId="0" fillId="15" borderId="5" xfId="0" applyFill="1" applyBorder="1"/>
    <xf numFmtId="0" fontId="12" fillId="15" borderId="5" xfId="0" applyFont="1" applyFill="1" applyBorder="1"/>
    <xf numFmtId="0" fontId="0" fillId="15" borderId="6" xfId="0" applyFill="1" applyBorder="1"/>
    <xf numFmtId="0" fontId="0" fillId="9" borderId="5" xfId="0" applyFill="1" applyBorder="1"/>
    <xf numFmtId="0" fontId="0" fillId="9" borderId="6" xfId="0" applyFill="1" applyBorder="1"/>
    <xf numFmtId="0" fontId="1" fillId="15" borderId="4" xfId="0" applyFont="1" applyFill="1" applyBorder="1"/>
    <xf numFmtId="0" fontId="1" fillId="9" borderId="4" xfId="0" applyFont="1" applyFill="1" applyBorder="1"/>
    <xf numFmtId="0" fontId="0" fillId="15" borderId="5" xfId="0" applyFill="1" applyBorder="1" applyAlignment="1">
      <alignment horizontal="center"/>
    </xf>
    <xf numFmtId="0" fontId="6" fillId="15" borderId="4" xfId="0" applyFont="1" applyFill="1" applyBorder="1"/>
    <xf numFmtId="0" fontId="6" fillId="9" borderId="4" xfId="0" applyFont="1" applyFill="1" applyBorder="1"/>
    <xf numFmtId="0" fontId="0" fillId="15" borderId="8" xfId="0" applyFill="1" applyBorder="1"/>
    <xf numFmtId="0" fontId="0" fillId="15" borderId="9" xfId="0" applyFill="1" applyBorder="1"/>
    <xf numFmtId="0" fontId="0" fillId="9" borderId="1" xfId="0" applyFill="1" applyBorder="1"/>
    <xf numFmtId="0" fontId="0" fillId="15" borderId="4" xfId="0" applyFill="1" applyBorder="1"/>
    <xf numFmtId="0" fontId="0" fillId="9" borderId="4" xfId="0" applyFill="1" applyBorder="1"/>
    <xf numFmtId="2" fontId="0" fillId="15" borderId="5" xfId="0" applyNumberFormat="1" applyFill="1" applyBorder="1"/>
    <xf numFmtId="0" fontId="1" fillId="9" borderId="5" xfId="0" applyFont="1" applyFill="1" applyBorder="1"/>
    <xf numFmtId="0" fontId="7" fillId="9" borderId="4" xfId="0" applyFont="1" applyFill="1" applyBorder="1"/>
    <xf numFmtId="0" fontId="8" fillId="15" borderId="4" xfId="0" quotePrefix="1" applyFont="1" applyFill="1" applyBorder="1"/>
    <xf numFmtId="164" fontId="0" fillId="15" borderId="5" xfId="0" applyNumberFormat="1" applyFill="1" applyBorder="1"/>
    <xf numFmtId="164" fontId="0" fillId="9" borderId="5" xfId="0" applyNumberFormat="1" applyFill="1" applyBorder="1"/>
    <xf numFmtId="165" fontId="0" fillId="15" borderId="5" xfId="0" applyNumberFormat="1" applyFill="1" applyBorder="1"/>
    <xf numFmtId="9" fontId="0" fillId="15" borderId="5" xfId="0" applyNumberFormat="1" applyFill="1" applyBorder="1"/>
    <xf numFmtId="9" fontId="0" fillId="9" borderId="5" xfId="0" applyNumberFormat="1" applyFill="1" applyBorder="1"/>
    <xf numFmtId="0" fontId="11" fillId="9" borderId="4" xfId="0" applyFont="1" applyFill="1" applyBorder="1"/>
    <xf numFmtId="2" fontId="0" fillId="9" borderId="5" xfId="0" applyNumberFormat="1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166" fontId="0" fillId="9" borderId="2" xfId="0" applyNumberFormat="1" applyFill="1" applyBorder="1"/>
    <xf numFmtId="166" fontId="0" fillId="15" borderId="5" xfId="0" applyNumberFormat="1" applyFill="1" applyBorder="1"/>
    <xf numFmtId="166" fontId="0" fillId="9" borderId="5" xfId="0" applyNumberFormat="1" applyFill="1" applyBorder="1"/>
    <xf numFmtId="0" fontId="8" fillId="15" borderId="5" xfId="0" applyFont="1" applyFill="1" applyBorder="1"/>
    <xf numFmtId="0" fontId="8" fillId="9" borderId="5" xfId="0" applyFont="1" applyFill="1" applyBorder="1"/>
    <xf numFmtId="166" fontId="13" fillId="15" borderId="5" xfId="0" applyNumberFormat="1" applyFont="1" applyFill="1" applyBorder="1"/>
    <xf numFmtId="0" fontId="11" fillId="15" borderId="5" xfId="0" applyFont="1" applyFill="1" applyBorder="1"/>
    <xf numFmtId="0" fontId="0" fillId="15" borderId="7" xfId="0" applyFill="1" applyBorder="1"/>
    <xf numFmtId="164" fontId="0" fillId="9" borderId="2" xfId="0" applyNumberFormat="1" applyFill="1" applyBorder="1"/>
    <xf numFmtId="167" fontId="0" fillId="9" borderId="2" xfId="0" applyNumberFormat="1" applyFill="1" applyBorder="1"/>
    <xf numFmtId="2" fontId="0" fillId="9" borderId="2" xfId="0" applyNumberFormat="1" applyFill="1" applyBorder="1"/>
    <xf numFmtId="167" fontId="0" fillId="15" borderId="5" xfId="0" applyNumberFormat="1" applyFill="1" applyBorder="1"/>
    <xf numFmtId="167" fontId="0" fillId="9" borderId="5" xfId="0" applyNumberFormat="1" applyFill="1" applyBorder="1"/>
    <xf numFmtId="164" fontId="0" fillId="15" borderId="8" xfId="0" applyNumberFormat="1" applyFill="1" applyBorder="1"/>
    <xf numFmtId="167" fontId="0" fillId="15" borderId="8" xfId="0" applyNumberFormat="1" applyFill="1" applyBorder="1"/>
    <xf numFmtId="2" fontId="0" fillId="15" borderId="8" xfId="0" applyNumberFormat="1" applyFill="1" applyBorder="1"/>
    <xf numFmtId="1" fontId="0" fillId="9" borderId="2" xfId="0" applyNumberFormat="1" applyFill="1" applyBorder="1"/>
    <xf numFmtId="1" fontId="0" fillId="9" borderId="3" xfId="0" applyNumberFormat="1" applyFill="1" applyBorder="1"/>
    <xf numFmtId="1" fontId="0" fillId="15" borderId="5" xfId="0" applyNumberFormat="1" applyFill="1" applyBorder="1"/>
    <xf numFmtId="1" fontId="0" fillId="15" borderId="6" xfId="0" applyNumberFormat="1" applyFill="1" applyBorder="1"/>
    <xf numFmtId="1" fontId="0" fillId="9" borderId="5" xfId="0" applyNumberFormat="1" applyFill="1" applyBorder="1"/>
    <xf numFmtId="1" fontId="0" fillId="9" borderId="6" xfId="0" applyNumberFormat="1" applyFill="1" applyBorder="1"/>
    <xf numFmtId="164" fontId="0" fillId="9" borderId="8" xfId="0" applyNumberFormat="1" applyFill="1" applyBorder="1"/>
    <xf numFmtId="1" fontId="0" fillId="9" borderId="8" xfId="0" applyNumberFormat="1" applyFill="1" applyBorder="1"/>
    <xf numFmtId="1" fontId="0" fillId="9" borderId="9" xfId="0" applyNumberFormat="1" applyFill="1" applyBorder="1"/>
    <xf numFmtId="166" fontId="0" fillId="9" borderId="8" xfId="0" applyNumberFormat="1" applyFill="1" applyBorder="1"/>
    <xf numFmtId="168" fontId="0" fillId="9" borderId="2" xfId="0" applyNumberFormat="1" applyFill="1" applyBorder="1"/>
    <xf numFmtId="168" fontId="0" fillId="15" borderId="5" xfId="0" applyNumberFormat="1" applyFill="1" applyBorder="1"/>
    <xf numFmtId="168" fontId="0" fillId="9" borderId="5" xfId="0" applyNumberFormat="1" applyFill="1" applyBorder="1"/>
    <xf numFmtId="168" fontId="0" fillId="9" borderId="8" xfId="0" applyNumberFormat="1" applyFill="1" applyBorder="1"/>
    <xf numFmtId="0" fontId="14" fillId="15" borderId="5" xfId="0" applyFont="1" applyFill="1" applyBorder="1"/>
    <xf numFmtId="0" fontId="1" fillId="9" borderId="7" xfId="0" applyFont="1" applyFill="1" applyBorder="1"/>
    <xf numFmtId="0" fontId="14" fillId="9" borderId="8" xfId="0" applyFont="1" applyFill="1" applyBorder="1"/>
    <xf numFmtId="9" fontId="0" fillId="9" borderId="2" xfId="0" applyNumberFormat="1" applyFill="1" applyBorder="1"/>
    <xf numFmtId="9" fontId="0" fillId="9" borderId="8" xfId="0" applyNumberFormat="1" applyFill="1" applyBorder="1"/>
    <xf numFmtId="0" fontId="6" fillId="2" borderId="5" xfId="0" applyFont="1" applyFill="1" applyBorder="1"/>
    <xf numFmtId="166" fontId="15" fillId="9" borderId="2" xfId="0" applyNumberFormat="1" applyFont="1" applyFill="1" applyBorder="1"/>
    <xf numFmtId="0" fontId="12" fillId="9" borderId="2" xfId="0" applyFont="1" applyFill="1" applyBorder="1"/>
    <xf numFmtId="166" fontId="15" fillId="15" borderId="5" xfId="0" applyNumberFormat="1" applyFont="1" applyFill="1" applyBorder="1"/>
    <xf numFmtId="166" fontId="15" fillId="9" borderId="5" xfId="0" applyNumberFormat="1" applyFont="1" applyFill="1" applyBorder="1"/>
    <xf numFmtId="0" fontId="12" fillId="9" borderId="5" xfId="0" applyFont="1" applyFill="1" applyBorder="1"/>
    <xf numFmtId="0" fontId="6" fillId="9" borderId="5" xfId="0" applyFont="1" applyFill="1" applyBorder="1"/>
    <xf numFmtId="0" fontId="22" fillId="9" borderId="7" xfId="0" applyFont="1" applyFill="1" applyBorder="1"/>
    <xf numFmtId="0" fontId="20" fillId="9" borderId="4" xfId="0" applyFont="1" applyFill="1" applyBorder="1"/>
    <xf numFmtId="2" fontId="18" fillId="9" borderId="2" xfId="0" applyNumberFormat="1" applyFont="1" applyFill="1" applyBorder="1"/>
    <xf numFmtId="169" fontId="0" fillId="9" borderId="2" xfId="0" applyNumberFormat="1" applyFill="1" applyBorder="1"/>
    <xf numFmtId="2" fontId="18" fillId="15" borderId="5" xfId="0" applyNumberFormat="1" applyFont="1" applyFill="1" applyBorder="1"/>
    <xf numFmtId="169" fontId="0" fillId="15" borderId="5" xfId="0" applyNumberFormat="1" applyFill="1" applyBorder="1"/>
    <xf numFmtId="2" fontId="18" fillId="9" borderId="5" xfId="0" applyNumberFormat="1" applyFont="1" applyFill="1" applyBorder="1"/>
    <xf numFmtId="169" fontId="0" fillId="9" borderId="5" xfId="0" applyNumberFormat="1" applyFill="1" applyBorder="1"/>
    <xf numFmtId="0" fontId="13" fillId="9" borderId="4" xfId="0" applyFont="1" applyFill="1" applyBorder="1"/>
    <xf numFmtId="0" fontId="13" fillId="15" borderId="4" xfId="0" applyFont="1" applyFill="1" applyBorder="1"/>
    <xf numFmtId="0" fontId="16" fillId="15" borderId="7" xfId="0" applyFont="1" applyFill="1" applyBorder="1"/>
    <xf numFmtId="0" fontId="1" fillId="15" borderId="7" xfId="0" applyFont="1" applyFill="1" applyBorder="1"/>
    <xf numFmtId="0" fontId="14" fillId="15" borderId="8" xfId="0" applyFont="1" applyFill="1" applyBorder="1"/>
    <xf numFmtId="0" fontId="1" fillId="9" borderId="1" xfId="0" applyFont="1" applyFill="1" applyBorder="1"/>
    <xf numFmtId="0" fontId="6" fillId="15" borderId="5" xfId="0" applyFont="1" applyFill="1" applyBorder="1"/>
    <xf numFmtId="166" fontId="0" fillId="15" borderId="8" xfId="0" applyNumberFormat="1" applyFill="1" applyBorder="1"/>
    <xf numFmtId="0" fontId="6" fillId="9" borderId="1" xfId="0" applyFont="1" applyFill="1" applyBorder="1"/>
    <xf numFmtId="164" fontId="18" fillId="15" borderId="5" xfId="0" applyNumberFormat="1" applyFont="1" applyFill="1" applyBorder="1"/>
    <xf numFmtId="166" fontId="1" fillId="9" borderId="5" xfId="0" applyNumberFormat="1" applyFont="1" applyFill="1" applyBorder="1"/>
    <xf numFmtId="0" fontId="14" fillId="9" borderId="5" xfId="0" applyFont="1" applyFill="1" applyBorder="1"/>
    <xf numFmtId="166" fontId="1" fillId="15" borderId="5" xfId="0" applyNumberFormat="1" applyFont="1" applyFill="1" applyBorder="1"/>
    <xf numFmtId="0" fontId="8" fillId="9" borderId="2" xfId="0" applyFont="1" applyFill="1" applyBorder="1"/>
    <xf numFmtId="0" fontId="13" fillId="15" borderId="5" xfId="0" applyFont="1" applyFill="1" applyBorder="1"/>
    <xf numFmtId="0" fontId="9" fillId="9" borderId="8" xfId="0" applyFont="1" applyFill="1" applyBorder="1"/>
    <xf numFmtId="0" fontId="13" fillId="9" borderId="5" xfId="0" applyFont="1" applyFill="1" applyBorder="1"/>
    <xf numFmtId="165" fontId="0" fillId="9" borderId="2" xfId="0" applyNumberFormat="1" applyFill="1" applyBorder="1"/>
    <xf numFmtId="0" fontId="9" fillId="15" borderId="8" xfId="0" applyFont="1" applyFill="1" applyBorder="1"/>
    <xf numFmtId="0" fontId="25" fillId="15" borderId="5" xfId="0" applyFont="1" applyFill="1" applyBorder="1"/>
    <xf numFmtId="0" fontId="15" fillId="15" borderId="5" xfId="0" applyFont="1" applyFill="1" applyBorder="1"/>
    <xf numFmtId="0" fontId="15" fillId="9" borderId="5" xfId="0" applyFont="1" applyFill="1" applyBorder="1"/>
    <xf numFmtId="0" fontId="15" fillId="15" borderId="8" xfId="0" applyFont="1" applyFill="1" applyBorder="1"/>
    <xf numFmtId="166" fontId="23" fillId="9" borderId="2" xfId="0" applyNumberFormat="1" applyFont="1" applyFill="1" applyBorder="1" applyAlignment="1">
      <alignment horizontal="center"/>
    </xf>
    <xf numFmtId="166" fontId="23" fillId="9" borderId="5" xfId="0" applyNumberFormat="1" applyFont="1" applyFill="1" applyBorder="1"/>
    <xf numFmtId="0" fontId="17" fillId="9" borderId="4" xfId="0" applyFont="1" applyFill="1" applyBorder="1"/>
    <xf numFmtId="0" fontId="1" fillId="15" borderId="5" xfId="0" applyFont="1" applyFill="1" applyBorder="1"/>
    <xf numFmtId="0" fontId="17" fillId="15" borderId="4" xfId="0" applyFont="1" applyFill="1" applyBorder="1"/>
    <xf numFmtId="0" fontId="6" fillId="4" borderId="5" xfId="0" applyFont="1" applyFill="1" applyBorder="1"/>
    <xf numFmtId="0" fontId="6" fillId="7" borderId="5" xfId="0" applyFont="1" applyFill="1" applyBorder="1"/>
    <xf numFmtId="0" fontId="3" fillId="2" borderId="4" xfId="0" applyFont="1" applyFill="1" applyBorder="1" applyAlignment="1">
      <alignment horizontal="center"/>
    </xf>
    <xf numFmtId="1" fontId="3" fillId="2" borderId="5" xfId="0" applyNumberFormat="1" applyFont="1" applyFill="1" applyBorder="1"/>
    <xf numFmtId="0" fontId="4" fillId="2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" fontId="3" fillId="4" borderId="5" xfId="0" applyNumberFormat="1" applyFont="1" applyFill="1" applyBorder="1"/>
    <xf numFmtId="0" fontId="4" fillId="4" borderId="5" xfId="0" applyFont="1" applyFill="1" applyBorder="1" applyAlignment="1">
      <alignment horizontal="center"/>
    </xf>
    <xf numFmtId="0" fontId="20" fillId="5" borderId="5" xfId="0" applyFont="1" applyFill="1" applyBorder="1"/>
    <xf numFmtId="0" fontId="21" fillId="5" borderId="4" xfId="0" applyFont="1" applyFill="1" applyBorder="1" applyAlignment="1">
      <alignment horizontal="center"/>
    </xf>
    <xf numFmtId="1" fontId="21" fillId="5" borderId="5" xfId="0" applyNumberFormat="1" applyFont="1" applyFill="1" applyBorder="1"/>
    <xf numFmtId="0" fontId="31" fillId="5" borderId="5" xfId="0" applyFont="1" applyFill="1" applyBorder="1" applyAlignment="1">
      <alignment horizontal="center"/>
    </xf>
    <xf numFmtId="0" fontId="6" fillId="6" borderId="5" xfId="0" applyFont="1" applyFill="1" applyBorder="1"/>
    <xf numFmtId="0" fontId="3" fillId="6" borderId="4" xfId="0" applyFont="1" applyFill="1" applyBorder="1" applyAlignment="1">
      <alignment horizontal="center"/>
    </xf>
    <xf numFmtId="1" fontId="3" fillId="6" borderId="5" xfId="0" applyNumberFormat="1" applyFont="1" applyFill="1" applyBorder="1"/>
    <xf numFmtId="0" fontId="4" fillId="6" borderId="5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1" fontId="3" fillId="7" borderId="5" xfId="0" applyNumberFormat="1" applyFont="1" applyFill="1" applyBorder="1"/>
    <xf numFmtId="0" fontId="4" fillId="7" borderId="5" xfId="0" applyFont="1" applyFill="1" applyBorder="1" applyAlignment="1">
      <alignment horizontal="center"/>
    </xf>
    <xf numFmtId="0" fontId="32" fillId="16" borderId="0" xfId="0" applyFont="1" applyFill="1" applyAlignment="1">
      <alignment horizontal="center"/>
    </xf>
    <xf numFmtId="0" fontId="34" fillId="16" borderId="0" xfId="0" applyFont="1" applyFill="1" applyAlignment="1">
      <alignment horizontal="center"/>
    </xf>
    <xf numFmtId="0" fontId="35" fillId="16" borderId="0" xfId="0" applyFont="1" applyFill="1"/>
    <xf numFmtId="0" fontId="6" fillId="14" borderId="0" xfId="0" applyFont="1" applyFill="1"/>
    <xf numFmtId="0" fontId="0" fillId="9" borderId="0" xfId="0" applyFill="1"/>
    <xf numFmtId="166" fontId="0" fillId="9" borderId="0" xfId="0" applyNumberFormat="1" applyFill="1"/>
    <xf numFmtId="1" fontId="0" fillId="9" borderId="0" xfId="0" applyNumberFormat="1" applyFill="1"/>
    <xf numFmtId="0" fontId="0" fillId="15" borderId="0" xfId="0" applyFill="1"/>
    <xf numFmtId="166" fontId="0" fillId="15" borderId="0" xfId="0" applyNumberFormat="1" applyFill="1"/>
    <xf numFmtId="1" fontId="0" fillId="15" borderId="0" xfId="0" applyNumberFormat="1" applyFill="1"/>
    <xf numFmtId="0" fontId="0" fillId="3" borderId="0" xfId="0" applyFill="1"/>
    <xf numFmtId="166" fontId="1" fillId="3" borderId="0" xfId="0" applyNumberFormat="1" applyFont="1" applyFill="1"/>
    <xf numFmtId="0" fontId="36" fillId="0" borderId="0" xfId="0" applyFont="1"/>
    <xf numFmtId="0" fontId="37" fillId="0" borderId="0" xfId="0" applyFont="1"/>
    <xf numFmtId="0" fontId="1" fillId="8" borderId="0" xfId="0" applyFont="1" applyFill="1"/>
    <xf numFmtId="0" fontId="1" fillId="15" borderId="0" xfId="0" applyFont="1" applyFill="1"/>
    <xf numFmtId="0" fontId="12" fillId="15" borderId="0" xfId="0" applyFont="1" applyFill="1"/>
    <xf numFmtId="0" fontId="1" fillId="9" borderId="0" xfId="0" applyFont="1" applyFill="1"/>
    <xf numFmtId="0" fontId="12" fillId="9" borderId="0" xfId="0" applyFont="1" applyFill="1"/>
    <xf numFmtId="0" fontId="38" fillId="0" borderId="0" xfId="0" applyFont="1"/>
    <xf numFmtId="0" fontId="39" fillId="0" borderId="0" xfId="0" applyFont="1"/>
    <xf numFmtId="0" fontId="33" fillId="0" borderId="0" xfId="0" applyFont="1" applyAlignment="1">
      <alignment horizontal="center"/>
    </xf>
    <xf numFmtId="0" fontId="18" fillId="9" borderId="0" xfId="0" applyFont="1" applyFill="1"/>
    <xf numFmtId="0" fontId="18" fillId="15" borderId="0" xfId="0" applyFont="1" applyFill="1"/>
    <xf numFmtId="0" fontId="43" fillId="2" borderId="0" xfId="0" applyFont="1" applyFill="1"/>
    <xf numFmtId="167" fontId="0" fillId="9" borderId="0" xfId="0" applyNumberFormat="1" applyFill="1"/>
    <xf numFmtId="167" fontId="0" fillId="15" borderId="0" xfId="0" applyNumberFormat="1" applyFill="1"/>
    <xf numFmtId="167" fontId="1" fillId="0" borderId="0" xfId="0" applyNumberFormat="1" applyFont="1"/>
    <xf numFmtId="1" fontId="1" fillId="0" borderId="0" xfId="0" applyNumberFormat="1" applyFont="1"/>
    <xf numFmtId="0" fontId="6" fillId="19" borderId="0" xfId="0" applyFont="1" applyFill="1"/>
    <xf numFmtId="0" fontId="44" fillId="0" borderId="0" xfId="1" applyFont="1"/>
    <xf numFmtId="167" fontId="1" fillId="8" borderId="0" xfId="0" applyNumberFormat="1" applyFont="1" applyFill="1"/>
    <xf numFmtId="0" fontId="8" fillId="0" borderId="0" xfId="0" applyFont="1" applyAlignment="1">
      <alignment wrapText="1"/>
    </xf>
    <xf numFmtId="0" fontId="43" fillId="13" borderId="2" xfId="0" applyFont="1" applyFill="1" applyBorder="1"/>
    <xf numFmtId="0" fontId="6" fillId="15" borderId="2" xfId="0" applyFont="1" applyFill="1" applyBorder="1"/>
    <xf numFmtId="0" fontId="45" fillId="2" borderId="5" xfId="0" applyFont="1" applyFill="1" applyBorder="1"/>
    <xf numFmtId="0" fontId="45" fillId="20" borderId="5" xfId="0" applyFont="1" applyFill="1" applyBorder="1"/>
    <xf numFmtId="0" fontId="45" fillId="5" borderId="5" xfId="0" applyFont="1" applyFill="1" applyBorder="1"/>
    <xf numFmtId="0" fontId="45" fillId="4" borderId="5" xfId="0" applyFont="1" applyFill="1" applyBorder="1"/>
    <xf numFmtId="0" fontId="45" fillId="7" borderId="5" xfId="0" applyFont="1" applyFill="1" applyBorder="1"/>
    <xf numFmtId="0" fontId="45" fillId="11" borderId="5" xfId="0" applyFont="1" applyFill="1" applyBorder="1"/>
    <xf numFmtId="0" fontId="45" fillId="14" borderId="5" xfId="0" applyFont="1" applyFill="1" applyBorder="1"/>
    <xf numFmtId="0" fontId="45" fillId="21" borderId="5" xfId="0" applyFont="1" applyFill="1" applyBorder="1"/>
    <xf numFmtId="0" fontId="45" fillId="18" borderId="5" xfId="0" applyFont="1" applyFill="1" applyBorder="1"/>
    <xf numFmtId="0" fontId="45" fillId="13" borderId="5" xfId="0" applyFont="1" applyFill="1" applyBorder="1"/>
    <xf numFmtId="49" fontId="46" fillId="9" borderId="4" xfId="0" applyNumberFormat="1" applyFont="1" applyFill="1" applyBorder="1" applyAlignment="1">
      <alignment wrapText="1"/>
    </xf>
    <xf numFmtId="0" fontId="43" fillId="22" borderId="0" xfId="0" applyFont="1" applyFill="1"/>
    <xf numFmtId="0" fontId="2" fillId="2" borderId="0" xfId="1" applyFill="1"/>
    <xf numFmtId="0" fontId="43" fillId="4" borderId="0" xfId="0" applyFont="1" applyFill="1"/>
    <xf numFmtId="0" fontId="47" fillId="22" borderId="0" xfId="0" applyFont="1" applyFill="1"/>
    <xf numFmtId="0" fontId="48" fillId="22" borderId="0" xfId="0" applyFont="1" applyFill="1"/>
    <xf numFmtId="0" fontId="50" fillId="15" borderId="2" xfId="0" applyFont="1" applyFill="1" applyBorder="1" applyAlignment="1">
      <alignment horizontal="center"/>
    </xf>
    <xf numFmtId="0" fontId="50" fillId="9" borderId="5" xfId="0" applyFont="1" applyFill="1" applyBorder="1" applyAlignment="1">
      <alignment horizontal="center"/>
    </xf>
    <xf numFmtId="0" fontId="50" fillId="15" borderId="5" xfId="0" applyFont="1" applyFill="1" applyBorder="1" applyAlignment="1">
      <alignment horizontal="center"/>
    </xf>
    <xf numFmtId="0" fontId="51" fillId="15" borderId="5" xfId="0" applyFont="1" applyFill="1" applyBorder="1" applyAlignment="1">
      <alignment horizontal="center"/>
    </xf>
    <xf numFmtId="0" fontId="50" fillId="15" borderId="4" xfId="0" applyFont="1" applyFill="1" applyBorder="1" applyAlignment="1">
      <alignment horizontal="center"/>
    </xf>
    <xf numFmtId="0" fontId="50" fillId="15" borderId="5" xfId="0" applyFont="1" applyFill="1" applyBorder="1"/>
    <xf numFmtId="0" fontId="51" fillId="9" borderId="4" xfId="0" applyFont="1" applyFill="1" applyBorder="1" applyAlignment="1">
      <alignment horizontal="center"/>
    </xf>
    <xf numFmtId="0" fontId="50" fillId="9" borderId="5" xfId="0" applyFont="1" applyFill="1" applyBorder="1"/>
    <xf numFmtId="0" fontId="49" fillId="15" borderId="1" xfId="1" applyFont="1" applyFill="1" applyBorder="1" applyAlignment="1">
      <alignment horizontal="left"/>
    </xf>
    <xf numFmtId="0" fontId="49" fillId="9" borderId="4" xfId="1" applyFont="1" applyFill="1" applyBorder="1" applyAlignment="1">
      <alignment horizontal="left"/>
    </xf>
    <xf numFmtId="0" fontId="49" fillId="15" borderId="4" xfId="1" applyFont="1" applyFill="1" applyBorder="1" applyAlignment="1">
      <alignment horizontal="left"/>
    </xf>
    <xf numFmtId="0" fontId="45" fillId="23" borderId="0" xfId="0" applyFont="1" applyFill="1"/>
    <xf numFmtId="0" fontId="52" fillId="2" borderId="0" xfId="0" applyFont="1" applyFill="1"/>
    <xf numFmtId="0" fontId="51" fillId="15" borderId="4" xfId="0" applyFont="1" applyFill="1" applyBorder="1" applyAlignment="1">
      <alignment horizontal="center"/>
    </xf>
    <xf numFmtId="0" fontId="51" fillId="9" borderId="4" xfId="0" applyFont="1" applyFill="1" applyBorder="1"/>
    <xf numFmtId="0" fontId="51" fillId="15" borderId="7" xfId="0" applyFont="1" applyFill="1" applyBorder="1"/>
    <xf numFmtId="2" fontId="53" fillId="8" borderId="0" xfId="0" applyNumberFormat="1" applyFont="1" applyFill="1" applyAlignment="1">
      <alignment horizont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center"/>
    </xf>
    <xf numFmtId="0" fontId="30" fillId="9" borderId="2" xfId="0" applyFont="1" applyFill="1" applyBorder="1"/>
    <xf numFmtId="0" fontId="56" fillId="15" borderId="5" xfId="0" applyFont="1" applyFill="1" applyBorder="1"/>
    <xf numFmtId="0" fontId="0" fillId="9" borderId="2" xfId="0" applyFill="1" applyBorder="1" applyAlignment="1">
      <alignment horizontal="left"/>
    </xf>
    <xf numFmtId="0" fontId="0" fillId="15" borderId="5" xfId="0" applyFill="1" applyBorder="1" applyAlignment="1">
      <alignment horizontal="left"/>
    </xf>
    <xf numFmtId="0" fontId="0" fillId="9" borderId="5" xfId="0" applyFill="1" applyBorder="1" applyAlignment="1">
      <alignment horizontal="left"/>
    </xf>
    <xf numFmtId="2" fontId="0" fillId="15" borderId="5" xfId="0" applyNumberFormat="1" applyFill="1" applyBorder="1" applyAlignment="1">
      <alignment horizontal="left"/>
    </xf>
    <xf numFmtId="165" fontId="0" fillId="9" borderId="5" xfId="0" applyNumberFormat="1" applyFill="1" applyBorder="1" applyAlignment="1">
      <alignment horizontal="left"/>
    </xf>
    <xf numFmtId="164" fontId="0" fillId="15" borderId="5" xfId="0" applyNumberFormat="1" applyFill="1" applyBorder="1" applyAlignment="1">
      <alignment horizontal="left"/>
    </xf>
    <xf numFmtId="164" fontId="0" fillId="9" borderId="5" xfId="0" applyNumberFormat="1" applyFill="1" applyBorder="1" applyAlignment="1">
      <alignment horizontal="left"/>
    </xf>
    <xf numFmtId="165" fontId="0" fillId="15" borderId="5" xfId="0" applyNumberFormat="1" applyFill="1" applyBorder="1" applyAlignment="1">
      <alignment horizontal="left"/>
    </xf>
    <xf numFmtId="9" fontId="0" fillId="15" borderId="5" xfId="0" applyNumberFormat="1" applyFill="1" applyBorder="1" applyAlignment="1">
      <alignment horizontal="left"/>
    </xf>
    <xf numFmtId="9" fontId="0" fillId="9" borderId="5" xfId="0" applyNumberFormat="1" applyFill="1" applyBorder="1" applyAlignment="1">
      <alignment horizontal="left"/>
    </xf>
    <xf numFmtId="2" fontId="0" fillId="9" borderId="5" xfId="0" applyNumberFormat="1" applyFill="1" applyBorder="1" applyAlignment="1">
      <alignment horizontal="left"/>
    </xf>
    <xf numFmtId="0" fontId="0" fillId="9" borderId="8" xfId="0" applyFill="1" applyBorder="1" applyAlignment="1">
      <alignment horizontal="left"/>
    </xf>
    <xf numFmtId="0" fontId="28" fillId="2" borderId="0" xfId="0" applyFont="1" applyFill="1" applyAlignment="1">
      <alignment horizontal="right"/>
    </xf>
    <xf numFmtId="2" fontId="19" fillId="9" borderId="5" xfId="0" applyNumberFormat="1" applyFont="1" applyFill="1" applyBorder="1" applyAlignment="1">
      <alignment horizontal="right"/>
    </xf>
    <xf numFmtId="2" fontId="21" fillId="15" borderId="5" xfId="0" applyNumberFormat="1" applyFont="1" applyFill="1" applyBorder="1" applyAlignment="1">
      <alignment horizontal="right"/>
    </xf>
    <xf numFmtId="166" fontId="0" fillId="9" borderId="5" xfId="0" applyNumberFormat="1" applyFill="1" applyBorder="1" applyAlignment="1">
      <alignment horizontal="right"/>
    </xf>
    <xf numFmtId="166" fontId="0" fillId="15" borderId="5" xfId="0" applyNumberFormat="1" applyFill="1" applyBorder="1" applyAlignment="1">
      <alignment horizontal="right"/>
    </xf>
    <xf numFmtId="166" fontId="0" fillId="9" borderId="8" xfId="0" applyNumberFormat="1" applyFill="1" applyBorder="1" applyAlignment="1">
      <alignment horizontal="right"/>
    </xf>
    <xf numFmtId="0" fontId="0" fillId="9" borderId="0" xfId="0" applyFill="1" applyAlignment="1">
      <alignment horizontal="left"/>
    </xf>
    <xf numFmtId="0" fontId="43" fillId="19" borderId="5" xfId="0" applyFont="1" applyFill="1" applyBorder="1" applyAlignment="1">
      <alignment horizontal="center" wrapText="1"/>
    </xf>
    <xf numFmtId="0" fontId="57" fillId="9" borderId="5" xfId="0" applyFont="1" applyFill="1" applyBorder="1"/>
    <xf numFmtId="0" fontId="57" fillId="15" borderId="5" xfId="0" applyFont="1" applyFill="1" applyBorder="1"/>
    <xf numFmtId="0" fontId="57" fillId="15" borderId="8" xfId="0" applyFont="1" applyFill="1" applyBorder="1"/>
    <xf numFmtId="0" fontId="58" fillId="24" borderId="0" xfId="0" applyFont="1" applyFill="1" applyAlignment="1">
      <alignment wrapText="1"/>
    </xf>
    <xf numFmtId="0" fontId="26" fillId="2" borderId="0" xfId="0" applyFont="1" applyFill="1" applyAlignment="1">
      <alignment wrapText="1"/>
    </xf>
    <xf numFmtId="0" fontId="0" fillId="24" borderId="0" xfId="0" applyFill="1"/>
    <xf numFmtId="0" fontId="60" fillId="0" borderId="0" xfId="0" applyFont="1"/>
    <xf numFmtId="0" fontId="60" fillId="0" borderId="10" xfId="0" applyFont="1" applyBorder="1"/>
    <xf numFmtId="0" fontId="26" fillId="25" borderId="0" xfId="0" applyFont="1" applyFill="1" applyAlignment="1">
      <alignment wrapText="1"/>
    </xf>
    <xf numFmtId="0" fontId="0" fillId="25" borderId="0" xfId="0" applyFill="1" applyAlignment="1">
      <alignment wrapText="1"/>
    </xf>
    <xf numFmtId="0" fontId="59" fillId="26" borderId="0" xfId="0" applyFont="1" applyFill="1" applyAlignment="1">
      <alignment wrapText="1"/>
    </xf>
    <xf numFmtId="0" fontId="0" fillId="26" borderId="0" xfId="0" applyFill="1" applyAlignment="1">
      <alignment wrapText="1"/>
    </xf>
    <xf numFmtId="0" fontId="0" fillId="2" borderId="0" xfId="0" applyFill="1" applyAlignment="1">
      <alignment wrapText="1"/>
    </xf>
    <xf numFmtId="0" fontId="57" fillId="24" borderId="0" xfId="0" applyFont="1" applyFill="1" applyAlignment="1">
      <alignment wrapText="1"/>
    </xf>
    <xf numFmtId="0" fontId="0" fillId="24" borderId="0" xfId="0" applyFill="1" applyAlignment="1">
      <alignment wrapText="1"/>
    </xf>
    <xf numFmtId="0" fontId="8" fillId="0" borderId="0" xfId="0" applyFont="1" applyAlignment="1">
      <alignment horizontal="left"/>
    </xf>
    <xf numFmtId="0" fontId="6" fillId="2" borderId="7" xfId="0" applyFont="1" applyFill="1" applyBorder="1"/>
    <xf numFmtId="166" fontId="1" fillId="15" borderId="0" xfId="0" applyNumberFormat="1" applyFont="1" applyFill="1"/>
    <xf numFmtId="0" fontId="8" fillId="15" borderId="0" xfId="0" applyFont="1" applyFill="1"/>
    <xf numFmtId="0" fontId="8" fillId="9" borderId="0" xfId="0" applyFont="1" applyFill="1"/>
    <xf numFmtId="0" fontId="13" fillId="15" borderId="0" xfId="0" applyFont="1" applyFill="1"/>
    <xf numFmtId="166" fontId="13" fillId="15" borderId="0" xfId="0" applyNumberFormat="1" applyFont="1" applyFill="1"/>
    <xf numFmtId="0" fontId="11" fillId="15" borderId="0" xfId="0" applyFont="1" applyFill="1"/>
    <xf numFmtId="0" fontId="0" fillId="9" borderId="0" xfId="0" applyFill="1" applyAlignment="1">
      <alignment horizontal="right"/>
    </xf>
    <xf numFmtId="0" fontId="0" fillId="2" borderId="0" xfId="0" applyFill="1"/>
    <xf numFmtId="0" fontId="6" fillId="27" borderId="0" xfId="0" applyFont="1" applyFill="1"/>
    <xf numFmtId="0" fontId="61" fillId="23" borderId="0" xfId="0" applyFont="1" applyFill="1"/>
    <xf numFmtId="0" fontId="62" fillId="9" borderId="0" xfId="0" applyFont="1" applyFill="1"/>
    <xf numFmtId="0" fontId="62" fillId="15" borderId="0" xfId="0" applyFont="1" applyFill="1"/>
    <xf numFmtId="0" fontId="0" fillId="27" borderId="0" xfId="0" applyFill="1"/>
    <xf numFmtId="0" fontId="3" fillId="27" borderId="0" xfId="0" applyFont="1" applyFill="1"/>
    <xf numFmtId="0" fontId="0" fillId="0" borderId="0" xfId="0" applyAlignment="1">
      <alignment horizontal="right"/>
    </xf>
    <xf numFmtId="0" fontId="51" fillId="9" borderId="5" xfId="0" applyFont="1" applyFill="1" applyBorder="1"/>
    <xf numFmtId="0" fontId="50" fillId="9" borderId="6" xfId="0" applyFont="1" applyFill="1" applyBorder="1"/>
    <xf numFmtId="0" fontId="50" fillId="0" borderId="0" xfId="0" applyFont="1"/>
    <xf numFmtId="166" fontId="65" fillId="28" borderId="0" xfId="0" applyNumberFormat="1" applyFont="1" applyFill="1"/>
    <xf numFmtId="0" fontId="0" fillId="0" borderId="0" xfId="0" applyAlignment="1">
      <alignment horizontal="left"/>
    </xf>
    <xf numFmtId="166" fontId="1" fillId="8" borderId="0" xfId="0" applyNumberFormat="1" applyFont="1" applyFill="1" applyAlignment="1">
      <alignment horizontal="right"/>
    </xf>
    <xf numFmtId="10" fontId="40" fillId="0" borderId="0" xfId="0" applyNumberFormat="1" applyFont="1"/>
    <xf numFmtId="0" fontId="41" fillId="9" borderId="0" xfId="0" applyFont="1" applyFill="1" applyAlignment="1">
      <alignment horizontal="left"/>
    </xf>
    <xf numFmtId="170" fontId="0" fillId="15" borderId="0" xfId="0" applyNumberFormat="1" applyFill="1" applyAlignment="1">
      <alignment horizontal="left"/>
    </xf>
    <xf numFmtId="170" fontId="0" fillId="9" borderId="0" xfId="0" applyNumberFormat="1" applyFill="1" applyAlignment="1">
      <alignment horizontal="left"/>
    </xf>
    <xf numFmtId="0" fontId="0" fillId="15" borderId="0" xfId="0" applyFill="1" applyAlignment="1">
      <alignment horizontal="left"/>
    </xf>
    <xf numFmtId="2" fontId="0" fillId="15" borderId="0" xfId="0" applyNumberFormat="1" applyFill="1" applyAlignment="1">
      <alignment horizontal="left"/>
    </xf>
    <xf numFmtId="166" fontId="0" fillId="15" borderId="0" xfId="0" applyNumberFormat="1" applyFill="1" applyAlignment="1">
      <alignment horizontal="left"/>
    </xf>
    <xf numFmtId="2" fontId="0" fillId="9" borderId="0" xfId="0" applyNumberFormat="1" applyFill="1" applyAlignment="1">
      <alignment horizontal="left"/>
    </xf>
    <xf numFmtId="166" fontId="0" fillId="9" borderId="0" xfId="0" applyNumberFormat="1" applyFill="1" applyAlignment="1">
      <alignment horizontal="left"/>
    </xf>
    <xf numFmtId="0" fontId="45" fillId="23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17" fillId="2" borderId="0" xfId="0" applyFont="1" applyFill="1" applyAlignment="1">
      <alignment horizontal="left"/>
    </xf>
    <xf numFmtId="0" fontId="11" fillId="9" borderId="11" xfId="0" applyFont="1" applyFill="1" applyBorder="1" applyAlignment="1">
      <alignment horizontal="left"/>
    </xf>
    <xf numFmtId="0" fontId="11" fillId="9" borderId="12" xfId="0" applyFont="1" applyFill="1" applyBorder="1" applyAlignment="1">
      <alignment horizontal="left"/>
    </xf>
    <xf numFmtId="0" fontId="11" fillId="9" borderId="13" xfId="0" applyFont="1" applyFill="1" applyBorder="1" applyAlignment="1">
      <alignment horizontal="left"/>
    </xf>
    <xf numFmtId="0" fontId="11" fillId="15" borderId="11" xfId="0" applyFont="1" applyFill="1" applyBorder="1" applyAlignment="1">
      <alignment horizontal="left"/>
    </xf>
    <xf numFmtId="0" fontId="11" fillId="15" borderId="12" xfId="0" applyFont="1" applyFill="1" applyBorder="1" applyAlignment="1">
      <alignment horizontal="left"/>
    </xf>
    <xf numFmtId="0" fontId="11" fillId="15" borderId="13" xfId="0" applyFont="1" applyFill="1" applyBorder="1" applyAlignment="1">
      <alignment horizontal="left"/>
    </xf>
    <xf numFmtId="0" fontId="29" fillId="17" borderId="0" xfId="0" applyFont="1" applyFill="1" applyAlignment="1">
      <alignment horizontal="left"/>
    </xf>
    <xf numFmtId="0" fontId="42" fillId="0" borderId="0" xfId="0" applyFont="1" applyAlignment="1">
      <alignment horizontal="left"/>
    </xf>
    <xf numFmtId="0" fontId="6" fillId="19" borderId="0" xfId="0" applyFont="1" applyFill="1" applyAlignment="1">
      <alignment horizontal="left"/>
    </xf>
    <xf numFmtId="0" fontId="66" fillId="29" borderId="0" xfId="0" applyFont="1" applyFill="1"/>
    <xf numFmtId="0" fontId="43" fillId="29" borderId="0" xfId="0" applyFont="1" applyFill="1"/>
    <xf numFmtId="0" fontId="69" fillId="29" borderId="0" xfId="0" applyFont="1" applyFill="1"/>
    <xf numFmtId="14" fontId="48" fillId="22" borderId="0" xfId="0" applyNumberFormat="1" applyFont="1" applyFill="1"/>
    <xf numFmtId="0" fontId="6" fillId="30" borderId="0" xfId="0" applyFont="1" applyFill="1"/>
    <xf numFmtId="0" fontId="70" fillId="0" borderId="0" xfId="0" applyFont="1"/>
    <xf numFmtId="0" fontId="71" fillId="9" borderId="2" xfId="0" applyFont="1" applyFill="1" applyBorder="1"/>
    <xf numFmtId="0" fontId="70" fillId="15" borderId="5" xfId="0" applyFont="1" applyFill="1" applyBorder="1"/>
    <xf numFmtId="0" fontId="70" fillId="9" borderId="5" xfId="0" applyFont="1" applyFill="1" applyBorder="1"/>
    <xf numFmtId="0" fontId="71" fillId="9" borderId="5" xfId="0" applyFont="1" applyFill="1" applyBorder="1"/>
    <xf numFmtId="0" fontId="71" fillId="15" borderId="5" xfId="0" applyFont="1" applyFill="1" applyBorder="1"/>
    <xf numFmtId="0" fontId="70" fillId="9" borderId="8" xfId="0" applyFont="1" applyFill="1" applyBorder="1"/>
    <xf numFmtId="166" fontId="72" fillId="8" borderId="0" xfId="0" applyNumberFormat="1" applyFont="1" applyFill="1"/>
  </cellXfs>
  <cellStyles count="2">
    <cellStyle name="Hipervínculo" xfId="1" builtinId="8"/>
    <cellStyle name="Normal" xfId="0" builtinId="0"/>
  </cellStyles>
  <dxfs count="75"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FFFFFF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b/>
        <i val="0"/>
        <color rgb="FFC62828"/>
      </font>
      <fill>
        <patternFill patternType="solid">
          <fgColor indexed="64"/>
          <bgColor rgb="FFFFE4E1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color rgb="FF4A5568"/>
      </font>
      <fill>
        <patternFill patternType="solid">
          <fgColor indexed="64"/>
          <bgColor rgb="FFE2E8F0"/>
        </patternFill>
      </fill>
    </dxf>
    <dxf>
      <font>
        <color rgb="FF9B2C2C"/>
      </font>
      <fill>
        <patternFill patternType="solid">
          <fgColor indexed="64"/>
          <bgColor rgb="FFFED7D7"/>
        </patternFill>
      </fill>
    </dxf>
    <dxf>
      <font>
        <color rgb="FF7D6608"/>
      </font>
      <fill>
        <patternFill patternType="solid">
          <fgColor indexed="64"/>
          <bgColor rgb="FFFEF9C3"/>
        </patternFill>
      </fill>
    </dxf>
    <dxf>
      <font>
        <color rgb="FF276749"/>
      </font>
      <fill>
        <patternFill patternType="solid">
          <fgColor indexed="64"/>
          <bgColor rgb="FFC6F6D5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  <dxf>
      <font>
        <color rgb="FFFFFFFF"/>
      </font>
      <fill>
        <patternFill patternType="solid">
          <fgColor indexed="64"/>
          <bgColor rgb="FFE53E3E"/>
        </patternFill>
      </fill>
    </dxf>
    <dxf>
      <font>
        <color rgb="FFFFFFFF"/>
      </font>
      <fill>
        <patternFill patternType="solid">
          <fgColor indexed="64"/>
          <bgColor rgb="FFE67E22"/>
        </patternFill>
      </fill>
    </dxf>
    <dxf>
      <font>
        <color rgb="FF000000"/>
      </font>
      <fill>
        <patternFill patternType="solid">
          <fgColor indexed="64"/>
          <bgColor rgb="FFD69E2E"/>
        </patternFill>
      </fill>
    </dxf>
    <dxf>
      <font>
        <color rgb="FFFFFFFF"/>
      </font>
      <fill>
        <patternFill patternType="solid">
          <fgColor indexed="64"/>
          <bgColor rgb="FF38A169"/>
        </patternFill>
      </fill>
    </dxf>
    <dxf>
      <font>
        <color rgb="FFFFFFFF"/>
      </font>
      <fill>
        <patternFill patternType="solid">
          <fgColor indexed="64"/>
          <bgColor rgb="FF00308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LL" id="{43B63DA6-F5A2-46B3-AF84-659BD2388163}" userId="DELL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0" dT="2026-04-05T15:41:35.53" personId="{43B63DA6-F5A2-46B3-AF84-659BD2388163}" id="{5761AE5A-87E2-4F77-B36F-AB2FA3CEDCFE}">
    <text>ALERTA AUDITORIAL: Maquinaria pesada (Motoniveladora, Rodillo, 2 Retroexcavadoras) precontratada pero sin entrega al 31/12/2024. T_i=0 por ejecución financiera nula. Fuente: Informe RDC N°22844 Montecristi.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DE141F-0156-40A9-8032-6D21F3A8A4E1}">
  <we:reference id="wa200009404" version="1.0.0.8" store="es-MX" storeType="OMEX"/>
  <we:alternateReferences>
    <we:reference id="wa200009404" version="1.0.0.8" store="es-MX" storeType="OMEX"/>
  </we:alternateReferences>
  <we:properties>
    <we:property name="claude.fileId" value="&quot;e1b0bf45-c0e9-4886-8e0c-bc243878d873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A15A-6131-47F4-86B4-3BB9F72C3A90}">
  <sheetPr>
    <tabColor rgb="FF003087"/>
  </sheetPr>
  <dimension ref="A1:E52"/>
  <sheetViews>
    <sheetView zoomScale="150" zoomScaleNormal="150" workbookViewId="0">
      <pane ySplit="2" topLeftCell="A5" activePane="bottomLeft" state="frozen"/>
      <selection pane="bottomLeft" activeCell="A10" sqref="A10"/>
    </sheetView>
  </sheetViews>
  <sheetFormatPr baseColWidth="10" defaultRowHeight="14.4" x14ac:dyDescent="0.3"/>
  <cols>
    <col min="1" max="1" width="48.109375" customWidth="1"/>
    <col min="2" max="2" width="29.6640625" customWidth="1"/>
    <col min="3" max="3" width="63" customWidth="1"/>
    <col min="4" max="4" width="16.6640625" customWidth="1"/>
    <col min="5" max="5" width="18.5546875" customWidth="1"/>
  </cols>
  <sheetData>
    <row r="1" spans="1:5" ht="18" customHeight="1" x14ac:dyDescent="0.35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1128</v>
      </c>
      <c r="E1" s="1"/>
    </row>
    <row r="2" spans="1:5" ht="25.05" customHeight="1" x14ac:dyDescent="0.35">
      <c r="A2" s="16" t="s">
        <v>1165</v>
      </c>
      <c r="B2" s="1"/>
      <c r="C2" s="1"/>
      <c r="D2" s="1"/>
      <c r="E2" s="1"/>
    </row>
    <row r="3" spans="1:5" ht="16.05" customHeight="1" x14ac:dyDescent="0.3">
      <c r="A3" s="224" t="s">
        <v>1166</v>
      </c>
      <c r="B3" s="2"/>
      <c r="C3" s="2"/>
      <c r="D3" s="2"/>
      <c r="E3" s="2"/>
    </row>
    <row r="4" spans="1:5" ht="18" x14ac:dyDescent="0.35">
      <c r="A4" s="1" t="s">
        <v>1</v>
      </c>
      <c r="B4" s="2" t="s">
        <v>0</v>
      </c>
      <c r="C4" s="2" t="s">
        <v>381</v>
      </c>
      <c r="D4" s="2" t="s">
        <v>1051</v>
      </c>
      <c r="E4" s="2" t="s">
        <v>861</v>
      </c>
    </row>
    <row r="5" spans="1:5" x14ac:dyDescent="0.3">
      <c r="A5" s="221" t="s">
        <v>836</v>
      </c>
      <c r="B5" s="213" t="s">
        <v>1052</v>
      </c>
      <c r="C5" s="196" t="s">
        <v>1053</v>
      </c>
      <c r="D5" s="195" t="s">
        <v>1054</v>
      </c>
      <c r="E5" s="34" t="s">
        <v>837</v>
      </c>
    </row>
    <row r="6" spans="1:5" x14ac:dyDescent="0.3">
      <c r="A6" s="222" t="s">
        <v>827</v>
      </c>
      <c r="B6" s="214" t="s">
        <v>1055</v>
      </c>
      <c r="C6" s="39" t="s">
        <v>1056</v>
      </c>
      <c r="D6" s="197" t="s">
        <v>39</v>
      </c>
      <c r="E6" s="36" t="s">
        <v>837</v>
      </c>
    </row>
    <row r="7" spans="1:5" x14ac:dyDescent="0.3">
      <c r="A7" s="223" t="s">
        <v>1057</v>
      </c>
      <c r="B7" s="215" t="s">
        <v>1055</v>
      </c>
      <c r="C7" s="36" t="s">
        <v>1058</v>
      </c>
      <c r="D7" s="197" t="s">
        <v>39</v>
      </c>
      <c r="E7" s="39" t="s">
        <v>837</v>
      </c>
    </row>
    <row r="8" spans="1:5" x14ac:dyDescent="0.3">
      <c r="A8" s="222" t="s">
        <v>838</v>
      </c>
      <c r="B8" s="214" t="s">
        <v>1059</v>
      </c>
      <c r="C8" s="39" t="s">
        <v>1060</v>
      </c>
      <c r="D8" s="198" t="s">
        <v>1061</v>
      </c>
      <c r="E8" s="36" t="s">
        <v>837</v>
      </c>
    </row>
    <row r="9" spans="1:5" x14ac:dyDescent="0.3">
      <c r="A9" s="223" t="s">
        <v>839</v>
      </c>
      <c r="B9" s="215" t="s">
        <v>1062</v>
      </c>
      <c r="C9" s="36" t="s">
        <v>1063</v>
      </c>
      <c r="D9" s="198" t="s">
        <v>1061</v>
      </c>
      <c r="E9" s="39" t="s">
        <v>837</v>
      </c>
    </row>
    <row r="10" spans="1:5" x14ac:dyDescent="0.3">
      <c r="A10" s="222" t="s">
        <v>434</v>
      </c>
      <c r="B10" s="214" t="s">
        <v>1064</v>
      </c>
      <c r="C10" s="39" t="s">
        <v>1065</v>
      </c>
      <c r="D10" s="198" t="s">
        <v>1061</v>
      </c>
      <c r="E10" s="36" t="s">
        <v>837</v>
      </c>
    </row>
    <row r="11" spans="1:5" x14ac:dyDescent="0.3">
      <c r="A11" s="223" t="s">
        <v>440</v>
      </c>
      <c r="B11" s="215" t="s">
        <v>1066</v>
      </c>
      <c r="C11" s="36" t="s">
        <v>1067</v>
      </c>
      <c r="D11" s="198" t="s">
        <v>1061</v>
      </c>
      <c r="E11" s="39" t="s">
        <v>837</v>
      </c>
    </row>
    <row r="12" spans="1:5" x14ac:dyDescent="0.3">
      <c r="A12" s="222" t="s">
        <v>446</v>
      </c>
      <c r="B12" s="214" t="s">
        <v>1068</v>
      </c>
      <c r="C12" s="39" t="s">
        <v>1069</v>
      </c>
      <c r="D12" s="198" t="s">
        <v>1061</v>
      </c>
      <c r="E12" s="36" t="s">
        <v>837</v>
      </c>
    </row>
    <row r="13" spans="1:5" x14ac:dyDescent="0.3">
      <c r="A13" s="223" t="s">
        <v>840</v>
      </c>
      <c r="B13" s="215" t="s">
        <v>1070</v>
      </c>
      <c r="C13" s="36" t="s">
        <v>1071</v>
      </c>
      <c r="D13" s="198" t="s">
        <v>1061</v>
      </c>
      <c r="E13" s="39" t="s">
        <v>837</v>
      </c>
    </row>
    <row r="14" spans="1:5" x14ac:dyDescent="0.3">
      <c r="A14" s="222" t="s">
        <v>452</v>
      </c>
      <c r="B14" s="214" t="s">
        <v>1072</v>
      </c>
      <c r="C14" s="39" t="s">
        <v>1073</v>
      </c>
      <c r="D14" s="198" t="s">
        <v>1061</v>
      </c>
      <c r="E14" s="36" t="s">
        <v>837</v>
      </c>
    </row>
    <row r="15" spans="1:5" x14ac:dyDescent="0.3">
      <c r="A15" s="223" t="s">
        <v>458</v>
      </c>
      <c r="B15" s="215" t="s">
        <v>1074</v>
      </c>
      <c r="C15" s="36" t="s">
        <v>1075</v>
      </c>
      <c r="D15" s="198" t="s">
        <v>1061</v>
      </c>
      <c r="E15" s="39" t="s">
        <v>837</v>
      </c>
    </row>
    <row r="16" spans="1:5" x14ac:dyDescent="0.3">
      <c r="A16" s="222" t="s">
        <v>841</v>
      </c>
      <c r="B16" s="214" t="s">
        <v>1076</v>
      </c>
      <c r="C16" s="39" t="s">
        <v>1077</v>
      </c>
      <c r="D16" s="198" t="s">
        <v>1061</v>
      </c>
      <c r="E16" s="36" t="s">
        <v>837</v>
      </c>
    </row>
    <row r="17" spans="1:5" x14ac:dyDescent="0.3">
      <c r="A17" s="223" t="s">
        <v>842</v>
      </c>
      <c r="B17" s="216" t="s">
        <v>1078</v>
      </c>
      <c r="C17" s="36" t="s">
        <v>1079</v>
      </c>
      <c r="D17" s="199" t="s">
        <v>1080</v>
      </c>
      <c r="E17" s="39" t="s">
        <v>862</v>
      </c>
    </row>
    <row r="18" spans="1:5" x14ac:dyDescent="0.3">
      <c r="A18" s="222" t="s">
        <v>843</v>
      </c>
      <c r="B18" s="214" t="s">
        <v>1081</v>
      </c>
      <c r="C18" s="39" t="s">
        <v>1082</v>
      </c>
      <c r="D18" s="199" t="s">
        <v>1080</v>
      </c>
      <c r="E18" s="36" t="s">
        <v>837</v>
      </c>
    </row>
    <row r="19" spans="1:5" x14ac:dyDescent="0.3">
      <c r="A19" s="223" t="s">
        <v>844</v>
      </c>
      <c r="B19" s="215" t="s">
        <v>1081</v>
      </c>
      <c r="C19" s="36" t="s">
        <v>1083</v>
      </c>
      <c r="D19" s="199" t="s">
        <v>1080</v>
      </c>
      <c r="E19" s="39" t="s">
        <v>837</v>
      </c>
    </row>
    <row r="20" spans="1:5" x14ac:dyDescent="0.3">
      <c r="A20" s="222" t="s">
        <v>845</v>
      </c>
      <c r="B20" s="214" t="s">
        <v>1084</v>
      </c>
      <c r="C20" s="39" t="s">
        <v>1085</v>
      </c>
      <c r="D20" s="200" t="s">
        <v>42</v>
      </c>
      <c r="E20" s="36" t="s">
        <v>837</v>
      </c>
    </row>
    <row r="21" spans="1:5" x14ac:dyDescent="0.3">
      <c r="A21" s="223" t="s">
        <v>846</v>
      </c>
      <c r="B21" s="215" t="s">
        <v>1084</v>
      </c>
      <c r="C21" s="36" t="s">
        <v>1086</v>
      </c>
      <c r="D21" s="200" t="s">
        <v>42</v>
      </c>
      <c r="E21" s="39" t="s">
        <v>837</v>
      </c>
    </row>
    <row r="22" spans="1:5" x14ac:dyDescent="0.3">
      <c r="A22" s="222" t="s">
        <v>847</v>
      </c>
      <c r="B22" s="214" t="s">
        <v>1084</v>
      </c>
      <c r="C22" s="39" t="s">
        <v>1087</v>
      </c>
      <c r="D22" s="200" t="s">
        <v>42</v>
      </c>
      <c r="E22" s="36" t="s">
        <v>837</v>
      </c>
    </row>
    <row r="23" spans="1:5" x14ac:dyDescent="0.3">
      <c r="A23" s="223" t="s">
        <v>848</v>
      </c>
      <c r="B23" s="215" t="s">
        <v>1084</v>
      </c>
      <c r="C23" s="36" t="s">
        <v>1088</v>
      </c>
      <c r="D23" s="200" t="s">
        <v>42</v>
      </c>
      <c r="E23" s="39" t="s">
        <v>837</v>
      </c>
    </row>
    <row r="24" spans="1:5" x14ac:dyDescent="0.3">
      <c r="A24" s="222" t="s">
        <v>829</v>
      </c>
      <c r="B24" s="214" t="s">
        <v>1084</v>
      </c>
      <c r="C24" s="39" t="s">
        <v>1089</v>
      </c>
      <c r="D24" s="200" t="s">
        <v>42</v>
      </c>
      <c r="E24" s="36" t="s">
        <v>837</v>
      </c>
    </row>
    <row r="25" spans="1:5" x14ac:dyDescent="0.3">
      <c r="A25" s="223" t="s">
        <v>849</v>
      </c>
      <c r="B25" s="215" t="s">
        <v>1084</v>
      </c>
      <c r="C25" s="36" t="s">
        <v>1090</v>
      </c>
      <c r="D25" s="200" t="s">
        <v>42</v>
      </c>
      <c r="E25" s="39" t="s">
        <v>837</v>
      </c>
    </row>
    <row r="26" spans="1:5" x14ac:dyDescent="0.3">
      <c r="A26" s="222" t="s">
        <v>850</v>
      </c>
      <c r="B26" s="214" t="s">
        <v>1091</v>
      </c>
      <c r="C26" s="39" t="s">
        <v>1092</v>
      </c>
      <c r="D26" s="201" t="s">
        <v>51</v>
      </c>
      <c r="E26" s="36" t="s">
        <v>851</v>
      </c>
    </row>
    <row r="27" spans="1:5" x14ac:dyDescent="0.3">
      <c r="A27" s="223" t="s">
        <v>852</v>
      </c>
      <c r="B27" s="215" t="s">
        <v>1091</v>
      </c>
      <c r="C27" s="36" t="s">
        <v>1093</v>
      </c>
      <c r="D27" s="201" t="s">
        <v>51</v>
      </c>
      <c r="E27" s="39" t="s">
        <v>851</v>
      </c>
    </row>
    <row r="28" spans="1:5" x14ac:dyDescent="0.3">
      <c r="A28" s="222" t="s">
        <v>853</v>
      </c>
      <c r="B28" s="214" t="s">
        <v>1091</v>
      </c>
      <c r="C28" s="39" t="s">
        <v>1094</v>
      </c>
      <c r="D28" s="201" t="s">
        <v>51</v>
      </c>
      <c r="E28" s="36" t="s">
        <v>851</v>
      </c>
    </row>
    <row r="29" spans="1:5" x14ac:dyDescent="0.3">
      <c r="A29" s="223" t="s">
        <v>854</v>
      </c>
      <c r="B29" s="215" t="s">
        <v>1091</v>
      </c>
      <c r="C29" s="36" t="s">
        <v>1095</v>
      </c>
      <c r="D29" s="201" t="s">
        <v>51</v>
      </c>
      <c r="E29" s="39" t="s">
        <v>855</v>
      </c>
    </row>
    <row r="30" spans="1:5" x14ac:dyDescent="0.3">
      <c r="A30" s="222" t="s">
        <v>856</v>
      </c>
      <c r="B30" s="214" t="s">
        <v>1096</v>
      </c>
      <c r="C30" s="39" t="s">
        <v>1097</v>
      </c>
      <c r="D30" s="202" t="s">
        <v>1098</v>
      </c>
      <c r="E30" s="36" t="s">
        <v>863</v>
      </c>
    </row>
    <row r="31" spans="1:5" x14ac:dyDescent="0.3">
      <c r="A31" s="223" t="s">
        <v>857</v>
      </c>
      <c r="B31" s="215" t="s">
        <v>1096</v>
      </c>
      <c r="C31" s="36" t="s">
        <v>1099</v>
      </c>
      <c r="D31" s="202" t="s">
        <v>1098</v>
      </c>
      <c r="E31" s="39" t="s">
        <v>837</v>
      </c>
    </row>
    <row r="32" spans="1:5" x14ac:dyDescent="0.3">
      <c r="A32" s="222" t="s">
        <v>858</v>
      </c>
      <c r="B32" s="214" t="s">
        <v>1096</v>
      </c>
      <c r="C32" s="39" t="s">
        <v>1100</v>
      </c>
      <c r="D32" s="202" t="s">
        <v>1098</v>
      </c>
      <c r="E32" s="36" t="s">
        <v>837</v>
      </c>
    </row>
    <row r="33" spans="1:5" x14ac:dyDescent="0.3">
      <c r="A33" s="223" t="s">
        <v>859</v>
      </c>
      <c r="B33" s="215" t="s">
        <v>1101</v>
      </c>
      <c r="C33" s="36" t="s">
        <v>1102</v>
      </c>
      <c r="D33" s="197" t="s">
        <v>39</v>
      </c>
      <c r="E33" s="39" t="s">
        <v>837</v>
      </c>
    </row>
    <row r="34" spans="1:5" x14ac:dyDescent="0.3">
      <c r="A34" s="222" t="s">
        <v>860</v>
      </c>
      <c r="B34" s="214" t="s">
        <v>1101</v>
      </c>
      <c r="C34" s="39" t="s">
        <v>1103</v>
      </c>
      <c r="D34" s="197" t="s">
        <v>39</v>
      </c>
      <c r="E34" s="36" t="s">
        <v>837</v>
      </c>
    </row>
    <row r="35" spans="1:5" x14ac:dyDescent="0.3">
      <c r="A35" s="223" t="s">
        <v>1104</v>
      </c>
      <c r="B35" s="215" t="s">
        <v>1105</v>
      </c>
      <c r="C35" s="36" t="s">
        <v>1106</v>
      </c>
      <c r="D35" s="203" t="s">
        <v>1107</v>
      </c>
      <c r="E35" s="39" t="s">
        <v>837</v>
      </c>
    </row>
    <row r="36" spans="1:5" x14ac:dyDescent="0.3">
      <c r="A36" s="222" t="s">
        <v>1108</v>
      </c>
      <c r="B36" s="214" t="s">
        <v>1105</v>
      </c>
      <c r="C36" s="39" t="s">
        <v>1109</v>
      </c>
      <c r="D36" s="201" t="s">
        <v>51</v>
      </c>
      <c r="E36" s="36" t="s">
        <v>837</v>
      </c>
    </row>
    <row r="37" spans="1:5" x14ac:dyDescent="0.3">
      <c r="A37" s="223" t="s">
        <v>1110</v>
      </c>
      <c r="B37" s="215" t="s">
        <v>1105</v>
      </c>
      <c r="C37" s="36" t="s">
        <v>1111</v>
      </c>
      <c r="D37" s="202" t="s">
        <v>1098</v>
      </c>
      <c r="E37" s="39" t="s">
        <v>837</v>
      </c>
    </row>
    <row r="38" spans="1:5" x14ac:dyDescent="0.3">
      <c r="A38" s="222" t="s">
        <v>1112</v>
      </c>
      <c r="B38" s="214" t="s">
        <v>1105</v>
      </c>
      <c r="C38" s="39" t="s">
        <v>1113</v>
      </c>
      <c r="D38" s="200" t="s">
        <v>42</v>
      </c>
      <c r="E38" s="36" t="s">
        <v>837</v>
      </c>
    </row>
    <row r="39" spans="1:5" x14ac:dyDescent="0.3">
      <c r="A39" s="223" t="s">
        <v>1114</v>
      </c>
      <c r="B39" s="215" t="s">
        <v>1105</v>
      </c>
      <c r="C39" s="36" t="s">
        <v>1115</v>
      </c>
      <c r="D39" s="204" t="s">
        <v>1116</v>
      </c>
      <c r="E39" s="39" t="s">
        <v>837</v>
      </c>
    </row>
    <row r="40" spans="1:5" x14ac:dyDescent="0.3">
      <c r="A40" s="222" t="s">
        <v>1046</v>
      </c>
      <c r="B40" s="214" t="s">
        <v>1105</v>
      </c>
      <c r="C40" s="39" t="s">
        <v>1117</v>
      </c>
      <c r="D40" s="205" t="s">
        <v>1118</v>
      </c>
      <c r="E40" s="36" t="s">
        <v>837</v>
      </c>
    </row>
    <row r="41" spans="1:5" x14ac:dyDescent="0.3">
      <c r="A41" s="223" t="s">
        <v>1119</v>
      </c>
      <c r="B41" s="215" t="s">
        <v>1105</v>
      </c>
      <c r="C41" s="36" t="s">
        <v>1120</v>
      </c>
      <c r="D41" s="206" t="s">
        <v>1054</v>
      </c>
      <c r="E41" s="39" t="s">
        <v>837</v>
      </c>
    </row>
    <row r="42" spans="1:5" x14ac:dyDescent="0.3">
      <c r="A42" s="217"/>
      <c r="B42" s="218"/>
      <c r="C42" s="36"/>
      <c r="D42" s="36"/>
      <c r="E42" s="36"/>
    </row>
    <row r="43" spans="1:5" x14ac:dyDescent="0.3">
      <c r="A43" s="219"/>
      <c r="B43" s="220"/>
      <c r="C43" s="39"/>
      <c r="D43" s="39"/>
      <c r="E43" s="39"/>
    </row>
    <row r="44" spans="1:5" x14ac:dyDescent="0.3">
      <c r="A44" s="31" t="s">
        <v>1121</v>
      </c>
      <c r="B44" s="36"/>
      <c r="C44" s="36"/>
      <c r="D44" s="36"/>
      <c r="E44" s="36"/>
    </row>
    <row r="45" spans="1:5" x14ac:dyDescent="0.3">
      <c r="A45" s="219" t="s">
        <v>1122</v>
      </c>
      <c r="B45" s="52">
        <v>37</v>
      </c>
      <c r="C45" s="39"/>
      <c r="D45" s="39"/>
      <c r="E45" s="39"/>
    </row>
    <row r="46" spans="1:5" x14ac:dyDescent="0.3">
      <c r="A46" s="226" t="s">
        <v>835</v>
      </c>
      <c r="B46" s="141">
        <v>9</v>
      </c>
      <c r="C46" s="36"/>
      <c r="D46" s="36"/>
      <c r="E46" s="36"/>
    </row>
    <row r="47" spans="1:5" x14ac:dyDescent="0.3">
      <c r="A47" s="219" t="s">
        <v>1123</v>
      </c>
      <c r="B47" s="52">
        <v>4</v>
      </c>
      <c r="C47" s="39"/>
      <c r="D47" s="39"/>
      <c r="E47" s="39"/>
    </row>
    <row r="48" spans="1:5" x14ac:dyDescent="0.3">
      <c r="A48" s="226" t="s">
        <v>1124</v>
      </c>
      <c r="B48" s="141">
        <v>6</v>
      </c>
      <c r="C48" s="36"/>
      <c r="D48" s="36"/>
      <c r="E48" s="36"/>
    </row>
    <row r="49" spans="1:5" x14ac:dyDescent="0.3">
      <c r="A49" s="32" t="str">
        <f>"ICPI Global en tiempo real: "&amp;INT(H12_MOTOR_ICPI_CANÓNICO!B28)&amp;","&amp;TEXT(MOD(H12_MOTOR_ICPI_CANÓNICO!B28,1)*10,"0")&amp;"% — "&amp;H12_MOTOR_ICPI_CANÓNICO!B29</f>
        <v>ICPI Global en tiempo real: 72,9% — 🟢 Gestión por Mandato</v>
      </c>
      <c r="B49" s="39"/>
      <c r="C49" s="39"/>
      <c r="D49" s="39"/>
      <c r="E49" s="39"/>
    </row>
    <row r="50" spans="1:5" x14ac:dyDescent="0.3">
      <c r="A50" s="226"/>
      <c r="B50" s="36"/>
      <c r="C50" s="36"/>
      <c r="D50" s="36"/>
      <c r="E50" s="36"/>
    </row>
    <row r="51" spans="1:5" x14ac:dyDescent="0.3">
      <c r="A51" s="227"/>
      <c r="B51" s="39"/>
      <c r="C51" s="39"/>
      <c r="D51" s="39"/>
      <c r="E51" s="39"/>
    </row>
    <row r="52" spans="1:5" x14ac:dyDescent="0.3">
      <c r="A52" s="228"/>
      <c r="B52" s="46"/>
      <c r="C52" s="46"/>
      <c r="D52" s="46"/>
      <c r="E52" s="46"/>
    </row>
  </sheetData>
  <hyperlinks>
    <hyperlink ref="A5" location="H00_ÍNDICE!A1" tooltip="Ir a H00_ÍNDICE" display="H00_ÍNDICE" xr:uid="{257A3C1B-4CD8-4DF4-BED7-4BE3847F1C5F}"/>
    <hyperlink ref="A6" location="H01_PARÁMETROS!A1" tooltip="Ir a H01_PARÁMETROS" display="H01_PARÁMETROS" xr:uid="{8DD603B5-5E90-4F0F-9CB0-3A2465BCC7A7}"/>
    <hyperlink ref="A7" location="H02_GLOSARIO_TERRA!A1" tooltip="Ir a H02_GLOSARIO_TERRA" display="H02_GLOSARIO_TERRA" xr:uid="{D1AE4EA3-C3C4-4917-BE2E-0E6B5A0F958C}"/>
    <hyperlink ref="A8" location="H03_S1_ELECTORAL_CNE!A1" tooltip="Ir a H03_S1_ELECTORAL_CNE" display="H03_S1_ELECTORAL_CNE" xr:uid="{0F221091-FE07-4AC4-A892-02736F866738}"/>
    <hyperlink ref="A9" location="H04_S2_PLANIFICACIÓN_PDOT!A1" tooltip="Ir a H04_S2_PLANIFICACIÓN_PDOT" display="H04_S2_PLANIFICACIÓN_PDOT" xr:uid="{EA602A5A-1DDC-45B3-9A78-B8F6A8F0D0FB}"/>
    <hyperlink ref="A10" location="H05_S3_OPERATIVO_POA!A1" tooltip="Ir a H05_S3_OPERATIVO_POA" display="H05_S3_OPERATIVO_POA" xr:uid="{9A10A822-CAF0-4A4F-9872-39F15AFC6669}"/>
    <hyperlink ref="A11" location="H06_S4_CONTRATACIÓN_SERCOP!A1" tooltip="Ir a H06_S4_CONTRATACIÓN_SERCOP" display="H06_S4_CONTRATACIÓN_SERCOP" xr:uid="{DF4480EE-17F5-4E51-9918-F8FD384A0BDD}"/>
    <hyperlink ref="A12" location="H07_S5_FINANCIERO_eSIGEF!A1" tooltip="Ir a H07_S5_FINANCIERO_eSIGEF" display="H07_S5_FINANCIERO_eSIGEF" xr:uid="{09E71523-C76D-477D-A0D5-61B17D61A6A7}"/>
    <hyperlink ref="A13" location="H08_S6_AUTOREPORTE_SIGAD!A1" tooltip="Ir a H08_S6_AUTOREPORTE_SIGAD" display="H08_S6_AUTOREPORTE_SIGAD" xr:uid="{BD34B447-78E0-4153-B5A5-07C811E05B0A}"/>
    <hyperlink ref="A14" location="H09_S7_TRANSPARENCIA_LOTAIP!A1" tooltip="Ir a H09_S7_TRANSPARENCIA_LOTAIP" display="H09_S7_TRANSPARENCIA_LOTAIP" xr:uid="{8DAE55FC-B72A-40D6-9B66-6D29AD4F6814}"/>
    <hyperlink ref="A15" location="H10_S8_PARTICIPACIÓN_CPCCS!A1" tooltip="Ir a H10_S8_PARTICIPACIÓN_CPCCS" display="H10_S8_PARTICIPACIÓN_CPCCS" xr:uid="{C77D3C11-1C17-4317-A47A-FBF9EF318329}"/>
    <hyperlink ref="A16" location="H11_S9_AGENDA_GLOBAL_ODS!A1" tooltip="Ir a H11_S9_AGENDA_GLOBAL_ODS" display="H11_S9_AGENDA_GLOBAL_ODS" xr:uid="{5E6467B6-2B5F-4D1B-9D57-4E252B70955A}"/>
    <hyperlink ref="A17" location="H12_MOTOR_ICPI_CANÓNICO!A1" tooltip="Ir a H12_MOTOR_ICPI_CANÓNICO" display="H12_MOTOR_ICPI_CANÓNICO" xr:uid="{5A59981D-BF3A-485A-87CD-98861314816C}"/>
    <hyperlink ref="A18" location="H13_VARIABLES_Vi!A1" tooltip="Ir a H13_VARIABLES_Vi" display="H13_VARIABLES_Vi" xr:uid="{93AA6AC4-2E3D-47FC-A579-34B0CBB33F58}"/>
    <hyperlink ref="A19" location="H14_PONDERADORES!A1" tooltip="Ir a H14_PONDERADORES" display="H14_PONDERADORES" xr:uid="{68340851-EB02-4B3A-A95E-F94056E02A43}"/>
    <hyperlink ref="A20" location="H15_ICPI_GLOBAL!A1" tooltip="Ir a H15_ICPI_GLOBAL" display="H15_ICPI_GLOBAL" xr:uid="{A81DB151-ADDD-4264-A611-361A97394344}"/>
    <hyperlink ref="A21" location="H16_IFE!A1" tooltip="Ir a H16_IFE" display="H16_IFE" xr:uid="{29E9BC1F-D302-491B-A6A3-D9CB8FED5DEE}"/>
    <hyperlink ref="A22" location="H17_IED!A1" tooltip="Ir a H17_IED" display="H17_IED" xr:uid="{114BC71D-E8AE-4838-B734-BD2B4BF7E8D2}"/>
    <hyperlink ref="A23" location="H18_ITAM!A1" tooltip="Ir a H18_ITAM" display="H18_ITAM" xr:uid="{44411E8F-5B2E-4053-8C88-15034484118C}"/>
    <hyperlink ref="A24" location="H19_ICS_ISP!A1" tooltip="Ir a H19_ICS_ISP" display="H19_ICS_ISP" xr:uid="{D34889FC-6C02-429E-95C4-FCF2B67060A2}"/>
    <hyperlink ref="A25" location="H20_ICODS!A1" tooltip="Ir a H20_ICODS" display="H20_ICODS" xr:uid="{236347A7-9B96-4447-B1EA-07693611AF7C}"/>
    <hyperlink ref="A26" location="H21_SAT-I!A1" tooltip="Ir a H21_SAT-I" display="H21_SAT-I" xr:uid="{7574DBF4-EDAE-4338-8007-F633DDF50942}"/>
    <hyperlink ref="A27" location="H22_SAT-II!A1" tooltip="Ir a H22_SAT-II" display="H22_SAT-II" xr:uid="{8F2FC587-9561-4DC9-A020-344523CACB60}"/>
    <hyperlink ref="A28" location="H23_SAT-III!A1" tooltip="Ir a H23_SAT-III" display="H23_SAT-III" xr:uid="{93B11236-EEC7-478D-A422-6A6E8789C3ED}"/>
    <hyperlink ref="A29" location="H24_SAT-IV!A1" tooltip="Ir a H24_SAT-IV" display="H24_SAT-IV" xr:uid="{FCF4E97C-A8DB-4918-B1A5-3438DCCC5804}"/>
    <hyperlink ref="A30" location="H25_MMP_MENSUAL!A1" tooltip="Ir a H25_MMP_MENSUAL" display="H25_MMP_MENSUAL" xr:uid="{47644FF6-005C-4E24-932A-448A94D71F3A}"/>
    <hyperlink ref="A31" location="H26_MMP_TRIMESTRAL!A1" tooltip="Ir a H26_MMP_TRIMESTRAL" display="H26_MMP_TRIMESTRAL" xr:uid="{99934E91-D21E-40C4-B408-38F789D73454}"/>
    <hyperlink ref="A32" location="H27_MMP_ANUAL!A1" tooltip="Ir a H27_MMP_ANUAL" display="H27_MMP_ANUAL" xr:uid="{06BCEA70-0C13-4A2E-9D4D-AE8094B0F101}"/>
    <hyperlink ref="A33" location="H28_RESUMEN_EJECUTIVO!A1" tooltip="Ir a H28_RESUMEN_EJECUTIVO" display="H28_RESUMEN_EJECUTIVO" xr:uid="{67C01348-1EBC-4B36-893C-B8E675189FBF}"/>
    <hyperlink ref="A34" location="H29_TABLERO_ALCALDE!A1" tooltip="Ir a H29_TABLERO_ALCALDE" display="H29_TABLERO_ALCALDE" xr:uid="{F8130542-FB8A-4FCD-AE79-E4BDB44F77F1}"/>
    <hyperlink ref="A35" location="H30_IED_POR_DIRECCIÓN!A1" tooltip="Ir a H30_IED_POR_DIRECCIÓN" display="H30_IED_POR_DIRECCIÓN" xr:uid="{94ED65A8-56BD-4EC6-A1FE-31342FC8FC05}"/>
    <hyperlink ref="A36" location="H31_REPORTE_CPCCS!A1" tooltip="Ir a H31_REPORTE_CPCCS" display="H31_REPORTE_CPCCS" xr:uid="{7BABCFDE-4977-4262-B0AC-CD56E76D9665}"/>
    <hyperlink ref="A37" location="H32_REPORTE_ODS_BILATERALES!A1" tooltip="Ir a H32_REPORTE_ODS_BILATERALES" display="H32_REPORTE_ODS_BILATERALES" xr:uid="{44EA6AB5-FC97-4E48-B00F-233F3461B42C}"/>
    <hyperlink ref="A38" location="H33_TAC_TERRA_CIUDADANA!A1" tooltip="Ir a H33_TAC_TERRA_CIUDADANA" display="H33_TAC_TERRA_CIUDADANA" xr:uid="{7B0C2E0C-E510-4930-84D1-D8938D070155}"/>
    <hyperlink ref="A39" location="H34_CERTIFICADO_TERRA!A1" tooltip="Ir a H34_CERTIFICADO_TERRA" display="H34_CERTIFICADO_TERRA" xr:uid="{6B5E8EEE-AC21-429A-B4CC-AF39F5ABDEED}"/>
    <hyperlink ref="A40" location="H35_DATASET_ACADEMIA!A1" tooltip="Ir a H35_DATASET_ACADEMIA" display="H35_DATASET_ACADEMIA" xr:uid="{D0F4B977-D0A6-4BF1-8360-1FBCCF1FDFE7}"/>
    <hyperlink ref="A41" location="H36_TERRA_BRIDGE!A1" tooltip="Ir a H36_TERRA_BRIDGE" display="H36_TERRA_BRIDGE" xr:uid="{131A7008-EA60-4828-886E-4C296110A776}"/>
    <hyperlink ref="B1" location="'H00_ÍNDICE'!A1" display="⬅️ ÍNDICE GENERAL" xr:uid="{CB91C457-5A85-43D9-8387-2C465C3DD8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CA4A-BFD3-4D48-A328-DF3D741D77EC}">
  <sheetPr>
    <tabColor rgb="FF003087"/>
  </sheetPr>
  <dimension ref="A1:F53"/>
  <sheetViews>
    <sheetView zoomScale="56" zoomScaleNormal="56" workbookViewId="0">
      <pane ySplit="2" topLeftCell="A3" activePane="bottomLeft" state="frozen"/>
      <selection pane="bottomLeft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11.5546875" bestFit="1" customWidth="1"/>
    <col min="4" max="4" width="24.109375" bestFit="1" customWidth="1"/>
    <col min="5" max="5" width="10.109375" bestFit="1" customWidth="1"/>
    <col min="6" max="6" width="6.109375" bestFit="1" customWidth="1"/>
  </cols>
  <sheetData>
    <row r="1" spans="1:6" ht="18" customHeight="1" x14ac:dyDescent="0.35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1129</v>
      </c>
      <c r="E1" s="212" t="str">
        <f ca="1">TEXT(TODAY(),"DD/MM/YYYY")</f>
        <v>05/04/2026</v>
      </c>
      <c r="F1" s="1"/>
    </row>
    <row r="2" spans="1:6" ht="30" customHeight="1" x14ac:dyDescent="0.35">
      <c r="A2" s="1" t="s">
        <v>16</v>
      </c>
      <c r="B2" s="1"/>
      <c r="C2" s="1"/>
      <c r="D2" s="1"/>
      <c r="E2" s="1"/>
      <c r="F2" s="1"/>
    </row>
    <row r="3" spans="1:6" ht="19.95" customHeight="1" x14ac:dyDescent="0.3">
      <c r="A3" s="2" t="s">
        <v>17</v>
      </c>
      <c r="B3" s="2"/>
      <c r="C3" s="2"/>
      <c r="D3" s="2"/>
      <c r="E3" s="2"/>
      <c r="F3" s="2"/>
    </row>
    <row r="4" spans="1:6" ht="19.95" customHeight="1" x14ac:dyDescent="0.3">
      <c r="A4" s="29"/>
      <c r="B4" s="29"/>
      <c r="C4" s="29"/>
      <c r="D4" s="29"/>
      <c r="E4" s="29"/>
      <c r="F4" s="29"/>
    </row>
    <row r="5" spans="1:6" x14ac:dyDescent="0.3">
      <c r="A5" s="4" t="s">
        <v>18</v>
      </c>
    </row>
    <row r="6" spans="1:6" x14ac:dyDescent="0.3">
      <c r="A6" t="s">
        <v>19</v>
      </c>
      <c r="B6" t="s">
        <v>20</v>
      </c>
    </row>
    <row r="7" spans="1:6" x14ac:dyDescent="0.3">
      <c r="A7" s="48" t="s">
        <v>21</v>
      </c>
      <c r="B7" s="234">
        <v>130801</v>
      </c>
      <c r="C7" s="34"/>
      <c r="D7" s="34"/>
      <c r="E7" s="34"/>
      <c r="F7" s="34"/>
    </row>
    <row r="8" spans="1:6" x14ac:dyDescent="0.3">
      <c r="A8" s="49" t="s">
        <v>22</v>
      </c>
      <c r="B8" s="235">
        <v>1360000430001</v>
      </c>
      <c r="C8" s="36"/>
      <c r="D8" s="36"/>
      <c r="E8" s="36"/>
      <c r="F8" s="36"/>
    </row>
    <row r="9" spans="1:6" x14ac:dyDescent="0.3">
      <c r="A9" s="50" t="s">
        <v>23</v>
      </c>
      <c r="B9" s="236" t="s">
        <v>24</v>
      </c>
      <c r="C9" s="39"/>
      <c r="D9" s="39"/>
      <c r="E9" s="39"/>
      <c r="F9" s="39"/>
    </row>
    <row r="10" spans="1:6" x14ac:dyDescent="0.3">
      <c r="A10" s="49" t="s">
        <v>25</v>
      </c>
      <c r="B10" s="235" t="s">
        <v>26</v>
      </c>
      <c r="C10" s="36"/>
      <c r="D10" s="36"/>
      <c r="E10" s="36"/>
      <c r="F10" s="36"/>
    </row>
    <row r="11" spans="1:6" x14ac:dyDescent="0.3">
      <c r="A11" s="50" t="s">
        <v>27</v>
      </c>
      <c r="B11" s="236" t="s">
        <v>1218</v>
      </c>
      <c r="C11" s="39"/>
      <c r="D11" s="39"/>
      <c r="E11" s="39"/>
      <c r="F11" s="39"/>
    </row>
    <row r="12" spans="1:6" x14ac:dyDescent="0.3">
      <c r="A12" s="49" t="s">
        <v>28</v>
      </c>
      <c r="B12" s="237">
        <v>1</v>
      </c>
      <c r="C12" s="36"/>
      <c r="D12" s="36"/>
      <c r="E12" s="36"/>
      <c r="F12" s="36"/>
    </row>
    <row r="13" spans="1:6" x14ac:dyDescent="0.3">
      <c r="A13" s="50" t="s">
        <v>29</v>
      </c>
      <c r="B13" s="238" t="s">
        <v>83</v>
      </c>
      <c r="C13" s="39"/>
      <c r="D13" s="39"/>
      <c r="E13" s="39"/>
      <c r="F13" s="39"/>
    </row>
    <row r="14" spans="1:6" x14ac:dyDescent="0.3">
      <c r="A14" s="49" t="s">
        <v>31</v>
      </c>
      <c r="B14" s="235">
        <v>2024</v>
      </c>
      <c r="C14" s="36"/>
      <c r="D14" s="36"/>
      <c r="E14" s="36"/>
      <c r="F14" s="36"/>
    </row>
    <row r="15" spans="1:6" x14ac:dyDescent="0.3">
      <c r="A15" s="50" t="s">
        <v>32</v>
      </c>
      <c r="B15" s="236">
        <v>20</v>
      </c>
      <c r="C15" s="39"/>
      <c r="D15" s="39"/>
      <c r="E15" s="39"/>
      <c r="F15" s="39"/>
    </row>
    <row r="16" spans="1:6" x14ac:dyDescent="0.3">
      <c r="A16" s="49" t="s">
        <v>33</v>
      </c>
      <c r="B16" s="235">
        <v>25</v>
      </c>
      <c r="C16" s="36"/>
      <c r="D16" s="36"/>
      <c r="E16" s="36"/>
      <c r="F16" s="36"/>
    </row>
    <row r="17" spans="1:6" x14ac:dyDescent="0.3">
      <c r="A17" s="50"/>
      <c r="B17" s="236"/>
      <c r="C17" s="39"/>
      <c r="D17" s="39"/>
      <c r="E17" s="39"/>
      <c r="F17" s="39"/>
    </row>
    <row r="18" spans="1:6" x14ac:dyDescent="0.3">
      <c r="A18" s="41" t="s">
        <v>34</v>
      </c>
      <c r="B18" s="36"/>
      <c r="C18" s="36"/>
      <c r="D18" s="36"/>
      <c r="E18" s="36"/>
      <c r="F18" s="36"/>
    </row>
    <row r="19" spans="1:6" x14ac:dyDescent="0.3">
      <c r="A19" s="31" t="s">
        <v>2</v>
      </c>
      <c r="B19" s="100" t="s">
        <v>868</v>
      </c>
      <c r="C19" s="100" t="s">
        <v>869</v>
      </c>
      <c r="D19" s="100" t="s">
        <v>35</v>
      </c>
      <c r="E19" s="100" t="s">
        <v>36</v>
      </c>
      <c r="F19" s="100" t="s">
        <v>37</v>
      </c>
    </row>
    <row r="20" spans="1:6" ht="18" x14ac:dyDescent="0.35">
      <c r="A20" s="145">
        <v>5</v>
      </c>
      <c r="B20" s="146">
        <v>90</v>
      </c>
      <c r="C20" s="146">
        <v>100</v>
      </c>
      <c r="D20" s="100" t="s">
        <v>38</v>
      </c>
      <c r="E20" s="100" t="s">
        <v>39</v>
      </c>
      <c r="F20" s="147" t="s">
        <v>40</v>
      </c>
    </row>
    <row r="21" spans="1:6" ht="18" x14ac:dyDescent="0.35">
      <c r="A21" s="148">
        <v>4</v>
      </c>
      <c r="B21" s="149">
        <v>70</v>
      </c>
      <c r="C21" s="149">
        <v>89</v>
      </c>
      <c r="D21" s="143" t="s">
        <v>41</v>
      </c>
      <c r="E21" s="143" t="s">
        <v>42</v>
      </c>
      <c r="F21" s="150" t="s">
        <v>43</v>
      </c>
    </row>
    <row r="22" spans="1:6" ht="18" x14ac:dyDescent="0.35">
      <c r="A22" s="152">
        <v>3</v>
      </c>
      <c r="B22" s="153">
        <v>40</v>
      </c>
      <c r="C22" s="153">
        <v>69</v>
      </c>
      <c r="D22" s="151" t="s">
        <v>44</v>
      </c>
      <c r="E22" s="151" t="s">
        <v>45</v>
      </c>
      <c r="F22" s="154" t="s">
        <v>46</v>
      </c>
    </row>
    <row r="23" spans="1:6" ht="18" x14ac:dyDescent="0.35">
      <c r="A23" s="156">
        <v>2</v>
      </c>
      <c r="B23" s="157">
        <v>20</v>
      </c>
      <c r="C23" s="157">
        <v>39</v>
      </c>
      <c r="D23" s="155" t="s">
        <v>47</v>
      </c>
      <c r="E23" s="155" t="s">
        <v>48</v>
      </c>
      <c r="F23" s="158" t="s">
        <v>49</v>
      </c>
    </row>
    <row r="24" spans="1:6" ht="18" x14ac:dyDescent="0.35">
      <c r="A24" s="159">
        <v>1</v>
      </c>
      <c r="B24" s="160">
        <v>0</v>
      </c>
      <c r="C24" s="160">
        <v>19</v>
      </c>
      <c r="D24" s="144" t="s">
        <v>50</v>
      </c>
      <c r="E24" s="144" t="s">
        <v>51</v>
      </c>
      <c r="F24" s="161" t="s">
        <v>52</v>
      </c>
    </row>
    <row r="25" spans="1:6" x14ac:dyDescent="0.3">
      <c r="A25" s="53" t="s">
        <v>53</v>
      </c>
      <c r="B25" s="39"/>
      <c r="C25" s="39"/>
      <c r="D25" s="39"/>
      <c r="E25" s="39"/>
      <c r="F25" s="39"/>
    </row>
    <row r="26" spans="1:6" x14ac:dyDescent="0.3">
      <c r="A26" s="54" t="s">
        <v>54</v>
      </c>
      <c r="B26" s="36"/>
      <c r="C26" s="36"/>
      <c r="D26" s="36"/>
      <c r="E26" s="36"/>
      <c r="F26" s="36"/>
    </row>
    <row r="27" spans="1:6" x14ac:dyDescent="0.3">
      <c r="A27" s="42" t="s">
        <v>55</v>
      </c>
      <c r="B27" s="39"/>
      <c r="C27" s="39"/>
      <c r="D27" s="39"/>
      <c r="E27" s="39"/>
      <c r="F27" s="39"/>
    </row>
    <row r="28" spans="1:6" x14ac:dyDescent="0.3">
      <c r="A28" s="49" t="s">
        <v>56</v>
      </c>
      <c r="B28" s="239">
        <v>26689147</v>
      </c>
      <c r="C28" s="36"/>
      <c r="D28" s="36"/>
      <c r="E28" s="36"/>
      <c r="F28" s="36"/>
    </row>
    <row r="29" spans="1:6" x14ac:dyDescent="0.3">
      <c r="A29" s="50" t="s">
        <v>57</v>
      </c>
      <c r="B29" s="240">
        <f>B28*0.1</f>
        <v>2668914.7000000002</v>
      </c>
      <c r="C29" s="39"/>
      <c r="D29" s="39"/>
      <c r="E29" s="39"/>
      <c r="F29" s="39"/>
    </row>
    <row r="30" spans="1:6" x14ac:dyDescent="0.3">
      <c r="A30" s="49" t="s">
        <v>58</v>
      </c>
      <c r="B30" s="241" t="s">
        <v>84</v>
      </c>
      <c r="C30" s="36"/>
      <c r="D30" s="36"/>
      <c r="E30" s="36"/>
      <c r="F30" s="36"/>
    </row>
    <row r="31" spans="1:6" x14ac:dyDescent="0.3">
      <c r="A31" s="50" t="s">
        <v>59</v>
      </c>
      <c r="B31" s="238" t="s">
        <v>85</v>
      </c>
      <c r="C31" s="39"/>
      <c r="D31" s="39"/>
      <c r="E31" s="39"/>
      <c r="F31" s="39"/>
    </row>
    <row r="32" spans="1:6" x14ac:dyDescent="0.3">
      <c r="A32" s="49" t="s">
        <v>60</v>
      </c>
      <c r="B32" s="242">
        <v>0.65</v>
      </c>
      <c r="C32" s="36"/>
      <c r="D32" s="36"/>
      <c r="E32" s="36"/>
      <c r="F32" s="36"/>
    </row>
    <row r="33" spans="1:6" x14ac:dyDescent="0.3">
      <c r="A33" s="50" t="s">
        <v>61</v>
      </c>
      <c r="B33" s="243">
        <v>0.35</v>
      </c>
      <c r="C33" s="39"/>
      <c r="D33" s="39"/>
      <c r="E33" s="39"/>
      <c r="F33" s="39"/>
    </row>
    <row r="34" spans="1:6" x14ac:dyDescent="0.3">
      <c r="A34" s="49" t="s">
        <v>62</v>
      </c>
      <c r="B34" s="235" t="str">
        <f>IF(B13&gt;=B31,"SÍ","NO")</f>
        <v>NO</v>
      </c>
      <c r="C34" s="36"/>
      <c r="D34" s="36"/>
      <c r="E34" s="36"/>
      <c r="F34" s="36"/>
    </row>
    <row r="35" spans="1:6" x14ac:dyDescent="0.3">
      <c r="A35" s="60" t="s">
        <v>63</v>
      </c>
      <c r="B35" s="236"/>
      <c r="C35" s="39"/>
      <c r="D35" s="39"/>
      <c r="E35" s="39"/>
      <c r="F35" s="39"/>
    </row>
    <row r="36" spans="1:6" x14ac:dyDescent="0.3">
      <c r="A36" s="49" t="s">
        <v>64</v>
      </c>
      <c r="B36" s="235">
        <v>1.1499999999999999</v>
      </c>
      <c r="C36" s="36"/>
      <c r="D36" s="36"/>
      <c r="E36" s="36"/>
      <c r="F36" s="36"/>
    </row>
    <row r="37" spans="1:6" x14ac:dyDescent="0.3">
      <c r="A37" s="50" t="s">
        <v>65</v>
      </c>
      <c r="B37" s="236">
        <v>1.1499999999999999</v>
      </c>
      <c r="C37" s="39"/>
      <c r="D37" s="39"/>
      <c r="E37" s="39"/>
      <c r="F37" s="39"/>
    </row>
    <row r="38" spans="1:6" x14ac:dyDescent="0.3">
      <c r="A38" s="49" t="s">
        <v>66</v>
      </c>
      <c r="B38" s="37" t="s">
        <v>67</v>
      </c>
      <c r="C38" s="36"/>
      <c r="D38" s="36"/>
      <c r="E38" s="36"/>
      <c r="F38" s="36"/>
    </row>
    <row r="39" spans="1:6" x14ac:dyDescent="0.3">
      <c r="A39" s="50"/>
      <c r="B39" s="39"/>
      <c r="C39" s="39"/>
      <c r="D39" s="39"/>
      <c r="E39" s="39"/>
      <c r="F39" s="39"/>
    </row>
    <row r="40" spans="1:6" x14ac:dyDescent="0.3">
      <c r="A40" s="41" t="s">
        <v>68</v>
      </c>
      <c r="B40" s="36"/>
      <c r="C40" s="36"/>
      <c r="D40" s="36"/>
      <c r="E40" s="36"/>
      <c r="F40" s="36"/>
    </row>
    <row r="41" spans="1:6" x14ac:dyDescent="0.3">
      <c r="A41" s="50" t="s">
        <v>69</v>
      </c>
      <c r="B41" s="244">
        <v>0.8</v>
      </c>
      <c r="C41" s="39"/>
      <c r="D41" s="39"/>
      <c r="E41" s="39"/>
      <c r="F41" s="39"/>
    </row>
    <row r="42" spans="1:6" x14ac:dyDescent="0.3">
      <c r="A42" s="49" t="s">
        <v>70</v>
      </c>
      <c r="B42" s="237">
        <v>0.1</v>
      </c>
      <c r="C42" s="36"/>
      <c r="D42" s="36"/>
      <c r="E42" s="36"/>
      <c r="F42" s="36"/>
    </row>
    <row r="43" spans="1:6" x14ac:dyDescent="0.3">
      <c r="A43" s="50" t="s">
        <v>71</v>
      </c>
      <c r="B43" s="244">
        <v>0.05</v>
      </c>
      <c r="C43" s="39"/>
      <c r="D43" s="39"/>
      <c r="E43" s="39"/>
      <c r="F43" s="39"/>
    </row>
    <row r="44" spans="1:6" x14ac:dyDescent="0.3">
      <c r="A44" s="49" t="s">
        <v>72</v>
      </c>
      <c r="B44" s="237">
        <v>5</v>
      </c>
      <c r="C44" s="36"/>
      <c r="D44" s="36"/>
      <c r="E44" s="36"/>
      <c r="F44" s="36"/>
    </row>
    <row r="45" spans="1:6" x14ac:dyDescent="0.3">
      <c r="A45" s="50" t="s">
        <v>73</v>
      </c>
      <c r="B45" s="244">
        <v>0.1</v>
      </c>
      <c r="C45" s="39"/>
      <c r="D45" s="39"/>
      <c r="E45" s="39"/>
      <c r="F45" s="39"/>
    </row>
    <row r="46" spans="1:6" x14ac:dyDescent="0.3">
      <c r="A46" s="49" t="s">
        <v>74</v>
      </c>
      <c r="B46" s="237">
        <v>0.3</v>
      </c>
      <c r="C46" s="36"/>
      <c r="D46" s="36"/>
      <c r="E46" s="36"/>
      <c r="F46" s="36"/>
    </row>
    <row r="47" spans="1:6" x14ac:dyDescent="0.3">
      <c r="A47" s="50"/>
      <c r="B47" s="39"/>
      <c r="C47" s="39"/>
      <c r="D47" s="39"/>
      <c r="E47" s="39"/>
      <c r="F47" s="39"/>
    </row>
    <row r="48" spans="1:6" x14ac:dyDescent="0.3">
      <c r="A48" s="49"/>
      <c r="B48" s="36"/>
      <c r="C48" s="36"/>
      <c r="D48" s="36"/>
      <c r="E48" s="36"/>
      <c r="F48" s="36"/>
    </row>
    <row r="49" spans="1:6" x14ac:dyDescent="0.3">
      <c r="A49" s="42" t="s">
        <v>75</v>
      </c>
      <c r="B49" s="39"/>
      <c r="C49" s="39"/>
      <c r="D49" s="39"/>
      <c r="E49" s="39"/>
      <c r="F49" s="39"/>
    </row>
    <row r="50" spans="1:6" x14ac:dyDescent="0.3">
      <c r="A50" s="49" t="s">
        <v>76</v>
      </c>
      <c r="B50" s="235" t="s">
        <v>77</v>
      </c>
      <c r="C50" s="36"/>
      <c r="D50" s="36"/>
      <c r="E50" s="36"/>
      <c r="F50" s="36"/>
    </row>
    <row r="51" spans="1:6" x14ac:dyDescent="0.3">
      <c r="A51" s="50" t="s">
        <v>78</v>
      </c>
      <c r="B51" s="236" t="s">
        <v>79</v>
      </c>
      <c r="C51" s="39"/>
      <c r="D51" s="39"/>
      <c r="E51" s="39"/>
      <c r="F51" s="39"/>
    </row>
    <row r="52" spans="1:6" x14ac:dyDescent="0.3">
      <c r="A52" s="49" t="s">
        <v>80</v>
      </c>
      <c r="B52" s="235">
        <v>96</v>
      </c>
      <c r="C52" s="36"/>
      <c r="D52" s="36"/>
      <c r="E52" s="36"/>
      <c r="F52" s="36"/>
    </row>
    <row r="53" spans="1:6" x14ac:dyDescent="0.3">
      <c r="A53" s="62" t="s">
        <v>81</v>
      </c>
      <c r="B53" s="245" t="s">
        <v>82</v>
      </c>
      <c r="C53" s="63"/>
      <c r="D53" s="63"/>
      <c r="E53" s="63"/>
      <c r="F53" s="63"/>
    </row>
  </sheetData>
  <hyperlinks>
    <hyperlink ref="B1" location="'H00_ÍNDICE'!A1" display="⬅️ ÍNDICE GENERAL" xr:uid="{9DA19E59-89EA-4A3D-89BA-50CEC07CF2C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9F96-2F48-4EF7-B723-F6B59754F309}">
  <sheetPr>
    <tabColor rgb="FF003087"/>
  </sheetPr>
  <dimension ref="A1:Z57"/>
  <sheetViews>
    <sheetView topLeftCell="D1" workbookViewId="0">
      <pane ySplit="2" topLeftCell="A5" activePane="bottomLeft" state="frozen"/>
      <selection activeCell="D1" sqref="D1"/>
      <selection pane="bottomLeft" activeCell="D26" sqref="D26"/>
    </sheetView>
  </sheetViews>
  <sheetFormatPr baseColWidth="10" defaultRowHeight="14.4" x14ac:dyDescent="0.3"/>
  <cols>
    <col min="1" max="1" width="20" customWidth="1"/>
    <col min="2" max="2" width="20.33203125" customWidth="1"/>
    <col min="3" max="3" width="42.5546875" customWidth="1"/>
    <col min="4" max="4" width="64.77734375" customWidth="1"/>
    <col min="5" max="5" width="27.77734375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1130</v>
      </c>
      <c r="E1" s="212" t="str">
        <f ca="1">TEXT(TODAY(),"DD/MM/YYYY")</f>
        <v>05/04/2026</v>
      </c>
    </row>
    <row r="2" spans="1:26" ht="30" customHeight="1" x14ac:dyDescent="0.35">
      <c r="A2" s="1" t="s">
        <v>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87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46" t="s">
        <v>88</v>
      </c>
      <c r="B5" s="30" t="s">
        <v>89</v>
      </c>
      <c r="C5" s="30" t="s">
        <v>90</v>
      </c>
      <c r="D5" s="30" t="s">
        <v>91</v>
      </c>
      <c r="E5" s="30" t="s">
        <v>92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>
        <v>1</v>
      </c>
      <c r="B6" t="s">
        <v>93</v>
      </c>
      <c r="C6" t="s">
        <v>94</v>
      </c>
      <c r="D6" t="s">
        <v>95</v>
      </c>
      <c r="E6" t="s">
        <v>96</v>
      </c>
    </row>
    <row r="7" spans="1:26" x14ac:dyDescent="0.3">
      <c r="A7">
        <v>2</v>
      </c>
      <c r="B7" t="s">
        <v>97</v>
      </c>
      <c r="C7" t="s">
        <v>98</v>
      </c>
      <c r="D7" t="s">
        <v>99</v>
      </c>
      <c r="E7" t="s">
        <v>100</v>
      </c>
    </row>
    <row r="8" spans="1:26" x14ac:dyDescent="0.3">
      <c r="A8" s="48">
        <v>3</v>
      </c>
      <c r="B8" s="34" t="s">
        <v>101</v>
      </c>
      <c r="C8" s="34" t="s">
        <v>102</v>
      </c>
      <c r="D8" s="34" t="s">
        <v>103</v>
      </c>
      <c r="E8" s="34" t="s">
        <v>104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9">
        <v>4</v>
      </c>
      <c r="B9" s="36" t="s">
        <v>4</v>
      </c>
      <c r="C9" s="36" t="s">
        <v>105</v>
      </c>
      <c r="D9" s="36" t="s">
        <v>106</v>
      </c>
      <c r="E9" s="36" t="s">
        <v>107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>
        <v>5</v>
      </c>
      <c r="B10" s="39" t="s">
        <v>5</v>
      </c>
      <c r="C10" s="39" t="s">
        <v>108</v>
      </c>
      <c r="D10" s="39" t="s">
        <v>109</v>
      </c>
      <c r="E10" s="39" t="s">
        <v>110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>
        <v>6</v>
      </c>
      <c r="B11" s="36" t="s">
        <v>6</v>
      </c>
      <c r="C11" s="36" t="s">
        <v>111</v>
      </c>
      <c r="D11" s="36" t="s">
        <v>112</v>
      </c>
      <c r="E11" s="36" t="s">
        <v>113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50">
        <v>7</v>
      </c>
      <c r="B12" s="39" t="s">
        <v>114</v>
      </c>
      <c r="C12" s="39" t="s">
        <v>115</v>
      </c>
      <c r="D12" s="39" t="s">
        <v>116</v>
      </c>
      <c r="E12" s="39" t="s">
        <v>117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>
        <v>8</v>
      </c>
      <c r="B13" s="36" t="s">
        <v>118</v>
      </c>
      <c r="C13" s="36" t="s">
        <v>119</v>
      </c>
      <c r="D13" s="36" t="s">
        <v>120</v>
      </c>
      <c r="E13" s="36" t="s">
        <v>121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>
        <v>9</v>
      </c>
      <c r="B14" s="39" t="s">
        <v>8</v>
      </c>
      <c r="C14" s="39" t="s">
        <v>122</v>
      </c>
      <c r="D14" s="39" t="s">
        <v>123</v>
      </c>
      <c r="E14" s="39" t="s">
        <v>124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>
        <v>10</v>
      </c>
      <c r="B15" s="36" t="s">
        <v>125</v>
      </c>
      <c r="C15" s="36" t="s">
        <v>126</v>
      </c>
      <c r="D15" s="36" t="s">
        <v>127</v>
      </c>
      <c r="E15" s="36" t="s">
        <v>128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>
        <v>11</v>
      </c>
      <c r="B16" s="39" t="s">
        <v>129</v>
      </c>
      <c r="C16" s="39" t="s">
        <v>130</v>
      </c>
      <c r="D16" s="39" t="s">
        <v>131</v>
      </c>
      <c r="E16" s="39" t="s">
        <v>132</v>
      </c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>
        <v>12</v>
      </c>
      <c r="B17" s="36" t="s">
        <v>1350</v>
      </c>
      <c r="C17" s="36" t="s">
        <v>133</v>
      </c>
      <c r="D17" s="36" t="s">
        <v>134</v>
      </c>
      <c r="E17" s="36" t="s">
        <v>135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>
        <v>13</v>
      </c>
      <c r="B18" s="39" t="s">
        <v>136</v>
      </c>
      <c r="C18" s="39" t="s">
        <v>137</v>
      </c>
      <c r="D18" s="39" t="s">
        <v>138</v>
      </c>
      <c r="E18" s="39" t="s">
        <v>139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>
        <v>14</v>
      </c>
      <c r="B19" s="36" t="s">
        <v>140</v>
      </c>
      <c r="C19" s="36" t="s">
        <v>141</v>
      </c>
      <c r="D19" s="36" t="s">
        <v>142</v>
      </c>
      <c r="E19" s="36" t="s">
        <v>143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62">
        <v>15</v>
      </c>
      <c r="B20" s="63" t="s">
        <v>144</v>
      </c>
      <c r="C20" s="63" t="s">
        <v>145</v>
      </c>
      <c r="D20" s="63" t="s">
        <v>146</v>
      </c>
      <c r="E20" s="63" t="s">
        <v>147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4"/>
    </row>
    <row r="21" spans="1:26" ht="6" customHeight="1" x14ac:dyDescent="0.3">
      <c r="A21" s="278"/>
      <c r="B21" s="278"/>
      <c r="C21" s="278"/>
      <c r="D21" s="278"/>
      <c r="E21" s="278"/>
    </row>
    <row r="22" spans="1:26" ht="19.95" customHeight="1" x14ac:dyDescent="0.3">
      <c r="A22" s="279" t="s">
        <v>88</v>
      </c>
      <c r="B22" s="284" t="s">
        <v>1371</v>
      </c>
      <c r="C22" s="279" t="s">
        <v>1372</v>
      </c>
      <c r="D22" s="279" t="s">
        <v>1373</v>
      </c>
      <c r="E22" s="279" t="s">
        <v>756</v>
      </c>
    </row>
    <row r="23" spans="1:26" x14ac:dyDescent="0.3">
      <c r="A23" s="280"/>
      <c r="B23" s="280" t="s">
        <v>1374</v>
      </c>
      <c r="C23" s="280" t="s">
        <v>1375</v>
      </c>
      <c r="D23" s="280" t="s">
        <v>1376</v>
      </c>
      <c r="E23" s="280" t="s">
        <v>1377</v>
      </c>
    </row>
    <row r="24" spans="1:26" ht="18" customHeight="1" x14ac:dyDescent="0.3">
      <c r="A24" s="281">
        <v>1</v>
      </c>
      <c r="B24" s="281" t="s">
        <v>1378</v>
      </c>
      <c r="C24" s="281" t="s">
        <v>1379</v>
      </c>
      <c r="D24" s="281" t="s">
        <v>1380</v>
      </c>
      <c r="E24" s="281" t="s">
        <v>1381</v>
      </c>
    </row>
    <row r="25" spans="1:26" ht="18" customHeight="1" x14ac:dyDescent="0.3">
      <c r="A25" s="282">
        <v>2</v>
      </c>
      <c r="B25" s="282" t="s">
        <v>1382</v>
      </c>
      <c r="C25" s="282" t="s">
        <v>1383</v>
      </c>
      <c r="D25" s="282" t="s">
        <v>1384</v>
      </c>
      <c r="E25" s="282" t="s">
        <v>1385</v>
      </c>
    </row>
    <row r="26" spans="1:26" ht="18" customHeight="1" x14ac:dyDescent="0.3">
      <c r="A26" s="281">
        <v>3</v>
      </c>
      <c r="B26" s="281" t="s">
        <v>1386</v>
      </c>
      <c r="C26" s="281" t="s">
        <v>1387</v>
      </c>
      <c r="D26" s="281" t="s">
        <v>1388</v>
      </c>
      <c r="E26" s="281" t="s">
        <v>1389</v>
      </c>
    </row>
    <row r="27" spans="1:26" ht="18" customHeight="1" x14ac:dyDescent="0.3">
      <c r="A27" s="282">
        <v>4</v>
      </c>
      <c r="B27" s="282" t="s">
        <v>1390</v>
      </c>
      <c r="C27" s="282" t="s">
        <v>1391</v>
      </c>
      <c r="D27" s="282" t="s">
        <v>1392</v>
      </c>
      <c r="E27" s="282" t="s">
        <v>1393</v>
      </c>
    </row>
    <row r="28" spans="1:26" ht="18" customHeight="1" x14ac:dyDescent="0.3">
      <c r="A28" s="281">
        <v>5</v>
      </c>
      <c r="B28" s="281" t="s">
        <v>1394</v>
      </c>
      <c r="C28" s="281" t="s">
        <v>1395</v>
      </c>
      <c r="D28" s="281" t="s">
        <v>1396</v>
      </c>
      <c r="E28" s="281" t="s">
        <v>1397</v>
      </c>
    </row>
    <row r="29" spans="1:26" ht="18" customHeight="1" x14ac:dyDescent="0.3">
      <c r="A29" s="282">
        <v>6</v>
      </c>
      <c r="B29" s="282" t="s">
        <v>1398</v>
      </c>
      <c r="C29" s="282" t="s">
        <v>1399</v>
      </c>
      <c r="D29" s="282" t="s">
        <v>1400</v>
      </c>
      <c r="E29" s="282" t="s">
        <v>1401</v>
      </c>
    </row>
    <row r="30" spans="1:26" ht="18" customHeight="1" x14ac:dyDescent="0.3">
      <c r="A30" s="281">
        <v>7</v>
      </c>
      <c r="B30" s="281" t="s">
        <v>1402</v>
      </c>
      <c r="C30" s="281" t="s">
        <v>1403</v>
      </c>
      <c r="D30" s="281" t="s">
        <v>1404</v>
      </c>
      <c r="E30" s="281" t="s">
        <v>1405</v>
      </c>
    </row>
    <row r="31" spans="1:26" ht="18" customHeight="1" x14ac:dyDescent="0.3">
      <c r="A31" s="282">
        <v>8</v>
      </c>
      <c r="B31" s="282" t="s">
        <v>1406</v>
      </c>
      <c r="C31" s="282" t="s">
        <v>1407</v>
      </c>
      <c r="D31" s="282" t="s">
        <v>1408</v>
      </c>
      <c r="E31" s="282" t="s">
        <v>1409</v>
      </c>
    </row>
    <row r="32" spans="1:26" ht="18" customHeight="1" x14ac:dyDescent="0.3">
      <c r="A32" s="281">
        <v>9</v>
      </c>
      <c r="B32" s="281" t="s">
        <v>1410</v>
      </c>
      <c r="C32" s="281" t="s">
        <v>1411</v>
      </c>
      <c r="D32" s="281" t="s">
        <v>1412</v>
      </c>
      <c r="E32" s="281" t="s">
        <v>1413</v>
      </c>
    </row>
    <row r="33" spans="1:5" ht="18" customHeight="1" x14ac:dyDescent="0.3">
      <c r="A33" s="282">
        <v>10</v>
      </c>
      <c r="B33" s="282" t="s">
        <v>1414</v>
      </c>
      <c r="C33" s="282" t="s">
        <v>1415</v>
      </c>
      <c r="D33" s="282" t="s">
        <v>1416</v>
      </c>
      <c r="E33" s="282" t="s">
        <v>1417</v>
      </c>
    </row>
    <row r="34" spans="1:5" ht="18" customHeight="1" x14ac:dyDescent="0.3">
      <c r="A34" s="281">
        <v>11</v>
      </c>
      <c r="B34" s="281" t="s">
        <v>1418</v>
      </c>
      <c r="C34" s="281" t="s">
        <v>1419</v>
      </c>
      <c r="D34" s="281" t="s">
        <v>1420</v>
      </c>
      <c r="E34" s="281" t="s">
        <v>1421</v>
      </c>
    </row>
    <row r="35" spans="1:5" ht="18" customHeight="1" x14ac:dyDescent="0.3">
      <c r="A35" s="282">
        <v>12</v>
      </c>
      <c r="B35" s="282" t="s">
        <v>1422</v>
      </c>
      <c r="C35" s="282" t="s">
        <v>1423</v>
      </c>
      <c r="D35" s="282" t="s">
        <v>1424</v>
      </c>
      <c r="E35" s="282" t="s">
        <v>1425</v>
      </c>
    </row>
    <row r="36" spans="1:5" ht="6" customHeight="1" x14ac:dyDescent="0.3">
      <c r="A36" s="283"/>
      <c r="B36" s="283"/>
      <c r="C36" s="283"/>
      <c r="D36" s="283"/>
      <c r="E36" s="283"/>
    </row>
    <row r="37" spans="1:5" ht="19.95" customHeight="1" x14ac:dyDescent="0.3">
      <c r="A37" s="279" t="s">
        <v>88</v>
      </c>
      <c r="B37" s="284" t="s">
        <v>1426</v>
      </c>
      <c r="C37" s="279" t="s">
        <v>1427</v>
      </c>
      <c r="D37" s="279" t="s">
        <v>1428</v>
      </c>
      <c r="E37" s="279" t="s">
        <v>1429</v>
      </c>
    </row>
    <row r="38" spans="1:5" ht="18" customHeight="1" x14ac:dyDescent="0.3">
      <c r="A38" s="281">
        <v>1</v>
      </c>
      <c r="B38" s="281" t="s">
        <v>1351</v>
      </c>
      <c r="C38" s="281" t="s">
        <v>1430</v>
      </c>
      <c r="D38" s="281" t="s">
        <v>1431</v>
      </c>
      <c r="E38" s="281" t="s">
        <v>1432</v>
      </c>
    </row>
    <row r="39" spans="1:5" ht="18" customHeight="1" x14ac:dyDescent="0.3">
      <c r="A39" s="282">
        <v>2</v>
      </c>
      <c r="B39" s="282" t="s">
        <v>1352</v>
      </c>
      <c r="C39" s="282" t="s">
        <v>1433</v>
      </c>
      <c r="D39" s="282" t="s">
        <v>1434</v>
      </c>
      <c r="E39" s="282" t="s">
        <v>1435</v>
      </c>
    </row>
    <row r="40" spans="1:5" ht="18" customHeight="1" x14ac:dyDescent="0.3">
      <c r="A40" s="281">
        <v>3</v>
      </c>
      <c r="B40" s="281" t="s">
        <v>1353</v>
      </c>
      <c r="C40" s="281" t="s">
        <v>1436</v>
      </c>
      <c r="D40" s="281" t="s">
        <v>1437</v>
      </c>
      <c r="E40" s="281" t="s">
        <v>1438</v>
      </c>
    </row>
    <row r="41" spans="1:5" ht="18" customHeight="1" x14ac:dyDescent="0.3">
      <c r="A41" s="282">
        <v>4</v>
      </c>
      <c r="B41" s="282" t="s">
        <v>1354</v>
      </c>
      <c r="C41" s="282" t="s">
        <v>1439</v>
      </c>
      <c r="D41" s="282" t="s">
        <v>1437</v>
      </c>
      <c r="E41" s="282" t="s">
        <v>1440</v>
      </c>
    </row>
    <row r="42" spans="1:5" ht="18" customHeight="1" x14ac:dyDescent="0.3">
      <c r="A42" s="281">
        <v>5</v>
      </c>
      <c r="B42" s="281" t="s">
        <v>1355</v>
      </c>
      <c r="C42" s="281" t="s">
        <v>1441</v>
      </c>
      <c r="D42" s="281" t="s">
        <v>1437</v>
      </c>
      <c r="E42" s="281" t="s">
        <v>1442</v>
      </c>
    </row>
    <row r="43" spans="1:5" ht="18" customHeight="1" x14ac:dyDescent="0.3">
      <c r="A43" s="282">
        <v>6</v>
      </c>
      <c r="B43" s="282" t="s">
        <v>1356</v>
      </c>
      <c r="C43" s="282" t="s">
        <v>1443</v>
      </c>
      <c r="D43" s="282" t="s">
        <v>1444</v>
      </c>
      <c r="E43" s="282" t="s">
        <v>1445</v>
      </c>
    </row>
    <row r="44" spans="1:5" ht="18" customHeight="1" x14ac:dyDescent="0.3">
      <c r="A44" s="281">
        <v>7</v>
      </c>
      <c r="B44" s="281" t="s">
        <v>1357</v>
      </c>
      <c r="C44" s="281" t="s">
        <v>1446</v>
      </c>
      <c r="D44" s="281" t="s">
        <v>1447</v>
      </c>
      <c r="E44" s="281" t="s">
        <v>1448</v>
      </c>
    </row>
    <row r="45" spans="1:5" ht="18" customHeight="1" x14ac:dyDescent="0.3">
      <c r="A45" s="282">
        <v>8</v>
      </c>
      <c r="B45" s="282" t="s">
        <v>1358</v>
      </c>
      <c r="C45" s="282" t="s">
        <v>1449</v>
      </c>
      <c r="D45" s="282" t="s">
        <v>1437</v>
      </c>
      <c r="E45" s="282" t="s">
        <v>1450</v>
      </c>
    </row>
    <row r="46" spans="1:5" ht="18" customHeight="1" x14ac:dyDescent="0.3">
      <c r="A46" s="281">
        <v>9</v>
      </c>
      <c r="B46" s="281" t="s">
        <v>1359</v>
      </c>
      <c r="C46" s="281" t="s">
        <v>1451</v>
      </c>
      <c r="D46" s="281" t="s">
        <v>1452</v>
      </c>
      <c r="E46" s="281" t="s">
        <v>1453</v>
      </c>
    </row>
    <row r="47" spans="1:5" ht="18" customHeight="1" x14ac:dyDescent="0.3">
      <c r="A47" s="282">
        <v>10</v>
      </c>
      <c r="B47" s="282" t="s">
        <v>1360</v>
      </c>
      <c r="C47" s="282" t="s">
        <v>1454</v>
      </c>
      <c r="D47" s="282" t="s">
        <v>1455</v>
      </c>
      <c r="E47" s="282" t="s">
        <v>1456</v>
      </c>
    </row>
    <row r="48" spans="1:5" ht="18" customHeight="1" x14ac:dyDescent="0.3">
      <c r="A48" s="281">
        <v>11</v>
      </c>
      <c r="B48" s="281" t="s">
        <v>1361</v>
      </c>
      <c r="C48" s="281" t="s">
        <v>1457</v>
      </c>
      <c r="D48" s="281" t="s">
        <v>1455</v>
      </c>
      <c r="E48" s="281" t="s">
        <v>1456</v>
      </c>
    </row>
    <row r="49" spans="1:5" ht="18" customHeight="1" x14ac:dyDescent="0.3">
      <c r="A49" s="282">
        <v>12</v>
      </c>
      <c r="B49" s="282" t="s">
        <v>1362</v>
      </c>
      <c r="C49" s="282" t="s">
        <v>1458</v>
      </c>
      <c r="D49" s="282" t="s">
        <v>1431</v>
      </c>
      <c r="E49" s="282" t="s">
        <v>1459</v>
      </c>
    </row>
    <row r="50" spans="1:5" ht="18" customHeight="1" x14ac:dyDescent="0.3">
      <c r="A50" s="281">
        <v>13</v>
      </c>
      <c r="B50" s="281" t="s">
        <v>1363</v>
      </c>
      <c r="C50" s="281" t="s">
        <v>1460</v>
      </c>
      <c r="D50" s="281" t="s">
        <v>1461</v>
      </c>
      <c r="E50" s="281" t="s">
        <v>1462</v>
      </c>
    </row>
    <row r="51" spans="1:5" ht="18" customHeight="1" x14ac:dyDescent="0.3">
      <c r="A51" s="282">
        <v>14</v>
      </c>
      <c r="B51" s="282" t="s">
        <v>1364</v>
      </c>
      <c r="C51" s="282" t="s">
        <v>1463</v>
      </c>
      <c r="D51" s="282" t="s">
        <v>1464</v>
      </c>
      <c r="E51" s="282" t="s">
        <v>1465</v>
      </c>
    </row>
    <row r="52" spans="1:5" ht="18" customHeight="1" x14ac:dyDescent="0.3">
      <c r="A52" s="281">
        <v>15</v>
      </c>
      <c r="B52" s="281" t="s">
        <v>1365</v>
      </c>
      <c r="C52" s="281" t="s">
        <v>1466</v>
      </c>
      <c r="D52" s="281" t="s">
        <v>1461</v>
      </c>
      <c r="E52" s="281" t="s">
        <v>1467</v>
      </c>
    </row>
    <row r="53" spans="1:5" ht="18" customHeight="1" x14ac:dyDescent="0.3">
      <c r="A53" s="282">
        <v>16</v>
      </c>
      <c r="B53" s="282" t="s">
        <v>1366</v>
      </c>
      <c r="C53" s="282" t="s">
        <v>1468</v>
      </c>
      <c r="D53" s="282" t="s">
        <v>1469</v>
      </c>
      <c r="E53" s="282" t="s">
        <v>1470</v>
      </c>
    </row>
    <row r="54" spans="1:5" ht="18" customHeight="1" x14ac:dyDescent="0.3">
      <c r="A54" s="281">
        <v>17</v>
      </c>
      <c r="B54" s="281" t="s">
        <v>1367</v>
      </c>
      <c r="C54" s="281" t="s">
        <v>1471</v>
      </c>
      <c r="D54" s="281" t="s">
        <v>1452</v>
      </c>
      <c r="E54" s="281" t="s">
        <v>1472</v>
      </c>
    </row>
    <row r="55" spans="1:5" ht="18" customHeight="1" x14ac:dyDescent="0.3">
      <c r="A55" s="282">
        <v>18</v>
      </c>
      <c r="B55" s="282" t="s">
        <v>1368</v>
      </c>
      <c r="C55" s="282" t="s">
        <v>1473</v>
      </c>
      <c r="D55" s="282" t="s">
        <v>1474</v>
      </c>
      <c r="E55" s="282" t="s">
        <v>1472</v>
      </c>
    </row>
    <row r="56" spans="1:5" ht="18" customHeight="1" x14ac:dyDescent="0.3">
      <c r="A56" s="281">
        <v>19</v>
      </c>
      <c r="B56" s="281" t="s">
        <v>1369</v>
      </c>
      <c r="C56" s="281" t="s">
        <v>1475</v>
      </c>
      <c r="D56" s="281" t="s">
        <v>1476</v>
      </c>
      <c r="E56" s="281" t="s">
        <v>1477</v>
      </c>
    </row>
    <row r="57" spans="1:5" ht="18" customHeight="1" x14ac:dyDescent="0.3">
      <c r="A57" s="282">
        <v>20</v>
      </c>
      <c r="B57" s="282" t="s">
        <v>1370</v>
      </c>
      <c r="C57" s="282" t="s">
        <v>1478</v>
      </c>
      <c r="D57" s="282" t="s">
        <v>1479</v>
      </c>
      <c r="E57" s="282" t="s">
        <v>1480</v>
      </c>
    </row>
  </sheetData>
  <hyperlinks>
    <hyperlink ref="B1" location="'H00_ÍNDICE'!A1" display="⬅️ ÍNDICE GENERAL" xr:uid="{8C6D08A9-710E-4129-8E12-22E66349931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1259-FF32-4210-8188-3BAD1F4BBC3B}">
  <sheetPr>
    <tabColor rgb="FF38A169"/>
  </sheetPr>
  <dimension ref="A1:Z35"/>
  <sheetViews>
    <sheetView zoomScaleNormal="100" workbookViewId="0">
      <pane ySplit="3" topLeftCell="A4" activePane="bottomLeft" state="frozen"/>
      <selection pane="bottomLeft" activeCell="B35" sqref="B35"/>
    </sheetView>
  </sheetViews>
  <sheetFormatPr baseColWidth="10" defaultRowHeight="14.4" x14ac:dyDescent="0.3"/>
  <cols>
    <col min="1" max="1" width="40.77734375" customWidth="1"/>
    <col min="2" max="2" width="44.44140625" customWidth="1"/>
    <col min="3" max="11" width="20.33203125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1131</v>
      </c>
      <c r="E1" s="212" t="str">
        <f ca="1">TEXT(TODAY(),"DD/MM/YYYY")</f>
        <v>05/04/2026</v>
      </c>
    </row>
    <row r="2" spans="1:26" ht="25.05" customHeight="1" x14ac:dyDescent="0.35">
      <c r="A2" s="16" t="s">
        <v>1167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05" customHeight="1" x14ac:dyDescent="0.3">
      <c r="A3" s="224" t="s">
        <v>1168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x14ac:dyDescent="0.3">
      <c r="A5" s="2" t="s">
        <v>148</v>
      </c>
      <c r="B5" s="2" t="s">
        <v>149</v>
      </c>
      <c r="C5" s="2" t="s">
        <v>150</v>
      </c>
      <c r="D5" s="2" t="s">
        <v>151</v>
      </c>
      <c r="E5" s="2" t="s">
        <v>152</v>
      </c>
      <c r="F5" s="2" t="s">
        <v>153</v>
      </c>
      <c r="G5" s="2" t="s">
        <v>154</v>
      </c>
    </row>
    <row r="6" spans="1:26" x14ac:dyDescent="0.3">
      <c r="A6" s="48" t="s">
        <v>155</v>
      </c>
      <c r="B6" s="34" t="s">
        <v>156</v>
      </c>
      <c r="C6" s="34" t="s">
        <v>1292</v>
      </c>
      <c r="D6" s="34" t="s">
        <v>1370</v>
      </c>
      <c r="E6" s="65">
        <v>1</v>
      </c>
      <c r="F6" s="34" t="s">
        <v>157</v>
      </c>
      <c r="G6" s="34" t="s">
        <v>1293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5"/>
    </row>
    <row r="7" spans="1:26" x14ac:dyDescent="0.3">
      <c r="A7" s="49" t="s">
        <v>158</v>
      </c>
      <c r="B7" s="36" t="s">
        <v>156</v>
      </c>
      <c r="C7" s="36" t="s">
        <v>1294</v>
      </c>
      <c r="D7" s="36" t="s">
        <v>1369</v>
      </c>
      <c r="E7" s="66">
        <v>1</v>
      </c>
      <c r="F7" s="36" t="s">
        <v>157</v>
      </c>
      <c r="G7" s="36" t="s">
        <v>1295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8"/>
    </row>
    <row r="8" spans="1:26" x14ac:dyDescent="0.3">
      <c r="A8" s="50" t="s">
        <v>159</v>
      </c>
      <c r="B8" s="39" t="s">
        <v>156</v>
      </c>
      <c r="C8" s="39" t="s">
        <v>1296</v>
      </c>
      <c r="D8" s="39" t="s">
        <v>1359</v>
      </c>
      <c r="E8" s="67">
        <v>0.75</v>
      </c>
      <c r="F8" s="39" t="s">
        <v>157</v>
      </c>
      <c r="G8" s="39" t="s">
        <v>1297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40"/>
    </row>
    <row r="9" spans="1:26" x14ac:dyDescent="0.3">
      <c r="A9" s="49" t="s">
        <v>160</v>
      </c>
      <c r="B9" s="36" t="s">
        <v>156</v>
      </c>
      <c r="C9" s="36" t="s">
        <v>1298</v>
      </c>
      <c r="D9" s="36" t="s">
        <v>1370</v>
      </c>
      <c r="E9" s="66">
        <v>0.5</v>
      </c>
      <c r="F9" s="36" t="s">
        <v>161</v>
      </c>
      <c r="G9" s="36" t="s">
        <v>1299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 t="s">
        <v>162</v>
      </c>
      <c r="B10" s="39" t="s">
        <v>156</v>
      </c>
      <c r="C10" s="39" t="s">
        <v>1300</v>
      </c>
      <c r="D10" s="39" t="s">
        <v>3</v>
      </c>
      <c r="E10" s="67">
        <v>0</v>
      </c>
      <c r="F10" s="39" t="s">
        <v>178</v>
      </c>
      <c r="G10" s="39" t="s">
        <v>1301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 t="s">
        <v>163</v>
      </c>
      <c r="B11" s="36" t="s">
        <v>164</v>
      </c>
      <c r="C11" s="36" t="s">
        <v>1302</v>
      </c>
      <c r="D11" s="36" t="s">
        <v>1367</v>
      </c>
      <c r="E11" s="66">
        <v>1</v>
      </c>
      <c r="F11" s="36" t="s">
        <v>157</v>
      </c>
      <c r="G11" s="36" t="s">
        <v>1303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50" t="s">
        <v>165</v>
      </c>
      <c r="B12" s="39" t="s">
        <v>164</v>
      </c>
      <c r="C12" s="39" t="s">
        <v>1304</v>
      </c>
      <c r="D12" s="39" t="s">
        <v>1361</v>
      </c>
      <c r="E12" s="67">
        <v>1</v>
      </c>
      <c r="F12" s="39" t="s">
        <v>157</v>
      </c>
      <c r="G12" s="39" t="s">
        <v>1305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 t="s">
        <v>166</v>
      </c>
      <c r="B13" s="36" t="s">
        <v>164</v>
      </c>
      <c r="C13" s="36" t="s">
        <v>1306</v>
      </c>
      <c r="D13" s="36" t="s">
        <v>1361</v>
      </c>
      <c r="E13" s="66">
        <v>0.75</v>
      </c>
      <c r="F13" s="36" t="s">
        <v>157</v>
      </c>
      <c r="G13" s="36" t="s">
        <v>1307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">
        <v>168</v>
      </c>
      <c r="B14" s="39" t="s">
        <v>164</v>
      </c>
      <c r="C14" s="39" t="s">
        <v>1308</v>
      </c>
      <c r="D14" s="39" t="s">
        <v>1368</v>
      </c>
      <c r="E14" s="67">
        <v>1</v>
      </c>
      <c r="F14" s="39" t="s">
        <v>157</v>
      </c>
      <c r="G14" s="39" t="s">
        <v>1309</v>
      </c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">
        <v>1310</v>
      </c>
      <c r="B15" s="36" t="s">
        <v>164</v>
      </c>
      <c r="C15" s="36" t="s">
        <v>1311</v>
      </c>
      <c r="D15" s="36" t="s">
        <v>1359</v>
      </c>
      <c r="E15" s="66">
        <v>0.5</v>
      </c>
      <c r="F15" s="36" t="s">
        <v>161</v>
      </c>
      <c r="G15" s="36" t="s">
        <v>1312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">
        <v>1313</v>
      </c>
      <c r="B16" s="39" t="s">
        <v>164</v>
      </c>
      <c r="C16" s="39" t="s">
        <v>1314</v>
      </c>
      <c r="D16" s="39" t="s">
        <v>3</v>
      </c>
      <c r="E16" s="67">
        <v>0</v>
      </c>
      <c r="F16" s="39" t="s">
        <v>178</v>
      </c>
      <c r="G16" s="39" t="s">
        <v>1315</v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">
        <v>169</v>
      </c>
      <c r="B17" s="36" t="s">
        <v>170</v>
      </c>
      <c r="C17" s="36" t="s">
        <v>1316</v>
      </c>
      <c r="D17" s="36" t="s">
        <v>1355</v>
      </c>
      <c r="E17" s="66">
        <v>1</v>
      </c>
      <c r="F17" s="36" t="s">
        <v>157</v>
      </c>
      <c r="G17" s="36" t="s">
        <v>1317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">
        <v>172</v>
      </c>
      <c r="B18" s="39" t="s">
        <v>170</v>
      </c>
      <c r="C18" s="39" t="s">
        <v>1318</v>
      </c>
      <c r="D18" s="39" t="s">
        <v>1351</v>
      </c>
      <c r="E18" s="67">
        <v>1</v>
      </c>
      <c r="F18" s="39" t="s">
        <v>157</v>
      </c>
      <c r="G18" s="39" t="s">
        <v>1319</v>
      </c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">
        <v>174</v>
      </c>
      <c r="B19" s="36" t="s">
        <v>170</v>
      </c>
      <c r="C19" s="36" t="s">
        <v>1320</v>
      </c>
      <c r="D19" s="36" t="s">
        <v>1366</v>
      </c>
      <c r="E19" s="66">
        <v>0.75</v>
      </c>
      <c r="F19" s="36" t="s">
        <v>157</v>
      </c>
      <c r="G19" s="36" t="s">
        <v>1321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">
        <v>176</v>
      </c>
      <c r="B20" s="39" t="s">
        <v>170</v>
      </c>
      <c r="C20" s="39" t="s">
        <v>1322</v>
      </c>
      <c r="D20" s="39" t="s">
        <v>1352</v>
      </c>
      <c r="E20" s="67">
        <v>0.75</v>
      </c>
      <c r="F20" s="39" t="s">
        <v>157</v>
      </c>
      <c r="G20" s="39" t="s">
        <v>1323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">
        <v>177</v>
      </c>
      <c r="B21" s="36" t="s">
        <v>170</v>
      </c>
      <c r="C21" s="36" t="s">
        <v>1324</v>
      </c>
      <c r="D21" s="36" t="s">
        <v>1368</v>
      </c>
      <c r="E21" s="66">
        <v>1</v>
      </c>
      <c r="F21" s="36" t="s">
        <v>157</v>
      </c>
      <c r="G21" s="36" t="s">
        <v>1325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">
        <v>1326</v>
      </c>
      <c r="B22" s="39" t="s">
        <v>170</v>
      </c>
      <c r="C22" s="39" t="s">
        <v>1327</v>
      </c>
      <c r="D22" s="39" t="s">
        <v>1356</v>
      </c>
      <c r="E22" s="67">
        <v>0.75</v>
      </c>
      <c r="F22" s="39" t="s">
        <v>157</v>
      </c>
      <c r="G22" s="39" t="s">
        <v>1328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">
        <v>179</v>
      </c>
      <c r="B23" s="36" t="s">
        <v>180</v>
      </c>
      <c r="C23" s="36" t="s">
        <v>1329</v>
      </c>
      <c r="D23" s="36" t="s">
        <v>1364</v>
      </c>
      <c r="E23" s="66">
        <v>1</v>
      </c>
      <c r="F23" s="36" t="s">
        <v>157</v>
      </c>
      <c r="G23" s="36" t="s">
        <v>1330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">
        <v>181</v>
      </c>
      <c r="B24" s="39" t="s">
        <v>180</v>
      </c>
      <c r="C24" s="39" t="s">
        <v>1331</v>
      </c>
      <c r="D24" s="39" t="s">
        <v>1365</v>
      </c>
      <c r="E24" s="67">
        <v>1</v>
      </c>
      <c r="F24" s="39" t="s">
        <v>157</v>
      </c>
      <c r="G24" s="39" t="s">
        <v>1332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">
        <v>182</v>
      </c>
      <c r="B25" s="36" t="s">
        <v>180</v>
      </c>
      <c r="C25" s="36" t="s">
        <v>1333</v>
      </c>
      <c r="D25" s="36" t="s">
        <v>1358</v>
      </c>
      <c r="E25" s="66">
        <v>0.75</v>
      </c>
      <c r="F25" s="36" t="s">
        <v>157</v>
      </c>
      <c r="G25" s="36" t="s">
        <v>1334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227" t="s">
        <v>183</v>
      </c>
      <c r="B26" s="39" t="s">
        <v>184</v>
      </c>
      <c r="C26" s="39" t="s">
        <v>1335</v>
      </c>
      <c r="D26" s="39" t="s">
        <v>1353</v>
      </c>
      <c r="E26" s="39">
        <v>1</v>
      </c>
      <c r="F26" s="39" t="s">
        <v>157</v>
      </c>
      <c r="G26" s="39" t="s">
        <v>1336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9" t="s">
        <v>185</v>
      </c>
      <c r="B27" s="36" t="s">
        <v>184</v>
      </c>
      <c r="C27" s="68" t="s">
        <v>1337</v>
      </c>
      <c r="D27" s="36" t="s">
        <v>1360</v>
      </c>
      <c r="E27" s="36">
        <v>1</v>
      </c>
      <c r="F27" s="36" t="s">
        <v>157</v>
      </c>
      <c r="G27" s="36" t="s">
        <v>1338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50" t="s">
        <v>186</v>
      </c>
      <c r="B28" s="39" t="s">
        <v>184</v>
      </c>
      <c r="C28" s="69" t="s">
        <v>1339</v>
      </c>
      <c r="D28" s="39" t="s">
        <v>1361</v>
      </c>
      <c r="E28" s="39">
        <v>1</v>
      </c>
      <c r="F28" s="39" t="s">
        <v>157</v>
      </c>
      <c r="G28" s="39" t="s">
        <v>1340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1:26" ht="15.6" x14ac:dyDescent="0.3">
      <c r="A29" s="49" t="s">
        <v>1341</v>
      </c>
      <c r="B29" s="70" t="s">
        <v>184</v>
      </c>
      <c r="C29" s="71" t="s">
        <v>1342</v>
      </c>
      <c r="D29" s="36" t="s">
        <v>1359</v>
      </c>
      <c r="E29" s="36">
        <v>0.75</v>
      </c>
      <c r="F29" s="36" t="s">
        <v>157</v>
      </c>
      <c r="G29" s="36" t="s">
        <v>1343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8"/>
    </row>
    <row r="30" spans="1:26" x14ac:dyDescent="0.3">
      <c r="A30" s="50" t="s">
        <v>1344</v>
      </c>
      <c r="B30" s="39" t="s">
        <v>184</v>
      </c>
      <c r="C30" s="39" t="s">
        <v>1345</v>
      </c>
      <c r="D30" s="39" t="s">
        <v>3</v>
      </c>
      <c r="E30" s="39">
        <v>0</v>
      </c>
      <c r="F30" s="39" t="s">
        <v>178</v>
      </c>
      <c r="G30" s="39" t="s">
        <v>1346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1:26" x14ac:dyDescent="0.3">
      <c r="A31" s="270" t="s">
        <v>1347</v>
      </c>
      <c r="B31" s="46" t="str">
        <f>"El GAD convirtió el "&amp;TEXT(B34,"0.0")&amp;"% de sus promesas electorales en metas estratégicas del PDOT."</f>
        <v>El GAD convirtió el 77% de sus promesas electorales en metas estratégicas del PDOT.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1:26" x14ac:dyDescent="0.3">
      <c r="A32" s="169" t="s">
        <v>187</v>
      </c>
      <c r="B32" s="271">
        <f>SUM(E6:E30)</f>
        <v>19.25</v>
      </c>
      <c r="C32" s="272" t="s">
        <v>1348</v>
      </c>
    </row>
    <row r="33" spans="1:3" x14ac:dyDescent="0.3">
      <c r="A33" s="166" t="s">
        <v>188</v>
      </c>
      <c r="B33" s="168">
        <f>H01_PARÁMETROS!B16</f>
        <v>25</v>
      </c>
      <c r="C33" s="273" t="s">
        <v>1349</v>
      </c>
    </row>
    <row r="34" spans="1:3" ht="15.6" x14ac:dyDescent="0.3">
      <c r="A34" s="274" t="s">
        <v>189</v>
      </c>
      <c r="B34" s="275">
        <f>B32/B33*100</f>
        <v>77</v>
      </c>
      <c r="C34" s="276" t="s">
        <v>191</v>
      </c>
    </row>
    <row r="35" spans="1:3" x14ac:dyDescent="0.3">
      <c r="A35" s="166" t="s">
        <v>190</v>
      </c>
      <c r="B35" s="277" t="str">
        <f>IF(B34&gt;=85,"✅ Alta Fidelidad Electoral",IF(B34&gt;=60,"⚠️ Fidelidad Moderada",IF(B34&gt;=40,"U0001f7e0 Erosión del Compromiso","U0001f534 Ruptura del Mandato Democrático")))</f>
        <v>⚠️ Fidelidad Moderada</v>
      </c>
    </row>
  </sheetData>
  <hyperlinks>
    <hyperlink ref="B1" location="'H00_ÍNDICE'!A1" display="⬅️ ÍNDICE GENERAL" xr:uid="{8676F984-E474-4A61-ADC6-89D41521FB0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05BD-887C-4ECB-92DF-3995E678AAA5}">
  <sheetPr>
    <tabColor rgb="FF003087"/>
  </sheetPr>
  <dimension ref="A1:Z25"/>
  <sheetViews>
    <sheetView zoomScale="94" zoomScaleNormal="94" workbookViewId="0">
      <pane ySplit="3" topLeftCell="A4" activePane="bottomLeft" state="frozen"/>
      <selection pane="bottomLeft" activeCell="A25" sqref="A25"/>
    </sheetView>
  </sheetViews>
  <sheetFormatPr baseColWidth="10" defaultRowHeight="14.4" x14ac:dyDescent="0.3"/>
  <cols>
    <col min="1" max="1" width="40.77734375" customWidth="1"/>
    <col min="2" max="2" width="44.44140625" customWidth="1"/>
    <col min="3" max="11" width="20.33203125" customWidth="1"/>
    <col min="12" max="12" width="7.5546875" bestFit="1" customWidth="1"/>
    <col min="13" max="13" width="29.33203125" bestFit="1" customWidth="1"/>
    <col min="14" max="14" width="14.88671875" bestFit="1" customWidth="1"/>
    <col min="15" max="15" width="34.77734375" bestFit="1" customWidth="1"/>
    <col min="16" max="16" width="9.77734375" bestFit="1" customWidth="1"/>
    <col min="17" max="17" width="61.77734375" bestFit="1" customWidth="1"/>
    <col min="18" max="18" width="28.109375" bestFit="1" customWidth="1"/>
    <col min="19" max="19" width="11.21875" bestFit="1" customWidth="1"/>
    <col min="20" max="20" width="20.4414062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1132</v>
      </c>
      <c r="E1" s="212" t="str">
        <f ca="1">TEXT(TODAY(),"DD/MM/YYYY")</f>
        <v>05/04/2026</v>
      </c>
    </row>
    <row r="2" spans="1:26" ht="25.05" customHeight="1" x14ac:dyDescent="0.35">
      <c r="A2" s="16" t="s">
        <v>1169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05" customHeight="1" x14ac:dyDescent="0.3">
      <c r="A3" s="224" t="s">
        <v>1170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x14ac:dyDescent="0.3">
      <c r="A5" s="28" t="s">
        <v>192</v>
      </c>
      <c r="B5" s="28" t="s">
        <v>381</v>
      </c>
      <c r="C5" s="28" t="s">
        <v>149</v>
      </c>
      <c r="D5" s="28" t="s">
        <v>193</v>
      </c>
      <c r="E5" s="28" t="s">
        <v>194</v>
      </c>
      <c r="F5" s="28" t="s">
        <v>864</v>
      </c>
      <c r="G5" s="28" t="s">
        <v>865</v>
      </c>
      <c r="H5" s="28" t="s">
        <v>465</v>
      </c>
      <c r="I5" s="28" t="s">
        <v>195</v>
      </c>
      <c r="J5" s="28" t="s">
        <v>196</v>
      </c>
      <c r="K5" s="28" t="s">
        <v>197</v>
      </c>
      <c r="L5" s="28" t="s">
        <v>198</v>
      </c>
      <c r="M5" s="28" t="s">
        <v>199</v>
      </c>
      <c r="N5" s="28" t="s">
        <v>200</v>
      </c>
      <c r="O5" s="28" t="s">
        <v>866</v>
      </c>
      <c r="P5" s="28" t="s">
        <v>201</v>
      </c>
      <c r="Q5" s="28" t="s">
        <v>202</v>
      </c>
      <c r="R5" s="28" t="s">
        <v>203</v>
      </c>
      <c r="S5" s="28" t="s">
        <v>204</v>
      </c>
      <c r="T5" s="28" t="s">
        <v>867</v>
      </c>
    </row>
    <row r="6" spans="1:26" x14ac:dyDescent="0.3">
      <c r="A6" s="48" t="s">
        <v>1351</v>
      </c>
      <c r="B6" s="34" t="s">
        <v>1219</v>
      </c>
      <c r="C6" s="34" t="s">
        <v>184</v>
      </c>
      <c r="D6" s="34" t="s">
        <v>218</v>
      </c>
      <c r="E6" s="34">
        <v>1.5</v>
      </c>
      <c r="F6" s="73">
        <v>46904874</v>
      </c>
      <c r="G6" s="73">
        <v>11726219</v>
      </c>
      <c r="H6" s="74">
        <f t="shared" ref="H6:H25" si="0">G6/SUM($G$6:$G$25)</f>
        <v>0.28912002443494439</v>
      </c>
      <c r="I6" s="34" t="s">
        <v>219</v>
      </c>
      <c r="J6" s="34" t="s">
        <v>1220</v>
      </c>
      <c r="K6" s="75">
        <f>IF(ISNUMBER(SEARCH("13",J6)),H01_PARÁMETROS!$B$36,IF(ISNUMBER(SEARCH("5",J6)),H01_PARÁMETROS!$B$37,1))</f>
        <v>1</v>
      </c>
      <c r="L6" s="74" cm="1">
        <f t="array" ref="L6">(E6*K6)/SUMPRODUCT(MAX($E$6:$E$25*$K$6:$K$25))</f>
        <v>0.86956521739130443</v>
      </c>
      <c r="M6" s="34" t="s">
        <v>222</v>
      </c>
      <c r="N6" s="34">
        <v>42.38</v>
      </c>
      <c r="O6" s="34" t="s">
        <v>1221</v>
      </c>
      <c r="P6" s="34">
        <v>39.25</v>
      </c>
      <c r="Q6" s="34" t="s">
        <v>1222</v>
      </c>
      <c r="R6" s="34" t="s">
        <v>217</v>
      </c>
      <c r="S6" s="34">
        <v>363</v>
      </c>
      <c r="T6" s="34" t="str">
        <f>IF(COUNTIF(H03_S1_ELECTORAL_CNE!D:D,A6)&gt;0,"✅ Vinculada CNE","⚠️ Sin vínculo electoral")</f>
        <v>✅ Vinculada CNE</v>
      </c>
      <c r="U6" s="34"/>
      <c r="V6" s="34"/>
      <c r="W6" s="34"/>
      <c r="X6" s="34"/>
      <c r="Y6" s="34"/>
      <c r="Z6" s="35"/>
    </row>
    <row r="7" spans="1:26" x14ac:dyDescent="0.3">
      <c r="A7" s="49" t="s">
        <v>1352</v>
      </c>
      <c r="B7" s="36" t="s">
        <v>1223</v>
      </c>
      <c r="C7" s="36" t="s">
        <v>164</v>
      </c>
      <c r="D7" s="36" t="s">
        <v>209</v>
      </c>
      <c r="E7" s="36">
        <v>1</v>
      </c>
      <c r="F7" s="55">
        <v>52776878</v>
      </c>
      <c r="G7" s="55">
        <v>13194220</v>
      </c>
      <c r="H7" s="76">
        <f t="shared" si="0"/>
        <v>0.32531485287798495</v>
      </c>
      <c r="I7" s="36" t="s">
        <v>206</v>
      </c>
      <c r="J7" s="36">
        <v>16</v>
      </c>
      <c r="K7" s="51">
        <f>IF(ISNUMBER(SEARCH("13",J7)),H01_PARÁMETROS!$B$36,IF(ISNUMBER(SEARCH("5",J7)),H01_PARÁMETROS!$B$37,1))</f>
        <v>1</v>
      </c>
      <c r="L7" s="76" cm="1">
        <f t="array" ref="L7">(E7*K7)/SUMPRODUCT(MAX($E$6:$E$25*$K$6:$K$25))</f>
        <v>0.57971014492753625</v>
      </c>
      <c r="M7" s="36" t="s">
        <v>207</v>
      </c>
      <c r="N7" s="36">
        <v>90</v>
      </c>
      <c r="O7" s="36" t="s">
        <v>1224</v>
      </c>
      <c r="P7" s="36">
        <v>80</v>
      </c>
      <c r="Q7" s="36" t="s">
        <v>1225</v>
      </c>
      <c r="R7" s="36" t="s">
        <v>212</v>
      </c>
      <c r="S7" s="36">
        <v>367</v>
      </c>
      <c r="T7" s="36" t="str">
        <f>IF(COUNTIF(H03_S1_ELECTORAL_CNE!D:D,A7)&gt;0,"✅ Vinculada CNE","⚠️ Sin vínculo electoral")</f>
        <v>✅ Vinculada CNE</v>
      </c>
      <c r="U7" s="36"/>
      <c r="V7" s="36"/>
      <c r="W7" s="36"/>
      <c r="X7" s="36"/>
      <c r="Y7" s="36"/>
      <c r="Z7" s="38"/>
    </row>
    <row r="8" spans="1:26" x14ac:dyDescent="0.3">
      <c r="A8" s="50" t="s">
        <v>1353</v>
      </c>
      <c r="B8" s="39" t="s">
        <v>1226</v>
      </c>
      <c r="C8" s="39" t="s">
        <v>164</v>
      </c>
      <c r="D8" s="39" t="s">
        <v>209</v>
      </c>
      <c r="E8" s="39">
        <v>1</v>
      </c>
      <c r="F8" s="56">
        <v>20205706</v>
      </c>
      <c r="G8" s="56">
        <v>5051427</v>
      </c>
      <c r="H8" s="77">
        <f t="shared" si="0"/>
        <v>0.12454728141026002</v>
      </c>
      <c r="I8" s="39" t="s">
        <v>206</v>
      </c>
      <c r="J8" s="39" t="s">
        <v>211</v>
      </c>
      <c r="K8" s="61">
        <f>IF(ISNUMBER(SEARCH("13",J8)),H01_PARÁMETROS!$B$36,IF(ISNUMBER(SEARCH("5",J8)),H01_PARÁMETROS!$B$37,1))</f>
        <v>1</v>
      </c>
      <c r="L8" s="77" cm="1">
        <f t="array" ref="L8">(E8*K8)/SUMPRODUCT(MAX($E$6:$E$25*$K$6:$K$25))</f>
        <v>0.57971014492753625</v>
      </c>
      <c r="M8" s="39" t="s">
        <v>207</v>
      </c>
      <c r="N8" s="39">
        <v>45.3</v>
      </c>
      <c r="O8" s="39" t="s">
        <v>1227</v>
      </c>
      <c r="P8" s="39">
        <v>43.35</v>
      </c>
      <c r="Q8" s="39" t="s">
        <v>1228</v>
      </c>
      <c r="R8" s="39" t="s">
        <v>210</v>
      </c>
      <c r="S8" s="39">
        <v>367</v>
      </c>
      <c r="T8" s="39" t="str">
        <f>IF(COUNTIF(H03_S1_ELECTORAL_CNE!D:D,A8)&gt;0,"✅ Vinculada CNE","⚠️ Sin vínculo electoral")</f>
        <v>✅ Vinculada CNE</v>
      </c>
      <c r="U8" s="39"/>
      <c r="V8" s="39"/>
      <c r="W8" s="39"/>
      <c r="X8" s="39"/>
      <c r="Y8" s="39"/>
      <c r="Z8" s="40"/>
    </row>
    <row r="9" spans="1:26" x14ac:dyDescent="0.3">
      <c r="A9" s="49" t="s">
        <v>1354</v>
      </c>
      <c r="B9" s="36" t="s">
        <v>1229</v>
      </c>
      <c r="C9" s="36" t="s">
        <v>184</v>
      </c>
      <c r="D9" s="36" t="s">
        <v>218</v>
      </c>
      <c r="E9" s="36">
        <v>1.5</v>
      </c>
      <c r="F9" s="55">
        <v>10917761</v>
      </c>
      <c r="G9" s="55">
        <v>2729440</v>
      </c>
      <c r="H9" s="76">
        <f t="shared" si="0"/>
        <v>6.7296692948828146E-2</v>
      </c>
      <c r="I9" s="36" t="s">
        <v>219</v>
      </c>
      <c r="J9" s="36" t="s">
        <v>220</v>
      </c>
      <c r="K9" s="51">
        <f>IF(ISNUMBER(SEARCH("13",J9)),H01_PARÁMETROS!$B$36,IF(ISNUMBER(SEARCH("5",J9)),H01_PARÁMETROS!$B$37,1))</f>
        <v>1</v>
      </c>
      <c r="L9" s="76" cm="1">
        <f t="array" ref="L9">(E9*K9)/SUMPRODUCT(MAX($E$6:$E$25*$K$6:$K$25))</f>
        <v>0.86956521739130443</v>
      </c>
      <c r="M9" s="36" t="s">
        <v>221</v>
      </c>
      <c r="N9" s="36">
        <v>130.21</v>
      </c>
      <c r="O9" s="36" t="s">
        <v>1230</v>
      </c>
      <c r="P9" s="36">
        <v>86.41</v>
      </c>
      <c r="Q9" s="36" t="s">
        <v>1231</v>
      </c>
      <c r="R9" s="36" t="s">
        <v>210</v>
      </c>
      <c r="S9" s="36">
        <v>364</v>
      </c>
      <c r="T9" s="36" t="str">
        <f>IF(COUNTIF(H03_S1_ELECTORAL_CNE!D:D,A9)&gt;0,"✅ Vinculada CNE","⚠️ Sin vínculo electoral")</f>
        <v>⚠️ Sin vínculo electoral</v>
      </c>
      <c r="U9" s="36"/>
      <c r="V9" s="36"/>
      <c r="W9" s="36"/>
      <c r="X9" s="36"/>
      <c r="Y9" s="36"/>
      <c r="Z9" s="38"/>
    </row>
    <row r="10" spans="1:26" x14ac:dyDescent="0.3">
      <c r="A10" s="50" t="s">
        <v>1355</v>
      </c>
      <c r="B10" s="39" t="s">
        <v>1232</v>
      </c>
      <c r="C10" s="39" t="s">
        <v>170</v>
      </c>
      <c r="D10" s="39" t="s">
        <v>205</v>
      </c>
      <c r="E10" s="39">
        <v>0.5</v>
      </c>
      <c r="F10" s="56">
        <v>5882644</v>
      </c>
      <c r="G10" s="56">
        <v>1470661</v>
      </c>
      <c r="H10" s="77">
        <f t="shared" si="0"/>
        <v>3.626041303300917E-2</v>
      </c>
      <c r="I10" s="39" t="s">
        <v>213</v>
      </c>
      <c r="J10" s="39" t="s">
        <v>1233</v>
      </c>
      <c r="K10" s="61">
        <f>IF(ISNUMBER(SEARCH("13",J10)),H01_PARÁMETROS!$B$36,IF(ISNUMBER(SEARCH("5",J10)),H01_PARÁMETROS!$B$37,1))</f>
        <v>1</v>
      </c>
      <c r="L10" s="77" cm="1">
        <f t="array" ref="L10">(E10*K10)/SUMPRODUCT(MAX($E$6:$E$25*$K$6:$K$25))</f>
        <v>0.28985507246376813</v>
      </c>
      <c r="M10" s="39" t="s">
        <v>214</v>
      </c>
      <c r="N10" s="39">
        <v>84041</v>
      </c>
      <c r="O10" s="39" t="s">
        <v>1234</v>
      </c>
      <c r="P10" s="39">
        <v>57401</v>
      </c>
      <c r="Q10" s="39" t="s">
        <v>1235</v>
      </c>
      <c r="R10" s="39" t="s">
        <v>210</v>
      </c>
      <c r="S10" s="39">
        <v>365</v>
      </c>
      <c r="T10" s="39" t="str">
        <f>IF(COUNTIF(H03_S1_ELECTORAL_CNE!D:D,A10)&gt;0,"✅ Vinculada CNE","⚠️ Sin vínculo electoral")</f>
        <v>✅ Vinculada CNE</v>
      </c>
      <c r="U10" s="39"/>
      <c r="V10" s="39"/>
      <c r="W10" s="39"/>
      <c r="X10" s="39"/>
      <c r="Y10" s="39"/>
      <c r="Z10" s="40"/>
    </row>
    <row r="11" spans="1:26" x14ac:dyDescent="0.3">
      <c r="A11" s="49" t="s">
        <v>1356</v>
      </c>
      <c r="B11" s="36" t="s">
        <v>1236</v>
      </c>
      <c r="C11" s="36" t="s">
        <v>180</v>
      </c>
      <c r="D11" s="36" t="s">
        <v>218</v>
      </c>
      <c r="E11" s="36">
        <v>1.5</v>
      </c>
      <c r="F11" s="55">
        <v>5750745</v>
      </c>
      <c r="G11" s="55">
        <v>1437686</v>
      </c>
      <c r="H11" s="76">
        <f t="shared" si="0"/>
        <v>3.5447386020146597E-2</v>
      </c>
      <c r="I11" s="36" t="s">
        <v>219</v>
      </c>
      <c r="J11" s="36" t="s">
        <v>1237</v>
      </c>
      <c r="K11" s="51">
        <f>IF(ISNUMBER(SEARCH("13",J11)),H01_PARÁMETROS!$B$36,IF(ISNUMBER(SEARCH("5",J11)),H01_PARÁMETROS!$B$37,1))</f>
        <v>1.1499999999999999</v>
      </c>
      <c r="L11" s="76" cm="1">
        <f t="array" ref="L11">(E11*K11)/SUMPRODUCT(MAX($E$6:$E$25*$K$6:$K$25))</f>
        <v>1</v>
      </c>
      <c r="M11" s="36" t="s">
        <v>207</v>
      </c>
      <c r="N11" s="36">
        <v>23086.94</v>
      </c>
      <c r="O11" s="36" t="s">
        <v>1238</v>
      </c>
      <c r="P11" s="36">
        <v>20118.96</v>
      </c>
      <c r="Q11" s="36" t="s">
        <v>1239</v>
      </c>
      <c r="R11" s="36" t="s">
        <v>1565</v>
      </c>
      <c r="S11" s="36">
        <v>362</v>
      </c>
      <c r="T11" s="36" t="str">
        <f>IF(COUNTIF(H03_S1_ELECTORAL_CNE!D:D,A11)&gt;0,"✅ Vinculada CNE","⚠️ Sin vínculo electoral")</f>
        <v>✅ Vinculada CNE</v>
      </c>
      <c r="U11" s="36"/>
      <c r="V11" s="36"/>
      <c r="W11" s="36"/>
      <c r="X11" s="36"/>
      <c r="Y11" s="36"/>
      <c r="Z11" s="38"/>
    </row>
    <row r="12" spans="1:26" x14ac:dyDescent="0.3">
      <c r="A12" s="50" t="s">
        <v>1357</v>
      </c>
      <c r="B12" s="39" t="s">
        <v>1240</v>
      </c>
      <c r="C12" s="39" t="s">
        <v>184</v>
      </c>
      <c r="D12" s="39" t="s">
        <v>218</v>
      </c>
      <c r="E12" s="39">
        <v>1.5</v>
      </c>
      <c r="F12" s="56">
        <v>1269859</v>
      </c>
      <c r="G12" s="56">
        <v>317465</v>
      </c>
      <c r="H12" s="77">
        <f t="shared" si="0"/>
        <v>7.8273728775865112E-3</v>
      </c>
      <c r="I12" s="39" t="s">
        <v>219</v>
      </c>
      <c r="J12" s="39" t="s">
        <v>1220</v>
      </c>
      <c r="K12" s="61">
        <f>IF(ISNUMBER(SEARCH("13",J12)),H01_PARÁMETROS!$B$36,IF(ISNUMBER(SEARCH("5",J12)),H01_PARÁMETROS!$B$37,1))</f>
        <v>1</v>
      </c>
      <c r="L12" s="77" cm="1">
        <f t="array" ref="L12">(E12*K12)/SUMPRODUCT(MAX($E$6:$E$25*$K$6:$K$25))</f>
        <v>0.86956521739130443</v>
      </c>
      <c r="M12" s="39" t="s">
        <v>221</v>
      </c>
      <c r="N12" s="39">
        <v>24.32</v>
      </c>
      <c r="O12" s="39" t="s">
        <v>1241</v>
      </c>
      <c r="P12" s="39">
        <v>19.77</v>
      </c>
      <c r="Q12" s="39" t="s">
        <v>1242</v>
      </c>
      <c r="R12" s="39" t="s">
        <v>229</v>
      </c>
      <c r="S12" s="39">
        <v>363</v>
      </c>
      <c r="T12" s="39" t="str">
        <f>IF(COUNTIF(H03_S1_ELECTORAL_CNE!D:D,A12)&gt;0,"✅ Vinculada CNE","⚠️ Sin vínculo electoral")</f>
        <v>⚠️ Sin vínculo electoral</v>
      </c>
      <c r="U12" s="39"/>
      <c r="V12" s="39"/>
      <c r="W12" s="39"/>
      <c r="X12" s="39"/>
      <c r="Y12" s="39"/>
      <c r="Z12" s="40"/>
    </row>
    <row r="13" spans="1:26" x14ac:dyDescent="0.3">
      <c r="A13" s="49" t="s">
        <v>1358</v>
      </c>
      <c r="B13" s="36" t="s">
        <v>1243</v>
      </c>
      <c r="C13" s="36" t="s">
        <v>164</v>
      </c>
      <c r="D13" s="36" t="s">
        <v>209</v>
      </c>
      <c r="E13" s="36">
        <v>1</v>
      </c>
      <c r="F13" s="55">
        <v>3765021</v>
      </c>
      <c r="G13" s="55">
        <v>941255</v>
      </c>
      <c r="H13" s="76">
        <f t="shared" si="0"/>
        <v>2.3207452342439927E-2</v>
      </c>
      <c r="I13" s="36" t="s">
        <v>206</v>
      </c>
      <c r="J13" s="36">
        <v>16</v>
      </c>
      <c r="K13" s="51">
        <f>IF(ISNUMBER(SEARCH("13",J13)),H01_PARÁMETROS!$B$36,IF(ISNUMBER(SEARCH("5",J13)),H01_PARÁMETROS!$B$37,1))</f>
        <v>1</v>
      </c>
      <c r="L13" s="76" cm="1">
        <f t="array" ref="L13">(E13*K13)/SUMPRODUCT(MAX($E$6:$E$25*$K$6:$K$25))</f>
        <v>0.57971014492753625</v>
      </c>
      <c r="M13" s="36" t="s">
        <v>207</v>
      </c>
      <c r="N13" s="36">
        <v>1</v>
      </c>
      <c r="O13" s="36" t="s">
        <v>1244</v>
      </c>
      <c r="P13" s="36">
        <v>0</v>
      </c>
      <c r="Q13" s="36" t="s">
        <v>1245</v>
      </c>
      <c r="R13" s="36" t="s">
        <v>210</v>
      </c>
      <c r="S13" s="36">
        <v>367</v>
      </c>
      <c r="T13" s="36" t="str">
        <f>IF(COUNTIF(H03_S1_ELECTORAL_CNE!D:D,A13)&gt;0,"✅ Vinculada CNE","⚠️ Sin vínculo electoral")</f>
        <v>✅ Vinculada CNE</v>
      </c>
      <c r="U13" s="36"/>
      <c r="V13" s="36"/>
      <c r="W13" s="36"/>
      <c r="X13" s="36"/>
      <c r="Y13" s="36"/>
      <c r="Z13" s="38"/>
    </row>
    <row r="14" spans="1:26" x14ac:dyDescent="0.3">
      <c r="A14" s="50" t="s">
        <v>1359</v>
      </c>
      <c r="B14" s="39" t="s">
        <v>1246</v>
      </c>
      <c r="C14" s="39" t="s">
        <v>184</v>
      </c>
      <c r="D14" s="39" t="s">
        <v>209</v>
      </c>
      <c r="E14" s="39">
        <v>1</v>
      </c>
      <c r="F14" s="56">
        <v>2588556</v>
      </c>
      <c r="G14" s="56">
        <v>647139</v>
      </c>
      <c r="H14" s="77">
        <f t="shared" si="0"/>
        <v>1.5955769160784519E-2</v>
      </c>
      <c r="I14" s="39" t="s">
        <v>219</v>
      </c>
      <c r="J14" s="39" t="s">
        <v>1247</v>
      </c>
      <c r="K14" s="61">
        <f>IF(ISNUMBER(SEARCH("13",J14)),H01_PARÁMETROS!$B$36,IF(ISNUMBER(SEARCH("5",J14)),H01_PARÁMETROS!$B$37,1))</f>
        <v>1</v>
      </c>
      <c r="L14" s="77" cm="1">
        <f t="array" ref="L14">(E14*K14)/SUMPRODUCT(MAX($E$6:$E$25*$K$6:$K$25))</f>
        <v>0.57971014492753625</v>
      </c>
      <c r="M14" s="39" t="s">
        <v>207</v>
      </c>
      <c r="N14" s="39">
        <v>10.73</v>
      </c>
      <c r="O14" s="39" t="s">
        <v>1248</v>
      </c>
      <c r="P14" s="39">
        <v>9.9600000000000009</v>
      </c>
      <c r="Q14" s="39" t="s">
        <v>1249</v>
      </c>
      <c r="R14" s="39" t="s">
        <v>226</v>
      </c>
      <c r="S14" s="39">
        <v>364</v>
      </c>
      <c r="T14" s="39" t="str">
        <f>IF(COUNTIF(H03_S1_ELECTORAL_CNE!D:D,A14)&gt;0,"✅ Vinculada CNE","⚠️ Sin vínculo electoral")</f>
        <v>✅ Vinculada CNE</v>
      </c>
      <c r="U14" s="39"/>
      <c r="V14" s="39"/>
      <c r="W14" s="39"/>
      <c r="X14" s="39"/>
      <c r="Y14" s="39"/>
      <c r="Z14" s="40"/>
    </row>
    <row r="15" spans="1:26" x14ac:dyDescent="0.3">
      <c r="A15" s="49" t="s">
        <v>1360</v>
      </c>
      <c r="B15" s="36" t="s">
        <v>1250</v>
      </c>
      <c r="C15" s="36" t="s">
        <v>170</v>
      </c>
      <c r="D15" s="36" t="s">
        <v>205</v>
      </c>
      <c r="E15" s="36">
        <v>0.5</v>
      </c>
      <c r="F15" s="55">
        <v>1755066</v>
      </c>
      <c r="G15" s="55">
        <v>438767</v>
      </c>
      <c r="H15" s="76">
        <f t="shared" si="0"/>
        <v>1.08181781153198E-2</v>
      </c>
      <c r="I15" s="36" t="s">
        <v>213</v>
      </c>
      <c r="J15" s="36" t="s">
        <v>1251</v>
      </c>
      <c r="K15" s="51">
        <f>IF(ISNUMBER(SEARCH("13",J15)),H01_PARÁMETROS!$B$36,IF(ISNUMBER(SEARCH("5",J15)),H01_PARÁMETROS!$B$37,1))</f>
        <v>1.1499999999999999</v>
      </c>
      <c r="L15" s="76" cm="1">
        <f t="array" ref="L15">(E15*K15)/SUMPRODUCT(MAX($E$6:$E$25*$K$6:$K$25))</f>
        <v>0.33333333333333331</v>
      </c>
      <c r="M15" s="36" t="s">
        <v>227</v>
      </c>
      <c r="N15" s="36">
        <v>1649</v>
      </c>
      <c r="O15" s="36" t="s">
        <v>1252</v>
      </c>
      <c r="P15" s="36">
        <v>943</v>
      </c>
      <c r="Q15" s="36" t="s">
        <v>1253</v>
      </c>
      <c r="R15" s="36" t="s">
        <v>223</v>
      </c>
      <c r="S15" s="36">
        <v>366</v>
      </c>
      <c r="T15" s="36" t="str">
        <f>IF(COUNTIF(H03_S1_ELECTORAL_CNE!D:D,A15)&gt;0,"✅ Vinculada CNE","⚠️ Sin vínculo electoral")</f>
        <v>✅ Vinculada CNE</v>
      </c>
      <c r="U15" s="36"/>
      <c r="V15" s="36"/>
      <c r="W15" s="36"/>
      <c r="X15" s="36"/>
      <c r="Y15" s="36"/>
      <c r="Z15" s="38"/>
    </row>
    <row r="16" spans="1:26" x14ac:dyDescent="0.3">
      <c r="A16" s="50" t="s">
        <v>1361</v>
      </c>
      <c r="B16" s="39" t="s">
        <v>1254</v>
      </c>
      <c r="C16" s="39" t="s">
        <v>164</v>
      </c>
      <c r="D16" s="39" t="s">
        <v>209</v>
      </c>
      <c r="E16" s="39">
        <v>1</v>
      </c>
      <c r="F16" s="56">
        <v>1819567</v>
      </c>
      <c r="G16" s="56">
        <v>454892</v>
      </c>
      <c r="H16" s="77">
        <f t="shared" si="0"/>
        <v>1.1215753872178297E-2</v>
      </c>
      <c r="I16" s="39" t="s">
        <v>206</v>
      </c>
      <c r="J16" s="39" t="s">
        <v>1255</v>
      </c>
      <c r="K16" s="61">
        <f>IF(ISNUMBER(SEARCH("13",J16)),H01_PARÁMETROS!$B$36,IF(ISNUMBER(SEARCH("5",J16)),H01_PARÁMETROS!$B$37,1))</f>
        <v>1</v>
      </c>
      <c r="L16" s="77" cm="1">
        <f t="array" ref="L16">(E16*K16)/SUMPRODUCT(MAX($E$6:$E$25*$K$6:$K$25))</f>
        <v>0.57971014492753625</v>
      </c>
      <c r="M16" s="39" t="s">
        <v>207</v>
      </c>
      <c r="N16" s="39">
        <v>80</v>
      </c>
      <c r="O16" s="39" t="s">
        <v>1256</v>
      </c>
      <c r="P16" s="39">
        <v>19.52</v>
      </c>
      <c r="Q16" s="39" t="s">
        <v>1257</v>
      </c>
      <c r="R16" s="39" t="s">
        <v>223</v>
      </c>
      <c r="S16" s="39">
        <v>367</v>
      </c>
      <c r="T16" s="39" t="str">
        <f>IF(COUNTIF(H03_S1_ELECTORAL_CNE!D:D,A16)&gt;0,"✅ Vinculada CNE","⚠️ Sin vínculo electoral")</f>
        <v>✅ Vinculada CNE</v>
      </c>
      <c r="U16" s="39"/>
      <c r="V16" s="39"/>
      <c r="W16" s="39"/>
      <c r="X16" s="39"/>
      <c r="Y16" s="39"/>
      <c r="Z16" s="40"/>
    </row>
    <row r="17" spans="1:26" x14ac:dyDescent="0.3">
      <c r="A17" s="49" t="s">
        <v>1362</v>
      </c>
      <c r="B17" s="36" t="s">
        <v>1258</v>
      </c>
      <c r="C17" s="36" t="s">
        <v>164</v>
      </c>
      <c r="D17" s="36" t="s">
        <v>209</v>
      </c>
      <c r="E17" s="36">
        <v>1</v>
      </c>
      <c r="F17" s="55">
        <v>137900</v>
      </c>
      <c r="G17" s="55">
        <v>34475</v>
      </c>
      <c r="H17" s="76">
        <f t="shared" si="0"/>
        <v>8.5001080419824218E-4</v>
      </c>
      <c r="I17" s="36" t="s">
        <v>206</v>
      </c>
      <c r="J17" s="36" t="s">
        <v>211</v>
      </c>
      <c r="K17" s="51">
        <f>IF(ISNUMBER(SEARCH("13",J17)),H01_PARÁMETROS!$B$36,IF(ISNUMBER(SEARCH("5",J17)),H01_PARÁMETROS!$B$37,1))</f>
        <v>1</v>
      </c>
      <c r="L17" s="76" cm="1">
        <f t="array" ref="L17">(E17*K17)/SUMPRODUCT(MAX($E$6:$E$25*$K$6:$K$25))</f>
        <v>0.57971014492753625</v>
      </c>
      <c r="M17" s="36" t="s">
        <v>207</v>
      </c>
      <c r="N17" s="36">
        <v>100</v>
      </c>
      <c r="O17" s="36" t="s">
        <v>1259</v>
      </c>
      <c r="P17" s="36">
        <v>50</v>
      </c>
      <c r="Q17" s="36" t="s">
        <v>1260</v>
      </c>
      <c r="R17" s="36" t="s">
        <v>217</v>
      </c>
      <c r="S17" s="36">
        <v>368</v>
      </c>
      <c r="T17" s="36" t="str">
        <f>IF(COUNTIF(H03_S1_ELECTORAL_CNE!D:D,A17)&gt;0,"✅ Vinculada CNE","⚠️ Sin vínculo electoral")</f>
        <v>⚠️ Sin vínculo electoral</v>
      </c>
      <c r="U17" s="36"/>
      <c r="V17" s="36"/>
      <c r="W17" s="36"/>
      <c r="X17" s="36"/>
      <c r="Y17" s="36"/>
      <c r="Z17" s="38"/>
    </row>
    <row r="18" spans="1:26" x14ac:dyDescent="0.3">
      <c r="A18" s="50" t="s">
        <v>1363</v>
      </c>
      <c r="B18" s="39" t="s">
        <v>1261</v>
      </c>
      <c r="C18" s="39" t="s">
        <v>180</v>
      </c>
      <c r="D18" s="39" t="s">
        <v>209</v>
      </c>
      <c r="E18" s="39">
        <v>1</v>
      </c>
      <c r="F18" s="56">
        <v>950000</v>
      </c>
      <c r="G18" s="56">
        <v>237500</v>
      </c>
      <c r="H18" s="77">
        <f t="shared" si="0"/>
        <v>5.8557669614817268E-3</v>
      </c>
      <c r="I18" s="39" t="s">
        <v>219</v>
      </c>
      <c r="J18" s="39" t="s">
        <v>1262</v>
      </c>
      <c r="K18" s="61">
        <f>IF(ISNUMBER(SEARCH("13",J18)),H01_PARÁMETROS!$B$36,IF(ISNUMBER(SEARCH("5",J18)),H01_PARÁMETROS!$B$37,1))</f>
        <v>1.1499999999999999</v>
      </c>
      <c r="L18" s="77" cm="1">
        <f t="array" ref="L18">(E18*K18)/SUMPRODUCT(MAX($E$6:$E$25*$K$6:$K$25))</f>
        <v>0.66666666666666663</v>
      </c>
      <c r="M18" s="39" t="s">
        <v>207</v>
      </c>
      <c r="N18" s="39">
        <v>2398.0500000000002</v>
      </c>
      <c r="O18" s="39" t="s">
        <v>1263</v>
      </c>
      <c r="P18" s="39">
        <v>3655</v>
      </c>
      <c r="Q18" s="39" t="s">
        <v>1264</v>
      </c>
      <c r="R18" s="39" t="s">
        <v>225</v>
      </c>
      <c r="S18" s="39">
        <v>362</v>
      </c>
      <c r="T18" s="39" t="str">
        <f>IF(COUNTIF(H03_S1_ELECTORAL_CNE!D:D,A18)&gt;0,"✅ Vinculada CNE","⚠️ Sin vínculo electoral")</f>
        <v>⚠️ Sin vínculo electoral</v>
      </c>
      <c r="U18" s="39"/>
      <c r="V18" s="39"/>
      <c r="W18" s="39"/>
      <c r="X18" s="39"/>
      <c r="Y18" s="39"/>
      <c r="Z18" s="40"/>
    </row>
    <row r="19" spans="1:26" x14ac:dyDescent="0.3">
      <c r="A19" s="49" t="s">
        <v>1364</v>
      </c>
      <c r="B19" s="36" t="s">
        <v>1265</v>
      </c>
      <c r="C19" s="36" t="s">
        <v>180</v>
      </c>
      <c r="D19" s="36" t="s">
        <v>209</v>
      </c>
      <c r="E19" s="36">
        <v>1</v>
      </c>
      <c r="F19" s="55">
        <v>709999</v>
      </c>
      <c r="G19" s="55">
        <v>177500</v>
      </c>
      <c r="H19" s="76">
        <f t="shared" si="0"/>
        <v>4.3764153080547638E-3</v>
      </c>
      <c r="I19" s="36" t="s">
        <v>219</v>
      </c>
      <c r="J19" s="36" t="s">
        <v>1266</v>
      </c>
      <c r="K19" s="51">
        <f>IF(ISNUMBER(SEARCH("13",J19)),H01_PARÁMETROS!$B$36,IF(ISNUMBER(SEARCH("5",J19)),H01_PARÁMETROS!$B$37,1))</f>
        <v>1.1499999999999999</v>
      </c>
      <c r="L19" s="76" cm="1">
        <f t="array" ref="L19">(E19*K19)/SUMPRODUCT(MAX($E$6:$E$25*$K$6:$K$25))</f>
        <v>0.66666666666666663</v>
      </c>
      <c r="M19" s="36" t="s">
        <v>207</v>
      </c>
      <c r="N19" s="36">
        <v>17.32</v>
      </c>
      <c r="O19" s="36" t="s">
        <v>1267</v>
      </c>
      <c r="P19" s="36">
        <v>10.94</v>
      </c>
      <c r="Q19" s="36" t="s">
        <v>1268</v>
      </c>
      <c r="R19" s="36" t="s">
        <v>1566</v>
      </c>
      <c r="S19" s="36">
        <v>362</v>
      </c>
      <c r="T19" s="36" t="str">
        <f>IF(COUNTIF(H03_S1_ELECTORAL_CNE!D:D,A19)&gt;0,"✅ Vinculada CNE","⚠️ Sin vínculo electoral")</f>
        <v>✅ Vinculada CNE</v>
      </c>
      <c r="U19" s="36"/>
      <c r="V19" s="36"/>
      <c r="W19" s="36"/>
      <c r="X19" s="36"/>
      <c r="Y19" s="36"/>
      <c r="Z19" s="38"/>
    </row>
    <row r="20" spans="1:26" x14ac:dyDescent="0.3">
      <c r="A20" s="50" t="s">
        <v>1365</v>
      </c>
      <c r="B20" s="39" t="s">
        <v>1269</v>
      </c>
      <c r="C20" s="39" t="s">
        <v>184</v>
      </c>
      <c r="D20" s="39" t="s">
        <v>209</v>
      </c>
      <c r="E20" s="39">
        <v>1</v>
      </c>
      <c r="F20" s="56">
        <v>5001963</v>
      </c>
      <c r="G20" s="56">
        <v>1250491</v>
      </c>
      <c r="H20" s="77">
        <f t="shared" si="0"/>
        <v>3.0831932140758928E-2</v>
      </c>
      <c r="I20" s="39" t="s">
        <v>219</v>
      </c>
      <c r="J20" s="39">
        <v>11</v>
      </c>
      <c r="K20" s="61">
        <f>IF(ISNUMBER(SEARCH("13",J20)),H01_PARÁMETROS!$B$36,IF(ISNUMBER(SEARCH("5",J20)),H01_PARÁMETROS!$B$37,1))</f>
        <v>1</v>
      </c>
      <c r="L20" s="77" cm="1">
        <f t="array" ref="L20">(E20*K20)/SUMPRODUCT(MAX($E$6:$E$25*$K$6:$K$25))</f>
        <v>0.57971014492753625</v>
      </c>
      <c r="M20" s="39" t="s">
        <v>207</v>
      </c>
      <c r="N20" s="39">
        <v>97.95</v>
      </c>
      <c r="O20" s="39" t="s">
        <v>1270</v>
      </c>
      <c r="P20" s="39">
        <v>91.95</v>
      </c>
      <c r="Q20" s="39" t="s">
        <v>1271</v>
      </c>
      <c r="R20" s="39" t="s">
        <v>225</v>
      </c>
      <c r="S20" s="39">
        <v>365</v>
      </c>
      <c r="T20" s="39" t="str">
        <f>IF(COUNTIF(H03_S1_ELECTORAL_CNE!D:D,A20)&gt;0,"✅ Vinculada CNE","⚠️ Sin vínculo electoral")</f>
        <v>✅ Vinculada CNE</v>
      </c>
      <c r="U20" s="39"/>
      <c r="V20" s="39"/>
      <c r="W20" s="39"/>
      <c r="X20" s="39"/>
      <c r="Y20" s="39"/>
      <c r="Z20" s="40"/>
    </row>
    <row r="21" spans="1:26" x14ac:dyDescent="0.3">
      <c r="A21" s="49" t="s">
        <v>1366</v>
      </c>
      <c r="B21" s="36" t="s">
        <v>1272</v>
      </c>
      <c r="C21" s="36" t="s">
        <v>170</v>
      </c>
      <c r="D21" s="36" t="s">
        <v>209</v>
      </c>
      <c r="E21" s="36">
        <v>1</v>
      </c>
      <c r="F21" s="55">
        <v>498449</v>
      </c>
      <c r="G21" s="55">
        <v>124612</v>
      </c>
      <c r="H21" s="76">
        <f t="shared" si="0"/>
        <v>3.0724161372806774E-3</v>
      </c>
      <c r="I21" s="36" t="s">
        <v>213</v>
      </c>
      <c r="J21" s="36" t="s">
        <v>1273</v>
      </c>
      <c r="K21" s="51">
        <f>IF(ISNUMBER(SEARCH("13",J21)),H01_PARÁMETROS!$B$36,IF(ISNUMBER(SEARCH("5",J21)),H01_PARÁMETROS!$B$37,1))</f>
        <v>1</v>
      </c>
      <c r="L21" s="76" cm="1">
        <f t="array" ref="L21">(E21*K21)/SUMPRODUCT(MAX($E$6:$E$25*$K$6:$K$25))</f>
        <v>0.57971014492753625</v>
      </c>
      <c r="M21" s="36" t="s">
        <v>207</v>
      </c>
      <c r="N21" s="36">
        <v>10000</v>
      </c>
      <c r="O21" s="36" t="s">
        <v>1274</v>
      </c>
      <c r="P21" s="36">
        <v>8000</v>
      </c>
      <c r="Q21" s="36" t="s">
        <v>1275</v>
      </c>
      <c r="R21" s="36" t="s">
        <v>225</v>
      </c>
      <c r="S21" s="36">
        <v>366</v>
      </c>
      <c r="T21" s="36" t="str">
        <f>IF(COUNTIF(H03_S1_ELECTORAL_CNE!D:D,A21)&gt;0,"✅ Vinculada CNE","⚠️ Sin vínculo electoral")</f>
        <v>✅ Vinculada CNE</v>
      </c>
      <c r="U21" s="36"/>
      <c r="V21" s="36"/>
      <c r="W21" s="36"/>
      <c r="X21" s="36"/>
      <c r="Y21" s="36"/>
      <c r="Z21" s="38"/>
    </row>
    <row r="22" spans="1:26" x14ac:dyDescent="0.3">
      <c r="A22" s="50" t="s">
        <v>1367</v>
      </c>
      <c r="B22" s="39" t="s">
        <v>1276</v>
      </c>
      <c r="C22" s="39" t="s">
        <v>164</v>
      </c>
      <c r="D22" s="39" t="s">
        <v>209</v>
      </c>
      <c r="E22" s="39">
        <v>1</v>
      </c>
      <c r="F22" s="56">
        <v>472973</v>
      </c>
      <c r="G22" s="56">
        <v>118243</v>
      </c>
      <c r="H22" s="77">
        <f t="shared" si="0"/>
        <v>2.9153829592694054E-3</v>
      </c>
      <c r="I22" s="39" t="s">
        <v>206</v>
      </c>
      <c r="J22" s="39" t="s">
        <v>211</v>
      </c>
      <c r="K22" s="61">
        <f>IF(ISNUMBER(SEARCH("13",J22)),H01_PARÁMETROS!$B$36,IF(ISNUMBER(SEARCH("5",J22)),H01_PARÁMETROS!$B$37,1))</f>
        <v>1</v>
      </c>
      <c r="L22" s="77" cm="1">
        <f t="array" ref="L22">(E22*K22)/SUMPRODUCT(MAX($E$6:$E$25*$K$6:$K$25))</f>
        <v>0.57971014492753625</v>
      </c>
      <c r="M22" s="39" t="s">
        <v>207</v>
      </c>
      <c r="N22" s="39">
        <v>80</v>
      </c>
      <c r="O22" s="39" t="s">
        <v>1277</v>
      </c>
      <c r="P22" s="39">
        <v>0</v>
      </c>
      <c r="Q22" s="39" t="s">
        <v>1278</v>
      </c>
      <c r="R22" s="39" t="s">
        <v>1567</v>
      </c>
      <c r="S22" s="39">
        <v>367</v>
      </c>
      <c r="T22" s="39" t="str">
        <f>IF(COUNTIF(H03_S1_ELECTORAL_CNE!D:D,A22)&gt;0,"✅ Vinculada CNE","⚠️ Sin vínculo electoral")</f>
        <v>✅ Vinculada CNE</v>
      </c>
      <c r="U22" s="39"/>
      <c r="V22" s="39"/>
      <c r="W22" s="39"/>
      <c r="X22" s="39"/>
      <c r="Y22" s="39"/>
      <c r="Z22" s="40"/>
    </row>
    <row r="23" spans="1:26" x14ac:dyDescent="0.3">
      <c r="A23" s="49" t="s">
        <v>1368</v>
      </c>
      <c r="B23" s="36" t="s">
        <v>1279</v>
      </c>
      <c r="C23" s="36" t="s">
        <v>184</v>
      </c>
      <c r="D23" s="36" t="s">
        <v>209</v>
      </c>
      <c r="E23" s="36">
        <v>1</v>
      </c>
      <c r="F23" s="55">
        <v>270900</v>
      </c>
      <c r="G23" s="55">
        <v>67725</v>
      </c>
      <c r="H23" s="76">
        <f t="shared" si="0"/>
        <v>1.6698181788056838E-3</v>
      </c>
      <c r="I23" s="36" t="s">
        <v>219</v>
      </c>
      <c r="J23" s="36" t="s">
        <v>1280</v>
      </c>
      <c r="K23" s="51">
        <f>IF(ISNUMBER(SEARCH("13",J23)),H01_PARÁMETROS!$B$36,IF(ISNUMBER(SEARCH("5",J23)),H01_PARÁMETROS!$B$37,1))</f>
        <v>1</v>
      </c>
      <c r="L23" s="76" cm="1">
        <f t="array" ref="L23">(E23*K23)/SUMPRODUCT(MAX($E$6:$E$25*$K$6:$K$25))</f>
        <v>0.57971014492753625</v>
      </c>
      <c r="M23" s="36" t="s">
        <v>207</v>
      </c>
      <c r="N23" s="36">
        <v>20000</v>
      </c>
      <c r="O23" s="36" t="s">
        <v>1281</v>
      </c>
      <c r="P23" s="36">
        <v>4000</v>
      </c>
      <c r="Q23" s="36" t="s">
        <v>1282</v>
      </c>
      <c r="R23" s="36" t="s">
        <v>1567</v>
      </c>
      <c r="S23" s="36">
        <v>364</v>
      </c>
      <c r="T23" s="36" t="str">
        <f>IF(COUNTIF(H03_S1_ELECTORAL_CNE!D:D,A23)&gt;0,"✅ Vinculada CNE","⚠️ Sin vínculo electoral")</f>
        <v>✅ Vinculada CNE</v>
      </c>
      <c r="U23" s="36"/>
      <c r="V23" s="36"/>
      <c r="W23" s="36"/>
      <c r="X23" s="36"/>
      <c r="Y23" s="36"/>
      <c r="Z23" s="38"/>
    </row>
    <row r="24" spans="1:26" x14ac:dyDescent="0.3">
      <c r="A24" s="50" t="s">
        <v>1369</v>
      </c>
      <c r="B24" s="39" t="s">
        <v>1283</v>
      </c>
      <c r="C24" s="39" t="s">
        <v>184</v>
      </c>
      <c r="D24" s="39" t="s">
        <v>209</v>
      </c>
      <c r="E24" s="39">
        <v>1</v>
      </c>
      <c r="F24" s="56">
        <v>324000</v>
      </c>
      <c r="G24" s="56">
        <v>81000</v>
      </c>
      <c r="H24" s="77">
        <f t="shared" si="0"/>
        <v>1.9971247321263993E-3</v>
      </c>
      <c r="I24" s="39" t="s">
        <v>219</v>
      </c>
      <c r="J24" s="39" t="s">
        <v>1284</v>
      </c>
      <c r="K24" s="61">
        <f>IF(ISNUMBER(SEARCH("13",J24)),H01_PARÁMETROS!$B$36,IF(ISNUMBER(SEARCH("5",J24)),H01_PARÁMETROS!$B$37,1))</f>
        <v>1</v>
      </c>
      <c r="L24" s="77" cm="1">
        <f t="array" ref="L24">(E24*K24)/SUMPRODUCT(MAX($E$6:$E$25*$K$6:$K$25))</f>
        <v>0.57971014492753625</v>
      </c>
      <c r="M24" s="39" t="s">
        <v>1285</v>
      </c>
      <c r="N24" s="39">
        <v>50</v>
      </c>
      <c r="O24" s="39" t="s">
        <v>1286</v>
      </c>
      <c r="P24" s="39">
        <v>0</v>
      </c>
      <c r="Q24" s="39" t="s">
        <v>1287</v>
      </c>
      <c r="R24" s="39" t="s">
        <v>208</v>
      </c>
      <c r="S24" s="39">
        <v>365</v>
      </c>
      <c r="T24" s="39" t="str">
        <f>IF(COUNTIF(H03_S1_ELECTORAL_CNE!D:D,A24)&gt;0,"✅ Vinculada CNE","⚠️ Sin vínculo electoral")</f>
        <v>✅ Vinculada CNE</v>
      </c>
      <c r="U24" s="39"/>
      <c r="V24" s="39"/>
      <c r="W24" s="39"/>
      <c r="X24" s="39"/>
      <c r="Y24" s="39"/>
      <c r="Z24" s="40"/>
    </row>
    <row r="25" spans="1:26" x14ac:dyDescent="0.3">
      <c r="A25" s="72" t="s">
        <v>1370</v>
      </c>
      <c r="B25" s="46" t="s">
        <v>1288</v>
      </c>
      <c r="C25" s="46" t="s">
        <v>156</v>
      </c>
      <c r="D25" s="46" t="s">
        <v>205</v>
      </c>
      <c r="E25" s="46">
        <v>0.5</v>
      </c>
      <c r="F25" s="78">
        <v>230363</v>
      </c>
      <c r="G25" s="78">
        <v>57591</v>
      </c>
      <c r="H25" s="79">
        <f t="shared" si="0"/>
        <v>1.4199556845418699E-3</v>
      </c>
      <c r="I25" s="46" t="s">
        <v>206</v>
      </c>
      <c r="J25" s="46" t="s">
        <v>1289</v>
      </c>
      <c r="K25" s="80">
        <f>IF(ISNUMBER(SEARCH("13",J25)),H01_PARÁMETROS!$B$36,IF(ISNUMBER(SEARCH("5",J25)),H01_PARÁMETROS!$B$37,1))</f>
        <v>1</v>
      </c>
      <c r="L25" s="79" cm="1">
        <f t="array" ref="L25">(E25*K25)/SUMPRODUCT(MAX($E$6:$E$25*$K$6:$K$25))</f>
        <v>0.28985507246376813</v>
      </c>
      <c r="M25" s="46" t="s">
        <v>207</v>
      </c>
      <c r="N25" s="46">
        <v>500</v>
      </c>
      <c r="O25" s="46" t="s">
        <v>1290</v>
      </c>
      <c r="P25" s="46">
        <v>0</v>
      </c>
      <c r="Q25" s="46" t="s">
        <v>1291</v>
      </c>
      <c r="R25" s="46" t="s">
        <v>1568</v>
      </c>
      <c r="S25" s="46">
        <v>440</v>
      </c>
      <c r="T25" s="46" t="str">
        <f>IF(COUNTIF(H03_S1_ELECTORAL_CNE!D:D,A25)&gt;0,"✅ Vinculada CNE","⚠️ Sin vínculo electoral")</f>
        <v>✅ Vinculada CNE</v>
      </c>
      <c r="U25" s="46"/>
      <c r="V25" s="46"/>
      <c r="W25" s="46"/>
      <c r="X25" s="46"/>
      <c r="Y25" s="46"/>
      <c r="Z25" s="47"/>
    </row>
  </sheetData>
  <hyperlinks>
    <hyperlink ref="B1" location="'H00_ÍNDICE'!A1" display="⬅️ ÍNDICE GENERAL" xr:uid="{D79E1316-BAC2-4CE9-A54F-A1A18EF3BAF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4753-AE95-4925-B01A-0CA9F769D70F}">
  <sheetPr>
    <tabColor rgb="FF38A169"/>
  </sheetPr>
  <dimension ref="A1:AG26"/>
  <sheetViews>
    <sheetView workbookViewId="0">
      <pane ySplit="3" topLeftCell="A4" activePane="bottomLeft" state="frozen"/>
      <selection pane="bottomLeft"/>
    </sheetView>
  </sheetViews>
  <sheetFormatPr baseColWidth="10" defaultRowHeight="14.4" x14ac:dyDescent="0.3"/>
  <cols>
    <col min="1" max="1" width="40.77734375" customWidth="1"/>
    <col min="2" max="2" width="105.77734375" bestFit="1" customWidth="1"/>
    <col min="3" max="3" width="46.44140625" bestFit="1" customWidth="1"/>
    <col min="4" max="11" width="20.33203125" customWidth="1"/>
    <col min="12" max="12" width="11.33203125" bestFit="1" customWidth="1"/>
    <col min="13" max="13" width="11.109375" bestFit="1" customWidth="1"/>
    <col min="14" max="14" width="11" bestFit="1" customWidth="1"/>
    <col min="15" max="15" width="11.33203125" bestFit="1" customWidth="1"/>
    <col min="16" max="16" width="11.21875" bestFit="1" customWidth="1"/>
    <col min="17" max="17" width="11" bestFit="1" customWidth="1"/>
    <col min="18" max="18" width="10.88671875" bestFit="1" customWidth="1"/>
    <col min="19" max="19" width="10.5546875" bestFit="1" customWidth="1"/>
    <col min="20" max="20" width="10.44140625" bestFit="1" customWidth="1"/>
    <col min="22" max="22" width="11.44140625" bestFit="1" customWidth="1"/>
    <col min="23" max="23" width="11" bestFit="1" customWidth="1"/>
    <col min="24" max="24" width="10.88671875" bestFit="1" customWidth="1"/>
    <col min="25" max="25" width="11.21875" bestFit="1" customWidth="1"/>
    <col min="26" max="26" width="11.109375" bestFit="1" customWidth="1"/>
  </cols>
  <sheetData>
    <row r="1" spans="1:33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1133</v>
      </c>
      <c r="E1" s="212" t="str">
        <f ca="1">TEXT(TODAY(),"DD/MM/YYYY")</f>
        <v>05/04/2026</v>
      </c>
    </row>
    <row r="2" spans="1:33" ht="30" customHeight="1" x14ac:dyDescent="0.35">
      <c r="A2" s="1" t="s">
        <v>230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33" ht="19.95" customHeight="1" x14ac:dyDescent="0.3">
      <c r="A3" s="2" t="s">
        <v>231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33" ht="19.95" customHeight="1" x14ac:dyDescent="0.3">
      <c r="A4" s="29" t="s">
        <v>232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33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33" x14ac:dyDescent="0.3">
      <c r="A6" s="2" t="s">
        <v>192</v>
      </c>
      <c r="B6" s="2" t="s">
        <v>233</v>
      </c>
      <c r="C6" s="2" t="s">
        <v>203</v>
      </c>
      <c r="D6" s="2" t="s">
        <v>200</v>
      </c>
      <c r="E6" s="2" t="s">
        <v>234</v>
      </c>
      <c r="F6" s="2" t="s">
        <v>235</v>
      </c>
      <c r="G6" s="2" t="s">
        <v>236</v>
      </c>
      <c r="H6" s="2" t="s">
        <v>237</v>
      </c>
      <c r="I6" s="2" t="s">
        <v>238</v>
      </c>
      <c r="J6" s="2" t="s">
        <v>239</v>
      </c>
      <c r="K6" s="2" t="s">
        <v>240</v>
      </c>
      <c r="L6" s="2" t="s">
        <v>241</v>
      </c>
      <c r="M6" s="2" t="s">
        <v>242</v>
      </c>
      <c r="N6" s="2" t="s">
        <v>243</v>
      </c>
      <c r="O6" s="2" t="s">
        <v>244</v>
      </c>
      <c r="P6" s="2" t="s">
        <v>245</v>
      </c>
      <c r="Q6" s="2" t="s">
        <v>246</v>
      </c>
      <c r="R6" s="2" t="s">
        <v>247</v>
      </c>
      <c r="S6" s="2" t="s">
        <v>248</v>
      </c>
      <c r="T6" s="2" t="s">
        <v>249</v>
      </c>
      <c r="U6" s="2" t="s">
        <v>250</v>
      </c>
      <c r="V6" s="2" t="s">
        <v>251</v>
      </c>
      <c r="W6" s="2" t="s">
        <v>252</v>
      </c>
      <c r="X6" s="2" t="s">
        <v>253</v>
      </c>
      <c r="Y6" s="2" t="s">
        <v>254</v>
      </c>
      <c r="Z6" s="2" t="s">
        <v>255</v>
      </c>
      <c r="AA6" s="2" t="s">
        <v>256</v>
      </c>
      <c r="AB6" s="2" t="s">
        <v>257</v>
      </c>
      <c r="AC6" s="2" t="s">
        <v>258</v>
      </c>
      <c r="AD6" s="2" t="s">
        <v>259</v>
      </c>
      <c r="AE6" s="2" t="s">
        <v>260</v>
      </c>
      <c r="AF6" s="2" t="s">
        <v>261</v>
      </c>
      <c r="AG6" s="2" t="s">
        <v>262</v>
      </c>
    </row>
    <row r="7" spans="1:33" x14ac:dyDescent="0.3">
      <c r="A7" t="str">
        <f>H04_S2_PLANIFICACIÓN_PDOT!A6</f>
        <v>SC-I-N-01</v>
      </c>
      <c r="B7" t="str">
        <f>H04_S2_PLANIFICACIÓN_PDOT!B6</f>
        <v>Agua potable: cobertura 39.25%→42.38%; calidad 100% INEN 1108; infraestructura BUENA 22.74%→41.64%</v>
      </c>
      <c r="C7" t="str">
        <f>H04_S2_PLANIFICACIÓN_PDOT!R6</f>
        <v>Patronato Municipal</v>
      </c>
      <c r="D7">
        <f>H04_S2_PLANIFICACIÓN_PDOT!N6</f>
        <v>42.38</v>
      </c>
      <c r="E7" t="str">
        <f>H04_S2_PLANIFICACIÓN_PDOT!O6</f>
        <v>% cobertura agua potable</v>
      </c>
      <c r="F7" s="6">
        <f>H04_S2_PLANIFICACIÓN_PDOT!G6</f>
        <v>11726219</v>
      </c>
      <c r="G7" s="13">
        <v>5</v>
      </c>
      <c r="H7" s="13">
        <v>0</v>
      </c>
      <c r="I7" s="13">
        <v>10</v>
      </c>
      <c r="J7" s="13">
        <v>0</v>
      </c>
      <c r="K7" s="13">
        <v>15</v>
      </c>
      <c r="L7" s="13">
        <v>0</v>
      </c>
      <c r="M7" s="13">
        <v>25</v>
      </c>
      <c r="N7" s="13">
        <v>0</v>
      </c>
      <c r="O7" s="13">
        <v>35</v>
      </c>
      <c r="P7" s="13">
        <v>0</v>
      </c>
      <c r="Q7" s="13">
        <v>45</v>
      </c>
      <c r="R7" s="13">
        <v>0</v>
      </c>
      <c r="S7" s="13">
        <v>55</v>
      </c>
      <c r="T7" s="13">
        <v>0</v>
      </c>
      <c r="U7" s="13">
        <v>65</v>
      </c>
      <c r="V7" s="13">
        <v>0</v>
      </c>
      <c r="W7" s="13">
        <v>75</v>
      </c>
      <c r="X7" s="13">
        <v>0</v>
      </c>
      <c r="Y7" s="13">
        <v>85</v>
      </c>
      <c r="Z7" s="13">
        <v>0</v>
      </c>
      <c r="AA7" s="13">
        <v>92</v>
      </c>
      <c r="AB7" s="13">
        <v>0</v>
      </c>
      <c r="AC7" s="13">
        <v>100</v>
      </c>
      <c r="AD7" s="13">
        <v>0</v>
      </c>
      <c r="AE7" s="10">
        <f t="shared" ref="AE7:AE26" si="0">AVERAGE(H7,J7,L7,N7,P7,R7,T7,V7,X7,Z7,AB7,AD7)</f>
        <v>0</v>
      </c>
      <c r="AF7" t="str">
        <f t="shared" ref="AF7:AF26" si="1">IF(AC7=0,"⏸️",IF(AE7/AC7&gt;=0.9,"🟢",IF(AE7/AC7&gt;=0.7,"🟡","🔴")))</f>
        <v>🔴</v>
      </c>
      <c r="AG7" t="str">
        <f t="shared" ref="AG7:AG26" si="2">IF(F7&gt;0,"✅ Con presupuesto inversión","⚠️ SIN PRESUPUESTO — verificar clasificación")</f>
        <v>✅ Con presupuesto inversión</v>
      </c>
    </row>
    <row r="8" spans="1:33" x14ac:dyDescent="0.3">
      <c r="A8" s="48" t="str">
        <f>H04_S2_PLANIFICACIÓN_PDOT!A7</f>
        <v>SC-L-N-02</v>
      </c>
      <c r="B8" s="34" t="str">
        <f>H04_S2_PLANIFICACIÓN_PDOT!B7</f>
        <v>Gestión del talento humano municipal: desempeño 80%→90%; plan capacitación 90% anual</v>
      </c>
      <c r="C8" s="34" t="str">
        <f>H04_S2_PLANIFICACIÓN_PDOT!R7</f>
        <v>Dirección TIC</v>
      </c>
      <c r="D8" s="34">
        <f>H04_S2_PLANIFICACIÓN_PDOT!N7</f>
        <v>90</v>
      </c>
      <c r="E8" s="34" t="str">
        <f>H04_S2_PLANIFICACIÓN_PDOT!O7</f>
        <v>% nivel desempeño personal</v>
      </c>
      <c r="F8" s="73">
        <f>H04_S2_PLANIFICACIÓN_PDOT!G7</f>
        <v>13194220</v>
      </c>
      <c r="G8" s="81">
        <v>0</v>
      </c>
      <c r="H8" s="81">
        <v>0</v>
      </c>
      <c r="I8" s="81">
        <v>0</v>
      </c>
      <c r="J8" s="81">
        <v>0</v>
      </c>
      <c r="K8" s="81">
        <v>0</v>
      </c>
      <c r="L8" s="81">
        <v>0</v>
      </c>
      <c r="M8" s="81">
        <v>17</v>
      </c>
      <c r="N8" s="81">
        <v>0</v>
      </c>
      <c r="O8" s="81">
        <v>33</v>
      </c>
      <c r="P8" s="81">
        <v>0</v>
      </c>
      <c r="Q8" s="81">
        <v>50</v>
      </c>
      <c r="R8" s="81">
        <v>0</v>
      </c>
      <c r="S8" s="81">
        <v>67</v>
      </c>
      <c r="T8" s="81">
        <v>0</v>
      </c>
      <c r="U8" s="81">
        <v>83</v>
      </c>
      <c r="V8" s="81">
        <v>0</v>
      </c>
      <c r="W8" s="81">
        <v>100</v>
      </c>
      <c r="X8" s="81">
        <v>0</v>
      </c>
      <c r="Y8" s="81">
        <v>100</v>
      </c>
      <c r="Z8" s="82">
        <v>0</v>
      </c>
      <c r="AA8" s="13">
        <v>100</v>
      </c>
      <c r="AB8" s="13">
        <v>0</v>
      </c>
      <c r="AC8" s="13">
        <v>100</v>
      </c>
      <c r="AD8" s="13">
        <v>0</v>
      </c>
      <c r="AE8" s="10">
        <f t="shared" si="0"/>
        <v>0</v>
      </c>
      <c r="AF8" t="str">
        <f t="shared" si="1"/>
        <v>🔴</v>
      </c>
      <c r="AG8" t="str">
        <f t="shared" si="2"/>
        <v>✅ Con presupuesto inversión</v>
      </c>
    </row>
    <row r="9" spans="1:33" x14ac:dyDescent="0.3">
      <c r="A9" s="49" t="str">
        <f>H04_S2_PLANIFICACIÓN_PDOT!A8</f>
        <v>AH-I-X-01</v>
      </c>
      <c r="B9" s="36" t="str">
        <f>H04_S2_PLANIFICACIÓN_PDOT!B8</f>
        <v>Sostenibilidad financiera: autonomía 43.35%→45.30%; gestión cobros y coactivas</v>
      </c>
      <c r="C9" s="36" t="str">
        <f>H04_S2_PLANIFICACIÓN_PDOT!R8</f>
        <v>Dirección de Obras Públicas</v>
      </c>
      <c r="D9" s="36">
        <f>H04_S2_PLANIFICACIÓN_PDOT!N8</f>
        <v>45.3</v>
      </c>
      <c r="E9" s="36" t="str">
        <f>H04_S2_PLANIFICACIÓN_PDOT!O8</f>
        <v>% autonomía financiera</v>
      </c>
      <c r="F9" s="55">
        <f>H04_S2_PLANIFICACIÓN_PDOT!G8</f>
        <v>5051427</v>
      </c>
      <c r="G9" s="83">
        <v>0</v>
      </c>
      <c r="H9" s="83">
        <v>0</v>
      </c>
      <c r="I9" s="83">
        <v>0</v>
      </c>
      <c r="J9" s="83">
        <v>0</v>
      </c>
      <c r="K9" s="83">
        <v>0</v>
      </c>
      <c r="L9" s="83">
        <v>0</v>
      </c>
      <c r="M9" s="83">
        <v>11</v>
      </c>
      <c r="N9" s="83">
        <v>0</v>
      </c>
      <c r="O9" s="83">
        <v>22</v>
      </c>
      <c r="P9" s="83">
        <v>0</v>
      </c>
      <c r="Q9" s="83">
        <v>33</v>
      </c>
      <c r="R9" s="83">
        <v>0</v>
      </c>
      <c r="S9" s="83">
        <v>44</v>
      </c>
      <c r="T9" s="83">
        <v>0</v>
      </c>
      <c r="U9" s="83">
        <v>56</v>
      </c>
      <c r="V9" s="83">
        <v>0</v>
      </c>
      <c r="W9" s="83">
        <v>67</v>
      </c>
      <c r="X9" s="83">
        <v>0</v>
      </c>
      <c r="Y9" s="83">
        <v>78</v>
      </c>
      <c r="Z9" s="84">
        <v>0</v>
      </c>
      <c r="AA9" s="13">
        <v>89</v>
      </c>
      <c r="AB9" s="13">
        <v>0</v>
      </c>
      <c r="AC9" s="13">
        <v>100</v>
      </c>
      <c r="AD9" s="13">
        <v>0</v>
      </c>
      <c r="AE9" s="10">
        <f t="shared" si="0"/>
        <v>0</v>
      </c>
      <c r="AF9" t="str">
        <f t="shared" si="1"/>
        <v>🔴</v>
      </c>
      <c r="AG9" t="str">
        <f t="shared" si="2"/>
        <v>✅ Con presupuesto inversión</v>
      </c>
    </row>
    <row r="10" spans="1:33" x14ac:dyDescent="0.3">
      <c r="A10" s="50" t="str">
        <f>H04_S2_PLANIFICACIÓN_PDOT!A9</f>
        <v>AH-I-X-02</v>
      </c>
      <c r="B10" s="39" t="str">
        <f>H04_S2_PLANIFICACIÓN_PDOT!B9</f>
        <v>Vialidad cantonal: mantenimiento 43.8 km vías CUP + 57.22 km rurales; 23.77 km tratamiento medio</v>
      </c>
      <c r="C10" s="39" t="str">
        <f>H04_S2_PLANIFICACIÓN_PDOT!R9</f>
        <v>Dirección de Obras Públicas</v>
      </c>
      <c r="D10" s="39">
        <f>H04_S2_PLANIFICACIÓN_PDOT!N9</f>
        <v>130.21</v>
      </c>
      <c r="E10" s="39" t="str">
        <f>H04_S2_PLANIFICACIÓN_PDOT!O9</f>
        <v>Km vías mantenidas CUP acumulado</v>
      </c>
      <c r="F10" s="56">
        <f>H04_S2_PLANIFICACIÓN_PDOT!G9</f>
        <v>2729440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5">
        <v>0</v>
      </c>
      <c r="M10" s="85">
        <v>0</v>
      </c>
      <c r="N10" s="85">
        <v>0</v>
      </c>
      <c r="O10" s="85">
        <v>0</v>
      </c>
      <c r="P10" s="85">
        <v>0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0</v>
      </c>
      <c r="W10" s="85">
        <v>0</v>
      </c>
      <c r="X10" s="85">
        <v>0</v>
      </c>
      <c r="Y10" s="85">
        <v>0</v>
      </c>
      <c r="Z10" s="86">
        <v>0</v>
      </c>
      <c r="AA10" s="13">
        <v>0</v>
      </c>
      <c r="AB10" s="13">
        <v>0</v>
      </c>
      <c r="AC10" s="13">
        <v>0</v>
      </c>
      <c r="AD10" s="13">
        <v>0</v>
      </c>
      <c r="AE10" s="10">
        <f t="shared" si="0"/>
        <v>0</v>
      </c>
      <c r="AF10" t="str">
        <f t="shared" si="1"/>
        <v>⏸️</v>
      </c>
      <c r="AG10" t="str">
        <f t="shared" si="2"/>
        <v>✅ Con presupuesto inversión</v>
      </c>
    </row>
    <row r="11" spans="1:33" x14ac:dyDescent="0.3">
      <c r="A11" s="49" t="str">
        <f>H04_S2_PLANIFICACIÓN_PDOT!A10</f>
        <v>AH-I-X-03</v>
      </c>
      <c r="B11" s="36" t="str">
        <f>H04_S2_PLANIFICACIÓN_PDOT!B10</f>
        <v>Salud integral municipal: población atendida 57,401→84,041 personas (+10% anual)</v>
      </c>
      <c r="C11" s="36" t="str">
        <f>H04_S2_PLANIFICACIÓN_PDOT!R10</f>
        <v>Dirección de Obras Públicas</v>
      </c>
      <c r="D11" s="36">
        <f>H04_S2_PLANIFICACIÓN_PDOT!N10</f>
        <v>84041</v>
      </c>
      <c r="E11" s="36" t="str">
        <f>H04_S2_PLANIFICACIÓN_PDOT!O10</f>
        <v>Personas atendidas salud municipal</v>
      </c>
      <c r="F11" s="55">
        <f>H04_S2_PLANIFICACIÓN_PDOT!G10</f>
        <v>1470661</v>
      </c>
      <c r="G11" s="83">
        <v>0</v>
      </c>
      <c r="H11" s="83">
        <v>0</v>
      </c>
      <c r="I11" s="83">
        <v>0</v>
      </c>
      <c r="J11" s="83">
        <v>0</v>
      </c>
      <c r="K11" s="83">
        <v>0</v>
      </c>
      <c r="L11" s="83">
        <v>0</v>
      </c>
      <c r="M11" s="83">
        <v>17</v>
      </c>
      <c r="N11" s="83">
        <v>0</v>
      </c>
      <c r="O11" s="83">
        <v>33</v>
      </c>
      <c r="P11" s="83">
        <v>0</v>
      </c>
      <c r="Q11" s="83">
        <v>50</v>
      </c>
      <c r="R11" s="83">
        <v>0</v>
      </c>
      <c r="S11" s="83">
        <v>67</v>
      </c>
      <c r="T11" s="83">
        <v>0</v>
      </c>
      <c r="U11" s="83">
        <v>83</v>
      </c>
      <c r="V11" s="83">
        <v>0</v>
      </c>
      <c r="W11" s="83">
        <v>100</v>
      </c>
      <c r="X11" s="83">
        <v>0</v>
      </c>
      <c r="Y11" s="83">
        <v>100</v>
      </c>
      <c r="Z11" s="84">
        <v>0</v>
      </c>
      <c r="AA11" s="13">
        <v>100</v>
      </c>
      <c r="AB11" s="13">
        <v>0</v>
      </c>
      <c r="AC11" s="13">
        <v>100</v>
      </c>
      <c r="AD11" s="13">
        <v>0</v>
      </c>
      <c r="AE11" s="10">
        <f t="shared" si="0"/>
        <v>0</v>
      </c>
      <c r="AF11" t="str">
        <f t="shared" si="1"/>
        <v>🔴</v>
      </c>
      <c r="AG11" t="str">
        <f t="shared" si="2"/>
        <v>✅ Con presupuesto inversión</v>
      </c>
    </row>
    <row r="12" spans="1:33" x14ac:dyDescent="0.3">
      <c r="A12" s="50" t="str">
        <f>H04_S2_PLANIFICACIÓN_PDOT!A11</f>
        <v>AH-I-N-01</v>
      </c>
      <c r="B12" s="39" t="str">
        <f>H04_S2_PLANIFICACIÓN_PDOT!B11</f>
        <v>Gestión integral desechos sólidos: 20,118→23,086 Tn/año; relleno sanitario; capacidad disposición 0%→20%</v>
      </c>
      <c r="C12" s="39" t="str">
        <f>H04_S2_PLANIFICACIÓN_PDOT!R11</f>
        <v>EP Montehogar</v>
      </c>
      <c r="D12" s="39">
        <f>H04_S2_PLANIFICACIÓN_PDOT!N11</f>
        <v>23086.94</v>
      </c>
      <c r="E12" s="39" t="str">
        <f>H04_S2_PLANIFICACIÓN_PDOT!O11</f>
        <v>Toneladas de desechos gestionadas/año</v>
      </c>
      <c r="F12" s="56">
        <f>H04_S2_PLANIFICACIÓN_PDOT!G11</f>
        <v>1437686</v>
      </c>
      <c r="G12" s="85">
        <v>17</v>
      </c>
      <c r="H12" s="85">
        <v>0</v>
      </c>
      <c r="I12" s="85">
        <v>33</v>
      </c>
      <c r="J12" s="85">
        <v>0</v>
      </c>
      <c r="K12" s="85">
        <v>50</v>
      </c>
      <c r="L12" s="85">
        <v>0</v>
      </c>
      <c r="M12" s="85">
        <v>67</v>
      </c>
      <c r="N12" s="85">
        <v>0</v>
      </c>
      <c r="O12" s="85">
        <v>83</v>
      </c>
      <c r="P12" s="85">
        <v>0</v>
      </c>
      <c r="Q12" s="85">
        <v>100</v>
      </c>
      <c r="R12" s="85">
        <v>0</v>
      </c>
      <c r="S12" s="85">
        <v>100</v>
      </c>
      <c r="T12" s="85">
        <v>0</v>
      </c>
      <c r="U12" s="85">
        <v>100</v>
      </c>
      <c r="V12" s="85">
        <v>0</v>
      </c>
      <c r="W12" s="85">
        <v>100</v>
      </c>
      <c r="X12" s="85">
        <v>0</v>
      </c>
      <c r="Y12" s="85">
        <v>100</v>
      </c>
      <c r="Z12" s="86">
        <v>0</v>
      </c>
      <c r="AA12" s="13">
        <v>100</v>
      </c>
      <c r="AB12" s="13">
        <v>0</v>
      </c>
      <c r="AC12" s="13">
        <v>100</v>
      </c>
      <c r="AD12" s="13">
        <v>0</v>
      </c>
      <c r="AE12" s="10">
        <f t="shared" si="0"/>
        <v>0</v>
      </c>
      <c r="AF12" t="str">
        <f t="shared" si="1"/>
        <v>🔴</v>
      </c>
      <c r="AG12" t="str">
        <f t="shared" si="2"/>
        <v>✅ Con presupuesto inversión</v>
      </c>
    </row>
    <row r="13" spans="1:33" x14ac:dyDescent="0.3">
      <c r="A13" s="49" t="str">
        <f>H04_S2_PLANIFICACIÓN_PDOT!A12</f>
        <v>SC-L-G-01</v>
      </c>
      <c r="B13" s="36" t="str">
        <f>H04_S2_PLANIFICACIÓN_PDOT!B12</f>
        <v>Alcantarillado sanitario: cobertura 19.77%→24.32%; PTAR 0%→75%; estaciones bombeo 36%→72%</v>
      </c>
      <c r="C13" s="36" t="str">
        <f>H04_S2_PLANIFICACIÓN_PDOT!R12</f>
        <v>Dirección de Cultura y Deporte</v>
      </c>
      <c r="D13" s="36">
        <f>H04_S2_PLANIFICACIÓN_PDOT!N12</f>
        <v>24.32</v>
      </c>
      <c r="E13" s="36" t="str">
        <f>H04_S2_PLANIFICACIÓN_PDOT!O12</f>
        <v>% cobertura alcantarillado sanitario</v>
      </c>
      <c r="F13" s="55">
        <f>H04_S2_PLANIFICACIÓN_PDOT!G12</f>
        <v>317465</v>
      </c>
      <c r="G13" s="83">
        <v>5</v>
      </c>
      <c r="H13" s="83">
        <v>0</v>
      </c>
      <c r="I13" s="83">
        <v>10</v>
      </c>
      <c r="J13" s="83">
        <v>0</v>
      </c>
      <c r="K13" s="83">
        <v>15</v>
      </c>
      <c r="L13" s="83">
        <v>0</v>
      </c>
      <c r="M13" s="83">
        <v>25</v>
      </c>
      <c r="N13" s="83">
        <v>0</v>
      </c>
      <c r="O13" s="83">
        <v>35</v>
      </c>
      <c r="P13" s="83">
        <v>0</v>
      </c>
      <c r="Q13" s="83">
        <v>45</v>
      </c>
      <c r="R13" s="83">
        <v>0</v>
      </c>
      <c r="S13" s="83">
        <v>55</v>
      </c>
      <c r="T13" s="83">
        <v>0</v>
      </c>
      <c r="U13" s="83">
        <v>65</v>
      </c>
      <c r="V13" s="83">
        <v>0</v>
      </c>
      <c r="W13" s="83">
        <v>75</v>
      </c>
      <c r="X13" s="83">
        <v>0</v>
      </c>
      <c r="Y13" s="83">
        <v>85</v>
      </c>
      <c r="Z13" s="84">
        <v>0</v>
      </c>
      <c r="AA13" s="13">
        <v>92</v>
      </c>
      <c r="AB13" s="13">
        <v>0</v>
      </c>
      <c r="AC13" s="13">
        <v>100</v>
      </c>
      <c r="AD13" s="13">
        <v>0</v>
      </c>
      <c r="AE13" s="10">
        <f t="shared" si="0"/>
        <v>0</v>
      </c>
      <c r="AF13" t="str">
        <f t="shared" si="1"/>
        <v>🔴</v>
      </c>
      <c r="AG13" t="str">
        <f t="shared" si="2"/>
        <v>✅ Con presupuesto inversión</v>
      </c>
    </row>
    <row r="14" spans="1:33" x14ac:dyDescent="0.3">
      <c r="A14" s="50" t="str">
        <f>H04_S2_PLANIFICACIÓN_PDOT!A13</f>
        <v>AH-I-X-04</v>
      </c>
      <c r="B14" s="39" t="str">
        <f>H04_S2_PLANIFICACIÓN_PDOT!B13</f>
        <v>Modernización recursos administrativos: parque automotor, tecnología e infraestructura municipal</v>
      </c>
      <c r="C14" s="39" t="str">
        <f>H04_S2_PLANIFICACIÓN_PDOT!R13</f>
        <v>Dirección de Obras Públicas</v>
      </c>
      <c r="D14" s="39">
        <f>H04_S2_PLANIFICACIÓN_PDOT!N13</f>
        <v>1</v>
      </c>
      <c r="E14" s="39" t="str">
        <f>H04_S2_PLANIFICACIÓN_PDOT!O13</f>
        <v>Parque automotor y tecnología renovados</v>
      </c>
      <c r="F14" s="56">
        <f>H04_S2_PLANIFICACIÓN_PDOT!G13</f>
        <v>941255</v>
      </c>
      <c r="G14" s="85">
        <v>5</v>
      </c>
      <c r="H14" s="85">
        <v>0</v>
      </c>
      <c r="I14" s="85">
        <v>15</v>
      </c>
      <c r="J14" s="85">
        <v>0</v>
      </c>
      <c r="K14" s="85">
        <v>25</v>
      </c>
      <c r="L14" s="85">
        <v>0</v>
      </c>
      <c r="M14" s="85">
        <v>37</v>
      </c>
      <c r="N14" s="85">
        <v>0</v>
      </c>
      <c r="O14" s="85">
        <v>48</v>
      </c>
      <c r="P14" s="85">
        <v>0</v>
      </c>
      <c r="Q14" s="85">
        <v>60</v>
      </c>
      <c r="R14" s="85">
        <v>0</v>
      </c>
      <c r="S14" s="85">
        <v>72</v>
      </c>
      <c r="T14" s="85">
        <v>0</v>
      </c>
      <c r="U14" s="85">
        <v>84</v>
      </c>
      <c r="V14" s="85">
        <v>0</v>
      </c>
      <c r="W14" s="85">
        <v>100</v>
      </c>
      <c r="X14" s="85">
        <v>0</v>
      </c>
      <c r="Y14" s="85">
        <v>100</v>
      </c>
      <c r="Z14" s="86">
        <v>0</v>
      </c>
      <c r="AA14" s="13">
        <v>100</v>
      </c>
      <c r="AB14" s="13">
        <v>0</v>
      </c>
      <c r="AC14" s="13">
        <v>100</v>
      </c>
      <c r="AD14" s="13">
        <v>0</v>
      </c>
      <c r="AE14" s="10">
        <f t="shared" si="0"/>
        <v>0</v>
      </c>
      <c r="AF14" t="str">
        <f t="shared" si="1"/>
        <v>🔴</v>
      </c>
      <c r="AG14" t="str">
        <f t="shared" si="2"/>
        <v>✅ Con presupuesto inversión</v>
      </c>
    </row>
    <row r="15" spans="1:33" x14ac:dyDescent="0.3">
      <c r="A15" s="49" t="str">
        <f>H04_S2_PLANIFICACIÓN_PDOT!A14</f>
        <v>PI-I-G-01</v>
      </c>
      <c r="B15" s="36" t="str">
        <f>H04_S2_PLANIFICACIÓN_PDOT!B14</f>
        <v>Equipamientos públicos: terminal terrestre, mercado, estación bomberil, centro salud tipo C, mantenimiento espacios recreativos</v>
      </c>
      <c r="C15" s="36" t="str">
        <f>H04_S2_PLANIFICACIÓN_PDOT!R14</f>
        <v>Dirección Administrativa</v>
      </c>
      <c r="D15" s="36">
        <f>H04_S2_PLANIFICACIÓN_PDOT!N14</f>
        <v>10.73</v>
      </c>
      <c r="E15" s="36" t="str">
        <f>H04_S2_PLANIFICACIÓN_PDOT!O14</f>
        <v>m² / hab índice equipamiento urbano CUP</v>
      </c>
      <c r="F15" s="55">
        <f>H04_S2_PLANIFICACIÓN_PDOT!G14</f>
        <v>647139</v>
      </c>
      <c r="G15" s="83">
        <v>5</v>
      </c>
      <c r="H15" s="83">
        <v>0</v>
      </c>
      <c r="I15" s="83">
        <v>10</v>
      </c>
      <c r="J15" s="83">
        <v>0</v>
      </c>
      <c r="K15" s="83">
        <v>15</v>
      </c>
      <c r="L15" s="83">
        <v>0</v>
      </c>
      <c r="M15" s="83">
        <v>25</v>
      </c>
      <c r="N15" s="83">
        <v>0</v>
      </c>
      <c r="O15" s="83">
        <v>35</v>
      </c>
      <c r="P15" s="83">
        <v>0</v>
      </c>
      <c r="Q15" s="83">
        <v>45</v>
      </c>
      <c r="R15" s="83">
        <v>0</v>
      </c>
      <c r="S15" s="83">
        <v>55</v>
      </c>
      <c r="T15" s="83">
        <v>0</v>
      </c>
      <c r="U15" s="83">
        <v>65</v>
      </c>
      <c r="V15" s="83">
        <v>0</v>
      </c>
      <c r="W15" s="83">
        <v>75</v>
      </c>
      <c r="X15" s="83">
        <v>0</v>
      </c>
      <c r="Y15" s="83">
        <v>85</v>
      </c>
      <c r="Z15" s="84">
        <v>0</v>
      </c>
      <c r="AA15" s="13">
        <v>92</v>
      </c>
      <c r="AB15" s="13">
        <v>0</v>
      </c>
      <c r="AC15" s="13">
        <v>100</v>
      </c>
      <c r="AD15" s="13">
        <v>0</v>
      </c>
      <c r="AE15" s="10">
        <f t="shared" si="0"/>
        <v>0</v>
      </c>
      <c r="AF15" t="str">
        <f t="shared" si="1"/>
        <v>🔴</v>
      </c>
      <c r="AG15" t="str">
        <f t="shared" si="2"/>
        <v>✅ Con presupuesto inversión</v>
      </c>
    </row>
    <row r="16" spans="1:33" x14ac:dyDescent="0.3">
      <c r="A16" s="50" t="str">
        <f>H04_S2_PLANIFICACIÓN_PDOT!A15</f>
        <v>AH-C-X-01</v>
      </c>
      <c r="B16" s="39" t="str">
        <f>H04_S2_PLANIFICACIÓN_PDOT!B15</f>
        <v>Protección derechos sociales: atenciones grupos prioritarios 943→1,649 (+15%/año); CDI; adultos mayores; violencia de género</v>
      </c>
      <c r="C16" s="39" t="str">
        <f>H04_S2_PLANIFICACIÓN_PDOT!R15</f>
        <v>Dirección de Agua y Saneamiento</v>
      </c>
      <c r="D16" s="39">
        <f>H04_S2_PLANIFICACIÓN_PDOT!N15</f>
        <v>1649</v>
      </c>
      <c r="E16" s="39" t="str">
        <f>H04_S2_PLANIFICACIÓN_PDOT!O15</f>
        <v>Atenciones en programas grupos prioritarios</v>
      </c>
      <c r="F16" s="56">
        <f>H04_S2_PLANIFICACIÓN_PDOT!G15</f>
        <v>438767</v>
      </c>
      <c r="G16" s="85">
        <v>5</v>
      </c>
      <c r="H16" s="85">
        <v>0</v>
      </c>
      <c r="I16" s="85">
        <v>10</v>
      </c>
      <c r="J16" s="85">
        <v>0</v>
      </c>
      <c r="K16" s="85">
        <v>15</v>
      </c>
      <c r="L16" s="85">
        <v>0</v>
      </c>
      <c r="M16" s="85">
        <v>25</v>
      </c>
      <c r="N16" s="85">
        <v>0</v>
      </c>
      <c r="O16" s="85">
        <v>35</v>
      </c>
      <c r="P16" s="85">
        <v>0</v>
      </c>
      <c r="Q16" s="85">
        <v>45</v>
      </c>
      <c r="R16" s="85">
        <v>0</v>
      </c>
      <c r="S16" s="85">
        <v>55</v>
      </c>
      <c r="T16" s="85">
        <v>0</v>
      </c>
      <c r="U16" s="85">
        <v>65</v>
      </c>
      <c r="V16" s="85">
        <v>0</v>
      </c>
      <c r="W16" s="85">
        <v>75</v>
      </c>
      <c r="X16" s="85">
        <v>0</v>
      </c>
      <c r="Y16" s="85">
        <v>85</v>
      </c>
      <c r="Z16" s="86">
        <v>0</v>
      </c>
      <c r="AA16" s="13">
        <v>92</v>
      </c>
      <c r="AB16" s="13">
        <v>0</v>
      </c>
      <c r="AC16" s="13">
        <v>100</v>
      </c>
      <c r="AD16" s="13">
        <v>0</v>
      </c>
      <c r="AE16" s="10">
        <f t="shared" si="0"/>
        <v>0</v>
      </c>
      <c r="AF16" t="str">
        <f t="shared" si="1"/>
        <v>🔴</v>
      </c>
      <c r="AG16" t="str">
        <f t="shared" si="2"/>
        <v>✅ Con presupuesto inversión</v>
      </c>
    </row>
    <row r="17" spans="1:33" x14ac:dyDescent="0.3">
      <c r="A17" s="49" t="str">
        <f>H04_S2_PLANIFICACIÓN_PDOT!A16</f>
        <v>AH-C-X-02</v>
      </c>
      <c r="B17" s="36" t="str">
        <f>H04_S2_PLANIFICACIÓN_PDOT!B16</f>
        <v>Sistema información territorial: catastro urbano-rural 19.52%→80%; 12 procesos sistematizados; 37 trámites en línea</v>
      </c>
      <c r="C17" s="36" t="str">
        <f>H04_S2_PLANIFICACIÓN_PDOT!R16</f>
        <v>Dirección de Agua y Saneamiento</v>
      </c>
      <c r="D17" s="36">
        <f>H04_S2_PLANIFICACIÓN_PDOT!N16</f>
        <v>80</v>
      </c>
      <c r="E17" s="36" t="str">
        <f>H04_S2_PLANIFICACIÓN_PDOT!O16</f>
        <v>% levantamiento SIL catastro urbano-rural</v>
      </c>
      <c r="F17" s="55">
        <f>H04_S2_PLANIFICACIÓN_PDOT!G16</f>
        <v>454892</v>
      </c>
      <c r="G17" s="83">
        <v>5</v>
      </c>
      <c r="H17" s="83">
        <v>0</v>
      </c>
      <c r="I17" s="83">
        <v>15</v>
      </c>
      <c r="J17" s="83">
        <v>0</v>
      </c>
      <c r="K17" s="83">
        <v>25</v>
      </c>
      <c r="L17" s="83">
        <v>0</v>
      </c>
      <c r="M17" s="83">
        <v>37</v>
      </c>
      <c r="N17" s="83">
        <v>0</v>
      </c>
      <c r="O17" s="83">
        <v>48</v>
      </c>
      <c r="P17" s="83">
        <v>0</v>
      </c>
      <c r="Q17" s="83">
        <v>60</v>
      </c>
      <c r="R17" s="83">
        <v>0</v>
      </c>
      <c r="S17" s="83">
        <v>72</v>
      </c>
      <c r="T17" s="83">
        <v>0</v>
      </c>
      <c r="U17" s="83">
        <v>84</v>
      </c>
      <c r="V17" s="83">
        <v>0</v>
      </c>
      <c r="W17" s="83">
        <v>100</v>
      </c>
      <c r="X17" s="83">
        <v>0</v>
      </c>
      <c r="Y17" s="83">
        <v>100</v>
      </c>
      <c r="Z17" s="84">
        <v>0</v>
      </c>
      <c r="AA17" s="13">
        <v>100</v>
      </c>
      <c r="AB17" s="13">
        <v>0</v>
      </c>
      <c r="AC17" s="13">
        <v>100</v>
      </c>
      <c r="AD17" s="13">
        <v>0</v>
      </c>
      <c r="AE17" s="10">
        <f t="shared" si="0"/>
        <v>0</v>
      </c>
      <c r="AF17" t="str">
        <f t="shared" si="1"/>
        <v>🔴</v>
      </c>
      <c r="AG17" t="str">
        <f t="shared" si="2"/>
        <v>✅ Con presupuesto inversión</v>
      </c>
    </row>
    <row r="18" spans="1:33" x14ac:dyDescent="0.3">
      <c r="A18" s="50" t="str">
        <f>H04_S2_PLANIFICACIÓN_PDOT!A17</f>
        <v>SC-I-N-03</v>
      </c>
      <c r="B18" s="39" t="str">
        <f>H04_S2_PLANIFICACIÓN_PDOT!B17</f>
        <v>Participación ciudadana: 50→100 Unidades Territoriales participativas; 2→4 instancias efectivas (COPFP Art.115)</v>
      </c>
      <c r="C18" s="39" t="str">
        <f>H04_S2_PLANIFICACIÓN_PDOT!R17</f>
        <v>Patronato Municipal</v>
      </c>
      <c r="D18" s="39">
        <f>H04_S2_PLANIFICACIÓN_PDOT!N17</f>
        <v>100</v>
      </c>
      <c r="E18" s="39" t="str">
        <f>H04_S2_PLANIFICACIÓN_PDOT!O17</f>
        <v>Unidades Territoriales participativas activas</v>
      </c>
      <c r="F18" s="56">
        <f>H04_S2_PLANIFICACIÓN_PDOT!G17</f>
        <v>34475</v>
      </c>
      <c r="G18" s="85">
        <v>5</v>
      </c>
      <c r="H18" s="85">
        <v>0</v>
      </c>
      <c r="I18" s="85">
        <v>10</v>
      </c>
      <c r="J18" s="85">
        <v>0</v>
      </c>
      <c r="K18" s="85">
        <v>15</v>
      </c>
      <c r="L18" s="85">
        <v>0</v>
      </c>
      <c r="M18" s="85">
        <v>25</v>
      </c>
      <c r="N18" s="85">
        <v>0</v>
      </c>
      <c r="O18" s="85">
        <v>35</v>
      </c>
      <c r="P18" s="85">
        <v>0</v>
      </c>
      <c r="Q18" s="85">
        <v>45</v>
      </c>
      <c r="R18" s="85">
        <v>0</v>
      </c>
      <c r="S18" s="85">
        <v>55</v>
      </c>
      <c r="T18" s="85">
        <v>0</v>
      </c>
      <c r="U18" s="85">
        <v>65</v>
      </c>
      <c r="V18" s="85">
        <v>0</v>
      </c>
      <c r="W18" s="85">
        <v>75</v>
      </c>
      <c r="X18" s="85">
        <v>0</v>
      </c>
      <c r="Y18" s="85">
        <v>85</v>
      </c>
      <c r="Z18" s="86">
        <v>0</v>
      </c>
      <c r="AA18" s="13">
        <v>92</v>
      </c>
      <c r="AB18" s="13">
        <v>0</v>
      </c>
      <c r="AC18" s="13">
        <v>100</v>
      </c>
      <c r="AD18" s="13">
        <v>0</v>
      </c>
      <c r="AE18" s="10">
        <f t="shared" si="0"/>
        <v>0</v>
      </c>
      <c r="AF18" t="str">
        <f t="shared" si="1"/>
        <v>🔴</v>
      </c>
      <c r="AG18" t="str">
        <f t="shared" si="2"/>
        <v>✅ Con presupuesto inversión</v>
      </c>
    </row>
    <row r="19" spans="1:33" x14ac:dyDescent="0.3">
      <c r="A19" s="49" t="str">
        <f>H04_S2_PLANIFICACIÓN_PDOT!A18</f>
        <v>FA-I-X-01</v>
      </c>
      <c r="B19" s="36" t="str">
        <f>H04_S2_PLANIFICACIÓN_PDOT!B18</f>
        <v>Gestión del riesgo: reducir 10% infraestructura susceptible (3,655→2,398 unidades); alerta temprana climática</v>
      </c>
      <c r="C19" s="36" t="str">
        <f>H04_S2_PLANIFICACIÓN_PDOT!R18</f>
        <v>Dirección Ambiental</v>
      </c>
      <c r="D19" s="36">
        <f>H04_S2_PLANIFICACIÓN_PDOT!N18</f>
        <v>2398.0500000000002</v>
      </c>
      <c r="E19" s="36" t="str">
        <f>H04_S2_PLANIFICACIÓN_PDOT!O18</f>
        <v>Unidades infraestructura susceptible (meta reducción)</v>
      </c>
      <c r="F19" s="55">
        <f>H04_S2_PLANIFICACIÓN_PDOT!G18</f>
        <v>237500</v>
      </c>
      <c r="G19" s="83">
        <v>0</v>
      </c>
      <c r="H19" s="83">
        <v>0</v>
      </c>
      <c r="I19" s="83">
        <v>0</v>
      </c>
      <c r="J19" s="83">
        <v>0</v>
      </c>
      <c r="K19" s="83">
        <v>0</v>
      </c>
      <c r="L19" s="83">
        <v>0</v>
      </c>
      <c r="M19" s="83">
        <v>17</v>
      </c>
      <c r="N19" s="83">
        <v>0</v>
      </c>
      <c r="O19" s="83">
        <v>33</v>
      </c>
      <c r="P19" s="83">
        <v>0</v>
      </c>
      <c r="Q19" s="83">
        <v>50</v>
      </c>
      <c r="R19" s="83">
        <v>0</v>
      </c>
      <c r="S19" s="83">
        <v>67</v>
      </c>
      <c r="T19" s="83">
        <v>0</v>
      </c>
      <c r="U19" s="83">
        <v>83</v>
      </c>
      <c r="V19" s="83">
        <v>0</v>
      </c>
      <c r="W19" s="83">
        <v>100</v>
      </c>
      <c r="X19" s="83">
        <v>0</v>
      </c>
      <c r="Y19" s="83">
        <v>100</v>
      </c>
      <c r="Z19" s="84">
        <v>0</v>
      </c>
      <c r="AA19" s="13">
        <v>100</v>
      </c>
      <c r="AB19" s="13">
        <v>0</v>
      </c>
      <c r="AC19" s="13">
        <v>100</v>
      </c>
      <c r="AD19" s="13">
        <v>0</v>
      </c>
      <c r="AE19" s="10">
        <f t="shared" si="0"/>
        <v>0</v>
      </c>
      <c r="AF19" t="str">
        <f t="shared" si="1"/>
        <v>🔴</v>
      </c>
      <c r="AG19" t="str">
        <f t="shared" si="2"/>
        <v>✅ Con presupuesto inversión</v>
      </c>
    </row>
    <row r="20" spans="1:33" x14ac:dyDescent="0.3">
      <c r="A20" s="50" t="str">
        <f>H04_S2_PLANIFICACIÓN_PDOT!A19</f>
        <v>FA-C-X-01</v>
      </c>
      <c r="B20" s="39" t="str">
        <f>H04_S2_PLANIFICACIÓN_PDOT!B19</f>
        <v>Áreas verdes y parques: IVU 10.94→17.32 m²/hab; parques inter-barriales; recuperación manglar perfil costero</v>
      </c>
      <c r="C20" s="39" t="str">
        <f>H04_S2_PLANIFICACIÓN_PDOT!R19</f>
        <v>EP Aseo Montecristi</v>
      </c>
      <c r="D20" s="39">
        <f>H04_S2_PLANIFICACIÓN_PDOT!N19</f>
        <v>17.32</v>
      </c>
      <c r="E20" s="39" t="str">
        <f>H04_S2_PLANIFICACIÓN_PDOT!O19</f>
        <v>m²/hab índice verde urbano</v>
      </c>
      <c r="F20" s="56">
        <f>H04_S2_PLANIFICACIÓN_PDOT!G19</f>
        <v>177500</v>
      </c>
      <c r="G20" s="85">
        <v>5</v>
      </c>
      <c r="H20" s="85">
        <v>0</v>
      </c>
      <c r="I20" s="85">
        <v>15</v>
      </c>
      <c r="J20" s="85">
        <v>0</v>
      </c>
      <c r="K20" s="85">
        <v>25</v>
      </c>
      <c r="L20" s="85">
        <v>0</v>
      </c>
      <c r="M20" s="85">
        <v>37</v>
      </c>
      <c r="N20" s="85">
        <v>0</v>
      </c>
      <c r="O20" s="85">
        <v>48</v>
      </c>
      <c r="P20" s="85">
        <v>0</v>
      </c>
      <c r="Q20" s="85">
        <v>60</v>
      </c>
      <c r="R20" s="85">
        <v>0</v>
      </c>
      <c r="S20" s="85">
        <v>72</v>
      </c>
      <c r="T20" s="85">
        <v>0</v>
      </c>
      <c r="U20" s="85">
        <v>84</v>
      </c>
      <c r="V20" s="85">
        <v>0</v>
      </c>
      <c r="W20" s="85">
        <v>100</v>
      </c>
      <c r="X20" s="85">
        <v>0</v>
      </c>
      <c r="Y20" s="85">
        <v>100</v>
      </c>
      <c r="Z20" s="86">
        <v>0</v>
      </c>
      <c r="AA20" s="13">
        <v>100</v>
      </c>
      <c r="AB20" s="13">
        <v>0</v>
      </c>
      <c r="AC20" s="13">
        <v>100</v>
      </c>
      <c r="AD20" s="13">
        <v>0</v>
      </c>
      <c r="AE20" s="10">
        <f t="shared" si="0"/>
        <v>0</v>
      </c>
      <c r="AF20" t="str">
        <f t="shared" si="1"/>
        <v>🔴</v>
      </c>
      <c r="AG20" t="str">
        <f t="shared" si="2"/>
        <v>✅ Con presupuesto inversión</v>
      </c>
    </row>
    <row r="21" spans="1:33" x14ac:dyDescent="0.3">
      <c r="A21" s="49" t="str">
        <f>H04_S2_PLANIFICACIÓN_PDOT!A20</f>
        <v>FA-I-X-02</v>
      </c>
      <c r="B21" s="36" t="str">
        <f>H04_S2_PLANIFICACIÓN_PDOT!B20</f>
        <v>Índice equipamiento urbano CUP 9.96→10.73 m²/hab; recolección desechos 91.95%→97.95%; 77.83→81.07 km/día barrido</v>
      </c>
      <c r="C21" s="36" t="str">
        <f>H04_S2_PLANIFICACIÓN_PDOT!R20</f>
        <v>Dirección Ambiental</v>
      </c>
      <c r="D21" s="36">
        <f>H04_S2_PLANIFICACIÓN_PDOT!N20</f>
        <v>97.95</v>
      </c>
      <c r="E21" s="36" t="str">
        <f>H04_S2_PLANIFICACIÓN_PDOT!O20</f>
        <v>% cobertura recolección desechos</v>
      </c>
      <c r="F21" s="55">
        <f>H04_S2_PLANIFICACIÓN_PDOT!G20</f>
        <v>1250491</v>
      </c>
      <c r="G21" s="83">
        <v>0</v>
      </c>
      <c r="H21" s="83">
        <v>0</v>
      </c>
      <c r="I21" s="83">
        <v>0</v>
      </c>
      <c r="J21" s="83">
        <v>0</v>
      </c>
      <c r="K21" s="83">
        <v>0</v>
      </c>
      <c r="L21" s="83">
        <v>0</v>
      </c>
      <c r="M21" s="83">
        <v>11</v>
      </c>
      <c r="N21" s="83">
        <v>0</v>
      </c>
      <c r="O21" s="83">
        <v>22</v>
      </c>
      <c r="P21" s="83">
        <v>0</v>
      </c>
      <c r="Q21" s="83">
        <v>33</v>
      </c>
      <c r="R21" s="83">
        <v>0</v>
      </c>
      <c r="S21" s="83">
        <v>44</v>
      </c>
      <c r="T21" s="83">
        <v>0</v>
      </c>
      <c r="U21" s="83">
        <v>56</v>
      </c>
      <c r="V21" s="83">
        <v>0</v>
      </c>
      <c r="W21" s="83">
        <v>67</v>
      </c>
      <c r="X21" s="83">
        <v>0</v>
      </c>
      <c r="Y21" s="83">
        <v>78</v>
      </c>
      <c r="Z21" s="84">
        <v>0</v>
      </c>
      <c r="AA21" s="13">
        <v>89</v>
      </c>
      <c r="AB21" s="13">
        <v>0</v>
      </c>
      <c r="AC21" s="13">
        <v>100</v>
      </c>
      <c r="AD21" s="13">
        <v>0</v>
      </c>
      <c r="AE21" s="10">
        <f t="shared" si="0"/>
        <v>0</v>
      </c>
      <c r="AF21" t="str">
        <f t="shared" si="1"/>
        <v>🔴</v>
      </c>
      <c r="AG21" t="str">
        <f t="shared" si="2"/>
        <v>✅ Con presupuesto inversión</v>
      </c>
    </row>
    <row r="22" spans="1:33" x14ac:dyDescent="0.3">
      <c r="A22" s="50" t="str">
        <f>H04_S2_PLANIFICACIÓN_PDOT!A21</f>
        <v>FA-L-N-01</v>
      </c>
      <c r="B22" s="39" t="str">
        <f>H04_S2_PLANIFICACIÓN_PDOT!B21</f>
        <v>Inventario patrimonial 100% al 2026; 8,000→10,000 participantes eventos culturales; Museo del Sombrero</v>
      </c>
      <c r="C22" s="39" t="str">
        <f>H04_S2_PLANIFICACIÓN_PDOT!R21</f>
        <v>Dirección Ambiental</v>
      </c>
      <c r="D22" s="39">
        <f>H04_S2_PLANIFICACIÓN_PDOT!N21</f>
        <v>10000</v>
      </c>
      <c r="E22" s="39" t="str">
        <f>H04_S2_PLANIFICACIÓN_PDOT!O21</f>
        <v>Participantes anuales en eventos culturales</v>
      </c>
      <c r="F22" s="56">
        <f>H04_S2_PLANIFICACIÓN_PDOT!G21</f>
        <v>124612</v>
      </c>
      <c r="G22" s="85">
        <v>17</v>
      </c>
      <c r="H22" s="85">
        <v>0</v>
      </c>
      <c r="I22" s="85">
        <v>33</v>
      </c>
      <c r="J22" s="85">
        <v>0</v>
      </c>
      <c r="K22" s="85">
        <v>50</v>
      </c>
      <c r="L22" s="85">
        <v>0</v>
      </c>
      <c r="M22" s="85">
        <v>67</v>
      </c>
      <c r="N22" s="85">
        <v>0</v>
      </c>
      <c r="O22" s="85">
        <v>83</v>
      </c>
      <c r="P22" s="85">
        <v>0</v>
      </c>
      <c r="Q22" s="85">
        <v>100</v>
      </c>
      <c r="R22" s="85">
        <v>0</v>
      </c>
      <c r="S22" s="85">
        <v>100</v>
      </c>
      <c r="T22" s="85">
        <v>0</v>
      </c>
      <c r="U22" s="85">
        <v>100</v>
      </c>
      <c r="V22" s="85">
        <v>0</v>
      </c>
      <c r="W22" s="85">
        <v>100</v>
      </c>
      <c r="X22" s="85">
        <v>0</v>
      </c>
      <c r="Y22" s="85">
        <v>100</v>
      </c>
      <c r="Z22" s="86">
        <v>0</v>
      </c>
      <c r="AA22" s="13">
        <v>100</v>
      </c>
      <c r="AB22" s="13">
        <v>0</v>
      </c>
      <c r="AC22" s="13">
        <v>100</v>
      </c>
      <c r="AD22" s="13">
        <v>0</v>
      </c>
      <c r="AE22" s="10">
        <f t="shared" si="0"/>
        <v>0</v>
      </c>
      <c r="AF22" t="str">
        <f t="shared" si="1"/>
        <v>🔴</v>
      </c>
      <c r="AG22" t="str">
        <f t="shared" si="2"/>
        <v>✅ Con presupuesto inversión</v>
      </c>
    </row>
    <row r="23" spans="1:33" x14ac:dyDescent="0.3">
      <c r="A23" s="49" t="str">
        <f>H04_S2_PLANIFICACIÓN_PDOT!A22</f>
        <v>PI-I-G-02</v>
      </c>
      <c r="B23" s="36" t="str">
        <f>H04_S2_PLANIFICACIÓN_PDOT!B22</f>
        <v>Cumplimiento PDOT/PUGS 0%→80%; SIL 19.52%→80%; 37 trámites digitales implementados</v>
      </c>
      <c r="C23" s="36" t="str">
        <f>H04_S2_PLANIFICACIÓN_PDOT!R22</f>
        <v>Dirección Planificación</v>
      </c>
      <c r="D23" s="36">
        <f>H04_S2_PLANIFICACIÓN_PDOT!N22</f>
        <v>80</v>
      </c>
      <c r="E23" s="36" t="str">
        <f>H04_S2_PLANIFICACIÓN_PDOT!O22</f>
        <v>% cumplimiento PDOT/PUGS</v>
      </c>
      <c r="F23" s="55">
        <f>H04_S2_PLANIFICACIÓN_PDOT!G22</f>
        <v>118243</v>
      </c>
      <c r="G23" s="83">
        <v>5</v>
      </c>
      <c r="H23" s="83">
        <v>0</v>
      </c>
      <c r="I23" s="83">
        <v>10</v>
      </c>
      <c r="J23" s="83">
        <v>0</v>
      </c>
      <c r="K23" s="83">
        <v>15</v>
      </c>
      <c r="L23" s="83">
        <v>0</v>
      </c>
      <c r="M23" s="83">
        <v>25</v>
      </c>
      <c r="N23" s="83">
        <v>0</v>
      </c>
      <c r="O23" s="83">
        <v>35</v>
      </c>
      <c r="P23" s="83">
        <v>0</v>
      </c>
      <c r="Q23" s="83">
        <v>45</v>
      </c>
      <c r="R23" s="83">
        <v>0</v>
      </c>
      <c r="S23" s="83">
        <v>55</v>
      </c>
      <c r="T23" s="83">
        <v>0</v>
      </c>
      <c r="U23" s="83">
        <v>65</v>
      </c>
      <c r="V23" s="83">
        <v>0</v>
      </c>
      <c r="W23" s="83">
        <v>75</v>
      </c>
      <c r="X23" s="83">
        <v>0</v>
      </c>
      <c r="Y23" s="83">
        <v>85</v>
      </c>
      <c r="Z23" s="84">
        <v>0</v>
      </c>
      <c r="AA23" s="13">
        <v>92</v>
      </c>
      <c r="AB23" s="13">
        <v>0</v>
      </c>
      <c r="AC23" s="13">
        <v>100</v>
      </c>
      <c r="AD23" s="13">
        <v>0</v>
      </c>
      <c r="AE23" s="10">
        <f t="shared" si="0"/>
        <v>0</v>
      </c>
      <c r="AF23" t="str">
        <f t="shared" si="1"/>
        <v>🔴</v>
      </c>
      <c r="AG23" t="str">
        <f t="shared" si="2"/>
        <v>✅ Con presupuesto inversión</v>
      </c>
    </row>
    <row r="24" spans="1:33" x14ac:dyDescent="0.3">
      <c r="A24" s="50" t="str">
        <f>H04_S2_PLANIFICACIÓN_PDOT!A23</f>
        <v>PI-L-G-01</v>
      </c>
      <c r="B24" s="39" t="str">
        <f>H04_S2_PLANIFICACIÓN_PDOT!B23</f>
        <v>Señalización vial 0→10,000 m²; 0→8 semáforos; revisiones técnicas 4,000→20,000; educación vial 40 instituciones</v>
      </c>
      <c r="C24" s="39" t="str">
        <f>H04_S2_PLANIFICACIÓN_PDOT!R23</f>
        <v>Dirección Planificación</v>
      </c>
      <c r="D24" s="39">
        <f>H04_S2_PLANIFICACIÓN_PDOT!N23</f>
        <v>20000</v>
      </c>
      <c r="E24" s="39" t="str">
        <f>H04_S2_PLANIFICACIÓN_PDOT!O23</f>
        <v>Revisiones técnicas vehiculares anuales</v>
      </c>
      <c r="F24" s="56">
        <f>H04_S2_PLANIFICACIÓN_PDOT!G23</f>
        <v>67725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17</v>
      </c>
      <c r="N24" s="85">
        <v>0</v>
      </c>
      <c r="O24" s="85">
        <v>33</v>
      </c>
      <c r="P24" s="85">
        <v>0</v>
      </c>
      <c r="Q24" s="85">
        <v>50</v>
      </c>
      <c r="R24" s="85">
        <v>0</v>
      </c>
      <c r="S24" s="85">
        <v>67</v>
      </c>
      <c r="T24" s="85">
        <v>0</v>
      </c>
      <c r="U24" s="85">
        <v>83</v>
      </c>
      <c r="V24" s="85">
        <v>0</v>
      </c>
      <c r="W24" s="85">
        <v>100</v>
      </c>
      <c r="X24" s="85">
        <v>0</v>
      </c>
      <c r="Y24" s="85">
        <v>100</v>
      </c>
      <c r="Z24" s="86">
        <v>0</v>
      </c>
      <c r="AA24" s="13">
        <v>100</v>
      </c>
      <c r="AB24" s="13">
        <v>0</v>
      </c>
      <c r="AC24" s="13">
        <v>100</v>
      </c>
      <c r="AD24" s="13">
        <v>0</v>
      </c>
      <c r="AE24" s="10">
        <f t="shared" si="0"/>
        <v>0</v>
      </c>
      <c r="AF24" t="str">
        <f t="shared" si="1"/>
        <v>🔴</v>
      </c>
      <c r="AG24" t="str">
        <f t="shared" si="2"/>
        <v>✅ Con presupuesto inversión</v>
      </c>
    </row>
    <row r="25" spans="1:33" x14ac:dyDescent="0.3">
      <c r="A25" s="49" t="str">
        <f>H04_S2_PLANIFICACIÓN_PDOT!A24</f>
        <v>EP-L-N-01</v>
      </c>
      <c r="B25" s="36" t="str">
        <f>H04_S2_PLANIFICACIÓN_PDOT!B24</f>
        <v>Vivienda de interés social: 50 VIS/VIP hasta 2027; reducción déficit habitacional cualitativo</v>
      </c>
      <c r="C25" s="36" t="str">
        <f>H04_S2_PLANIFICACIÓN_PDOT!R24</f>
        <v>Dirección Económica</v>
      </c>
      <c r="D25" s="36">
        <f>H04_S2_PLANIFICACIÓN_PDOT!N24</f>
        <v>50</v>
      </c>
      <c r="E25" s="36" t="str">
        <f>H04_S2_PLANIFICACIÓN_PDOT!O24</f>
        <v>Viviendas de interés social ofertadas</v>
      </c>
      <c r="F25" s="55">
        <f>H04_S2_PLANIFICACIÓN_PDOT!G24</f>
        <v>81000</v>
      </c>
      <c r="G25" s="83">
        <v>0</v>
      </c>
      <c r="H25" s="83">
        <v>0</v>
      </c>
      <c r="I25" s="83">
        <v>0</v>
      </c>
      <c r="J25" s="83">
        <v>0</v>
      </c>
      <c r="K25" s="83">
        <v>0</v>
      </c>
      <c r="L25" s="83">
        <v>0</v>
      </c>
      <c r="M25" s="83">
        <v>17</v>
      </c>
      <c r="N25" s="83">
        <v>0</v>
      </c>
      <c r="O25" s="83">
        <v>33</v>
      </c>
      <c r="P25" s="83">
        <v>0</v>
      </c>
      <c r="Q25" s="83">
        <v>50</v>
      </c>
      <c r="R25" s="83">
        <v>0</v>
      </c>
      <c r="S25" s="83">
        <v>67</v>
      </c>
      <c r="T25" s="83">
        <v>0</v>
      </c>
      <c r="U25" s="83">
        <v>83</v>
      </c>
      <c r="V25" s="83">
        <v>0</v>
      </c>
      <c r="W25" s="83">
        <v>100</v>
      </c>
      <c r="X25" s="83">
        <v>0</v>
      </c>
      <c r="Y25" s="83">
        <v>100</v>
      </c>
      <c r="Z25" s="84">
        <v>0</v>
      </c>
      <c r="AA25" s="13">
        <v>100</v>
      </c>
      <c r="AB25" s="13">
        <v>0</v>
      </c>
      <c r="AC25" s="13">
        <v>100</v>
      </c>
      <c r="AD25" s="13">
        <v>0</v>
      </c>
      <c r="AE25" s="10">
        <f t="shared" si="0"/>
        <v>0</v>
      </c>
      <c r="AF25" t="str">
        <f t="shared" si="1"/>
        <v>🔴</v>
      </c>
      <c r="AG25" t="str">
        <f t="shared" si="2"/>
        <v>✅ Con presupuesto inversión</v>
      </c>
    </row>
    <row r="26" spans="1:33" x14ac:dyDescent="0.3">
      <c r="A26" s="62" t="str">
        <f>H04_S2_PLANIFICACIÓN_PDOT!A25</f>
        <v>EP-L-X-01</v>
      </c>
      <c r="B26" s="63" t="str">
        <f>H04_S2_PLANIFICACIÓN_PDOT!B25</f>
        <v>Fortalecimiento productivo: beneficiarios artesanos, mipymes, emprendedores, huertos comunitarios y cadenas de valor</v>
      </c>
      <c r="C26" s="63" t="str">
        <f>H04_S2_PLANIFICACIÓN_PDOT!R25</f>
        <v>Dirección Turismo</v>
      </c>
      <c r="D26" s="63">
        <f>H04_S2_PLANIFICACIÓN_PDOT!N25</f>
        <v>500</v>
      </c>
      <c r="E26" s="63" t="str">
        <f>H04_S2_PLANIFICACIÓN_PDOT!O25</f>
        <v>Beneficiarios programas fortalecimiento productivo</v>
      </c>
      <c r="F26" s="87">
        <f>H04_S2_PLANIFICACIÓN_PDOT!G25</f>
        <v>57591</v>
      </c>
      <c r="G26" s="88">
        <v>5</v>
      </c>
      <c r="H26" s="88">
        <v>0</v>
      </c>
      <c r="I26" s="88">
        <v>10</v>
      </c>
      <c r="J26" s="88">
        <v>0</v>
      </c>
      <c r="K26" s="88">
        <v>15</v>
      </c>
      <c r="L26" s="88">
        <v>0</v>
      </c>
      <c r="M26" s="88">
        <v>25</v>
      </c>
      <c r="N26" s="88">
        <v>0</v>
      </c>
      <c r="O26" s="88">
        <v>35</v>
      </c>
      <c r="P26" s="88">
        <v>0</v>
      </c>
      <c r="Q26" s="88">
        <v>45</v>
      </c>
      <c r="R26" s="88">
        <v>0</v>
      </c>
      <c r="S26" s="88">
        <v>55</v>
      </c>
      <c r="T26" s="88">
        <v>0</v>
      </c>
      <c r="U26" s="88">
        <v>65</v>
      </c>
      <c r="V26" s="88">
        <v>0</v>
      </c>
      <c r="W26" s="88">
        <v>75</v>
      </c>
      <c r="X26" s="88">
        <v>0</v>
      </c>
      <c r="Y26" s="88">
        <v>85</v>
      </c>
      <c r="Z26" s="89">
        <v>0</v>
      </c>
      <c r="AA26" s="13">
        <v>92</v>
      </c>
      <c r="AB26" s="13">
        <v>0</v>
      </c>
      <c r="AC26" s="13">
        <v>100</v>
      </c>
      <c r="AD26" s="13">
        <v>0</v>
      </c>
      <c r="AE26" s="10">
        <f t="shared" si="0"/>
        <v>0</v>
      </c>
      <c r="AF26" t="str">
        <f t="shared" si="1"/>
        <v>🔴</v>
      </c>
      <c r="AG26" t="str">
        <f t="shared" si="2"/>
        <v>✅ Con presupuesto inversión</v>
      </c>
    </row>
  </sheetData>
  <hyperlinks>
    <hyperlink ref="B1" location="'H00_ÍNDICE'!A1" display="⬅️ ÍNDICE GENERAL" xr:uid="{33BAFED0-DC80-4489-BA1E-E88C88F2A64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3783-C9FB-4952-95A2-57BF9391155F}">
  <sheetPr>
    <tabColor rgb="FF38A169"/>
  </sheetPr>
  <dimension ref="A1:Z26"/>
  <sheetViews>
    <sheetView zoomScale="66" zoomScaleNormal="66" workbookViewId="0">
      <pane ySplit="3" topLeftCell="A4" activePane="bottomLeft" state="frozen"/>
      <selection pane="bottomLeft" activeCell="B1" sqref="B1"/>
    </sheetView>
  </sheetViews>
  <sheetFormatPr baseColWidth="10" defaultRowHeight="14.4" x14ac:dyDescent="0.3"/>
  <cols>
    <col min="1" max="1" width="40.77734375" customWidth="1"/>
    <col min="2" max="2" width="44.44140625" customWidth="1"/>
    <col min="3" max="11" width="20.33203125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1134</v>
      </c>
      <c r="E1" s="212" t="str">
        <f ca="1">TEXT(TODAY(),"DD/MM/YYYY")</f>
        <v>05/04/2026</v>
      </c>
    </row>
    <row r="2" spans="1:26" ht="30" customHeight="1" x14ac:dyDescent="0.35">
      <c r="A2" s="1" t="s">
        <v>263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264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 t="s">
        <v>265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2" t="s">
        <v>192</v>
      </c>
      <c r="B6" s="2" t="s">
        <v>233</v>
      </c>
      <c r="C6" s="2" t="s">
        <v>266</v>
      </c>
      <c r="D6" s="2" t="s">
        <v>267</v>
      </c>
      <c r="E6" s="2" t="s">
        <v>268</v>
      </c>
      <c r="F6" s="2" t="s">
        <v>269</v>
      </c>
      <c r="G6" s="2" t="s">
        <v>270</v>
      </c>
      <c r="H6" s="2" t="s">
        <v>271</v>
      </c>
      <c r="I6" s="2" t="s">
        <v>272</v>
      </c>
    </row>
    <row r="7" spans="1:26" x14ac:dyDescent="0.3">
      <c r="A7" t="str">
        <f>H04_S2_PLANIFICACIÓN_PDOT!A6</f>
        <v>SC-I-N-01</v>
      </c>
      <c r="B7" t="str">
        <f>H04_S2_PLANIFICACIÓN_PDOT!B6</f>
        <v>Agua potable: cobertura 39.25%→42.38%; calidad 100% INEN 1108; infraestructura BUENA 22.74%→41.64%</v>
      </c>
      <c r="C7" t="s">
        <v>1481</v>
      </c>
      <c r="D7" s="6">
        <v>45000</v>
      </c>
      <c r="E7" t="s">
        <v>1482</v>
      </c>
      <c r="F7" t="s">
        <v>273</v>
      </c>
      <c r="G7" t="s">
        <v>1483</v>
      </c>
      <c r="H7" s="10">
        <f t="shared" ref="H7:H26" si="0">IF(AND(C7&lt;&gt;"",F7="Adjudicado"),1,IF(C7&lt;&gt;"",0.5,0))</f>
        <v>1</v>
      </c>
      <c r="I7" t="str">
        <f>IF(AND(D7&gt;0,D7&gt;H04_S2_PLANIFICACIÓN_PDOT!G6),"⚠️ Monto supera planificación PDOT","✅ OK")</f>
        <v>✅ OK</v>
      </c>
    </row>
    <row r="8" spans="1:26" x14ac:dyDescent="0.3">
      <c r="A8" s="48" t="str">
        <f>H04_S2_PLANIFICACIÓN_PDOT!A7</f>
        <v>SC-L-N-02</v>
      </c>
      <c r="B8" s="34" t="str">
        <f>H04_S2_PLANIFICACIÓN_PDOT!B7</f>
        <v>Gestión del talento humano municipal: desempeño 80%→90%; plan capacitación 90% anual</v>
      </c>
      <c r="C8" s="34" t="s">
        <v>1484</v>
      </c>
      <c r="D8" s="73">
        <v>8900</v>
      </c>
      <c r="E8" s="34" t="s">
        <v>1482</v>
      </c>
      <c r="F8" s="34" t="s">
        <v>273</v>
      </c>
      <c r="G8" s="34" t="s">
        <v>1483</v>
      </c>
      <c r="H8" s="65">
        <f t="shared" si="0"/>
        <v>1</v>
      </c>
      <c r="I8" s="34" t="str">
        <f>IF(AND(D8&gt;0,D8&gt;H04_S2_PLANIFICACIÓN_PDOT!G7),"⚠️ Monto supera planificación PDOT","✅ OK")</f>
        <v>✅ OK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9" t="str">
        <f>H04_S2_PLANIFICACIÓN_PDOT!A8</f>
        <v>AH-I-X-01</v>
      </c>
      <c r="B9" s="36" t="str">
        <f>H04_S2_PLANIFICACIÓN_PDOT!B8</f>
        <v>Sostenibilidad financiera: autonomía 43.35%→45.30%; gestión cobros y coactivas</v>
      </c>
      <c r="C9" s="36" t="s">
        <v>1485</v>
      </c>
      <c r="D9" s="55">
        <v>2206556</v>
      </c>
      <c r="E9" s="36" t="s">
        <v>1486</v>
      </c>
      <c r="F9" s="36" t="s">
        <v>273</v>
      </c>
      <c r="G9" s="36" t="s">
        <v>1483</v>
      </c>
      <c r="H9" s="66">
        <f t="shared" si="0"/>
        <v>1</v>
      </c>
      <c r="I9" s="36" t="str">
        <f>IF(AND(D9&gt;0,D9&gt;H04_S2_PLANIFICACIÓN_PDOT!G8),"⚠️ Monto supera planificación PDOT","✅ OK")</f>
        <v>✅ OK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 t="str">
        <f>H04_S2_PLANIFICACIÓN_PDOT!A9</f>
        <v>AH-I-X-02</v>
      </c>
      <c r="B10" s="39" t="str">
        <f>H04_S2_PLANIFICACIÓN_PDOT!B9</f>
        <v>Vialidad cantonal: mantenimiento 43.8 km vías CUP + 57.22 km rurales; 23.77 km tratamiento medio</v>
      </c>
      <c r="C10" s="39"/>
      <c r="D10" s="56">
        <v>0</v>
      </c>
      <c r="E10" s="39"/>
      <c r="F10" s="39"/>
      <c r="G10" s="39"/>
      <c r="H10" s="67">
        <f t="shared" si="0"/>
        <v>0</v>
      </c>
      <c r="I10" s="39" t="str">
        <f>IF(AND(D10&gt;0,D10&gt;H04_S2_PLANIFICACIÓN_PDOT!G9),"⚠️ Monto supera planificación PDOT","✅ OK")</f>
        <v>✅ OK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 t="str">
        <f>H04_S2_PLANIFICACIÓN_PDOT!A10</f>
        <v>AH-I-X-03</v>
      </c>
      <c r="B11" s="36" t="str">
        <f>H04_S2_PLANIFICACIÓN_PDOT!B10</f>
        <v>Salud integral municipal: población atendida 57,401→84,041 personas (+10% anual)</v>
      </c>
      <c r="C11" s="36" t="s">
        <v>1487</v>
      </c>
      <c r="D11" s="55">
        <v>675840</v>
      </c>
      <c r="E11" s="36" t="s">
        <v>1486</v>
      </c>
      <c r="F11" s="36" t="s">
        <v>273</v>
      </c>
      <c r="G11" s="36" t="s">
        <v>1483</v>
      </c>
      <c r="H11" s="66">
        <f t="shared" si="0"/>
        <v>1</v>
      </c>
      <c r="I11" s="36" t="str">
        <f>IF(AND(D11&gt;0,D11&gt;H04_S2_PLANIFICACIÓN_PDOT!G10),"⚠️ Monto supera planificación PDOT","✅ OK")</f>
        <v>✅ OK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50" t="str">
        <f>H04_S2_PLANIFICACIÓN_PDOT!A11</f>
        <v>AH-I-N-01</v>
      </c>
      <c r="B12" s="39" t="str">
        <f>H04_S2_PLANIFICACIÓN_PDOT!B11</f>
        <v>Gestión integral desechos sólidos: 20,118→23,086 Tn/año; relleno sanitario; capacidad disposición 0%→20%</v>
      </c>
      <c r="C12" s="39" t="s">
        <v>1488</v>
      </c>
      <c r="D12" s="56">
        <v>0</v>
      </c>
      <c r="E12" s="39" t="s">
        <v>1489</v>
      </c>
      <c r="F12" s="39" t="s">
        <v>1490</v>
      </c>
      <c r="G12" s="39" t="s">
        <v>1483</v>
      </c>
      <c r="H12" s="67">
        <f t="shared" si="0"/>
        <v>0.5</v>
      </c>
      <c r="I12" s="39" t="str">
        <f>IF(AND(D12&gt;0,D12&gt;H04_S2_PLANIFICACIÓN_PDOT!G11),"⚠️ Monto supera planificación PDOT","✅ OK")</f>
        <v>✅ OK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 t="str">
        <f>H04_S2_PLANIFICACIÓN_PDOT!A12</f>
        <v>SC-L-G-01</v>
      </c>
      <c r="B13" s="36" t="str">
        <f>H04_S2_PLANIFICACIÓN_PDOT!B12</f>
        <v>Alcantarillado sanitario: cobertura 19.77%→24.32%; PTAR 0%→75%; estaciones bombeo 36%→72%</v>
      </c>
      <c r="C13" s="36" t="s">
        <v>1491</v>
      </c>
      <c r="D13" s="55">
        <v>299271</v>
      </c>
      <c r="E13" s="36" t="s">
        <v>1492</v>
      </c>
      <c r="F13" s="36" t="s">
        <v>274</v>
      </c>
      <c r="G13" s="36" t="s">
        <v>1483</v>
      </c>
      <c r="H13" s="66">
        <f t="shared" si="0"/>
        <v>0.5</v>
      </c>
      <c r="I13" s="36" t="str">
        <f>IF(AND(D13&gt;0,D13&gt;H04_S2_PLANIFICACIÓN_PDOT!G12),"⚠️ Monto supera planificación PDOT","✅ OK")</f>
        <v>✅ OK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tr">
        <f>H04_S2_PLANIFICACIÓN_PDOT!A13</f>
        <v>AH-I-X-04</v>
      </c>
      <c r="B14" s="39" t="str">
        <f>H04_S2_PLANIFICACIÓN_PDOT!B13</f>
        <v>Modernización recursos administrativos: parque automotor, tecnología e infraestructura municipal</v>
      </c>
      <c r="C14" s="39" t="s">
        <v>1493</v>
      </c>
      <c r="D14" s="56">
        <v>422356</v>
      </c>
      <c r="E14" s="39" t="s">
        <v>1486</v>
      </c>
      <c r="F14" s="39" t="s">
        <v>273</v>
      </c>
      <c r="G14" s="39" t="s">
        <v>1483</v>
      </c>
      <c r="H14" s="67">
        <f t="shared" si="0"/>
        <v>1</v>
      </c>
      <c r="I14" s="39" t="str">
        <f>IF(AND(D14&gt;0,D14&gt;H04_S2_PLANIFICACIÓN_PDOT!G13),"⚠️ Monto supera planificación PDOT","✅ OK")</f>
        <v>✅ OK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tr">
        <f>H04_S2_PLANIFICACIÓN_PDOT!A14</f>
        <v>PI-I-G-01</v>
      </c>
      <c r="B15" s="36" t="str">
        <f>H04_S2_PLANIFICACIÓN_PDOT!B14</f>
        <v>Equipamientos públicos: terminal terrestre, mercado, estación bomberil, centro salud tipo C, mantenimiento espacios recreativos</v>
      </c>
      <c r="C15" s="36" t="s">
        <v>1494</v>
      </c>
      <c r="D15" s="55">
        <v>2183216</v>
      </c>
      <c r="E15" s="36" t="s">
        <v>1486</v>
      </c>
      <c r="F15" s="36" t="s">
        <v>273</v>
      </c>
      <c r="G15" s="36" t="s">
        <v>1483</v>
      </c>
      <c r="H15" s="66">
        <f t="shared" si="0"/>
        <v>1</v>
      </c>
      <c r="I15" s="36" t="str">
        <f>IF(AND(D15&gt;0,D15&gt;H04_S2_PLANIFICACIÓN_PDOT!G14),"⚠️ Monto supera planificación PDOT","✅ OK")</f>
        <v>⚠️ Monto supera planificación PDOT</v>
      </c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tr">
        <f>H04_S2_PLANIFICACIÓN_PDOT!A15</f>
        <v>AH-C-X-01</v>
      </c>
      <c r="B16" s="39" t="str">
        <f>H04_S2_PLANIFICACIÓN_PDOT!B15</f>
        <v>Protección derechos sociales: atenciones grupos prioritarios 943→1,649 (+15%/año); CDI; adultos mayores; violencia de género</v>
      </c>
      <c r="C16" s="39" t="s">
        <v>1495</v>
      </c>
      <c r="D16" s="56">
        <v>558105</v>
      </c>
      <c r="E16" s="39" t="s">
        <v>1486</v>
      </c>
      <c r="F16" s="39" t="s">
        <v>273</v>
      </c>
      <c r="G16" s="39" t="s">
        <v>1483</v>
      </c>
      <c r="H16" s="67">
        <f t="shared" si="0"/>
        <v>1</v>
      </c>
      <c r="I16" s="39" t="str">
        <f>IF(AND(D16&gt;0,D16&gt;H04_S2_PLANIFICACIÓN_PDOT!G15),"⚠️ Monto supera planificación PDOT","✅ OK")</f>
        <v>⚠️ Monto supera planificación PDOT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tr">
        <f>H04_S2_PLANIFICACIÓN_PDOT!A16</f>
        <v>AH-C-X-02</v>
      </c>
      <c r="B17" s="36" t="str">
        <f>H04_S2_PLANIFICACIÓN_PDOT!B16</f>
        <v>Sistema información territorial: catastro urbano-rural 19.52%→80%; 12 procesos sistematizados; 37 trámites en línea</v>
      </c>
      <c r="C17" s="36" t="s">
        <v>1496</v>
      </c>
      <c r="D17" s="55">
        <v>625859</v>
      </c>
      <c r="E17" s="36" t="s">
        <v>1486</v>
      </c>
      <c r="F17" s="36" t="s">
        <v>273</v>
      </c>
      <c r="G17" s="36" t="s">
        <v>1483</v>
      </c>
      <c r="H17" s="66">
        <f t="shared" si="0"/>
        <v>1</v>
      </c>
      <c r="I17" s="36" t="str">
        <f>IF(AND(D17&gt;0,D17&gt;H04_S2_PLANIFICACIÓN_PDOT!G16),"⚠️ Monto supera planificación PDOT","✅ OK")</f>
        <v>⚠️ Monto supera planificación PDOT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tr">
        <f>H04_S2_PLANIFICACIÓN_PDOT!A17</f>
        <v>SC-I-N-03</v>
      </c>
      <c r="B18" s="39" t="str">
        <f>H04_S2_PLANIFICACIÓN_PDOT!B17</f>
        <v>Participación ciudadana: 50→100 Unidades Territoriales participativas; 2→4 instancias efectivas (COPFP Art.115)</v>
      </c>
      <c r="C18" s="39" t="s">
        <v>1497</v>
      </c>
      <c r="D18" s="56">
        <v>37000</v>
      </c>
      <c r="E18" s="39" t="s">
        <v>1492</v>
      </c>
      <c r="F18" s="39" t="s">
        <v>274</v>
      </c>
      <c r="G18" s="39" t="s">
        <v>1483</v>
      </c>
      <c r="H18" s="67">
        <f t="shared" si="0"/>
        <v>0.5</v>
      </c>
      <c r="I18" s="39" t="str">
        <f>IF(AND(D18&gt;0,D18&gt;H04_S2_PLANIFICACIÓN_PDOT!G17),"⚠️ Monto supera planificación PDOT","✅ OK")</f>
        <v>⚠️ Monto supera planificación PDOT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tr">
        <f>H04_S2_PLANIFICACIÓN_PDOT!A18</f>
        <v>FA-I-X-01</v>
      </c>
      <c r="B19" s="36" t="str">
        <f>H04_S2_PLANIFICACIÓN_PDOT!B18</f>
        <v>Gestión del riesgo: reducir 10% infraestructura susceptible (3,655→2,398 unidades); alerta temprana climática</v>
      </c>
      <c r="C19" s="36" t="s">
        <v>1498</v>
      </c>
      <c r="D19" s="55">
        <v>78500</v>
      </c>
      <c r="E19" s="36" t="s">
        <v>1482</v>
      </c>
      <c r="F19" s="36" t="s">
        <v>273</v>
      </c>
      <c r="G19" s="36" t="s">
        <v>1483</v>
      </c>
      <c r="H19" s="66">
        <f t="shared" si="0"/>
        <v>1</v>
      </c>
      <c r="I19" s="36" t="str">
        <f>IF(AND(D19&gt;0,D19&gt;H04_S2_PLANIFICACIÓN_PDOT!G18),"⚠️ Monto supera planificación PDOT","✅ OK")</f>
        <v>✅ OK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tr">
        <f>H04_S2_PLANIFICACIÓN_PDOT!A19</f>
        <v>FA-C-X-01</v>
      </c>
      <c r="B20" s="39" t="str">
        <f>H04_S2_PLANIFICACIÓN_PDOT!B19</f>
        <v>Áreas verdes y parques: IVU 10.94→17.32 m²/hab; parques inter-barriales; recuperación manglar perfil costero</v>
      </c>
      <c r="C20" s="39" t="s">
        <v>1499</v>
      </c>
      <c r="D20" s="56">
        <v>5000</v>
      </c>
      <c r="E20" s="39" t="s">
        <v>1500</v>
      </c>
      <c r="F20" s="39" t="s">
        <v>1490</v>
      </c>
      <c r="G20" s="39" t="s">
        <v>1483</v>
      </c>
      <c r="H20" s="67">
        <f t="shared" si="0"/>
        <v>0.5</v>
      </c>
      <c r="I20" s="39" t="str">
        <f>IF(AND(D20&gt;0,D20&gt;H04_S2_PLANIFICACIÓN_PDOT!G19),"⚠️ Monto supera planificación PDOT","✅ OK")</f>
        <v>✅ OK</v>
      </c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tr">
        <f>H04_S2_PLANIFICACIÓN_PDOT!A20</f>
        <v>FA-I-X-02</v>
      </c>
      <c r="B21" s="36" t="str">
        <f>H04_S2_PLANIFICACIÓN_PDOT!B20</f>
        <v>Índice equipamiento urbano CUP 9.96→10.73 m²/hab; recolección desechos 91.95%→97.95%; 77.83→81.07 km/día barrido</v>
      </c>
      <c r="C21" s="36" t="s">
        <v>1501</v>
      </c>
      <c r="D21" s="55">
        <v>37600</v>
      </c>
      <c r="E21" s="36" t="s">
        <v>1482</v>
      </c>
      <c r="F21" s="36" t="s">
        <v>273</v>
      </c>
      <c r="G21" s="36" t="s">
        <v>1483</v>
      </c>
      <c r="H21" s="66">
        <f t="shared" si="0"/>
        <v>1</v>
      </c>
      <c r="I21" s="36" t="str">
        <f>IF(AND(D21&gt;0,D21&gt;H04_S2_PLANIFICACIÓN_PDOT!G20),"⚠️ Monto supera planificación PDOT","✅ OK")</f>
        <v>✅ OK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H04_S2_PLANIFICACIÓN_PDOT!A21</f>
        <v>FA-L-N-01</v>
      </c>
      <c r="B22" s="39" t="str">
        <f>H04_S2_PLANIFICACIÓN_PDOT!B21</f>
        <v>Inventario patrimonial 100% al 2026; 8,000→10,000 participantes eventos culturales; Museo del Sombrero</v>
      </c>
      <c r="C22" s="39" t="s">
        <v>1502</v>
      </c>
      <c r="D22" s="56">
        <v>5000</v>
      </c>
      <c r="E22" s="39" t="s">
        <v>1503</v>
      </c>
      <c r="F22" s="39" t="s">
        <v>274</v>
      </c>
      <c r="G22" s="39" t="s">
        <v>1483</v>
      </c>
      <c r="H22" s="67">
        <f t="shared" si="0"/>
        <v>0.5</v>
      </c>
      <c r="I22" s="39" t="str">
        <f>IF(AND(D22&gt;0,D22&gt;H04_S2_PLANIFICACIÓN_PDOT!G21),"⚠️ Monto supera planificación PDOT","✅ OK")</f>
        <v>✅ OK</v>
      </c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tr">
        <f>H04_S2_PLANIFICACIÓN_PDOT!A22</f>
        <v>PI-I-G-02</v>
      </c>
      <c r="B23" s="36" t="str">
        <f>H04_S2_PLANIFICACIÓN_PDOT!B22</f>
        <v>Cumplimiento PDOT/PUGS 0%→80%; SIL 19.52%→80%; 37 trámites digitales implementados</v>
      </c>
      <c r="C23" s="36" t="s">
        <v>1504</v>
      </c>
      <c r="D23" s="55">
        <v>422100</v>
      </c>
      <c r="E23" s="36" t="s">
        <v>1486</v>
      </c>
      <c r="F23" s="36" t="s">
        <v>273</v>
      </c>
      <c r="G23" s="36" t="s">
        <v>1483</v>
      </c>
      <c r="H23" s="66">
        <f t="shared" si="0"/>
        <v>1</v>
      </c>
      <c r="I23" s="36" t="str">
        <f>IF(AND(D23&gt;0,D23&gt;H04_S2_PLANIFICACIÓN_PDOT!G22),"⚠️ Monto supera planificación PDOT","✅ OK")</f>
        <v>⚠️ Monto supera planificación PDOT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tr">
        <f>H04_S2_PLANIFICACIÓN_PDOT!A23</f>
        <v>PI-L-G-01</v>
      </c>
      <c r="B24" s="39" t="str">
        <f>H04_S2_PLANIFICACIÓN_PDOT!B23</f>
        <v>Señalización vial 0→10,000 m²; 0→8 semáforos; revisiones técnicas 4,000→20,000; educación vial 40 instituciones</v>
      </c>
      <c r="C24" s="39" t="s">
        <v>1505</v>
      </c>
      <c r="D24" s="56">
        <v>20222</v>
      </c>
      <c r="E24" s="39" t="s">
        <v>1506</v>
      </c>
      <c r="F24" s="39" t="s">
        <v>274</v>
      </c>
      <c r="G24" s="39" t="s">
        <v>1483</v>
      </c>
      <c r="H24" s="67">
        <f t="shared" si="0"/>
        <v>0.5</v>
      </c>
      <c r="I24" s="39" t="str">
        <f>IF(AND(D24&gt;0,D24&gt;H04_S2_PLANIFICACIÓN_PDOT!G23),"⚠️ Monto supera planificación PDOT","✅ OK")</f>
        <v>✅ OK</v>
      </c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tr">
        <f>H04_S2_PLANIFICACIÓN_PDOT!A24</f>
        <v>EP-L-N-01</v>
      </c>
      <c r="B25" s="36" t="str">
        <f>H04_S2_PLANIFICACIÓN_PDOT!B24</f>
        <v>Vivienda de interés social: 50 VIS/VIP hasta 2027; reducción déficit habitacional cualitativo</v>
      </c>
      <c r="C25" s="36" t="s">
        <v>1507</v>
      </c>
      <c r="D25" s="55">
        <v>30600</v>
      </c>
      <c r="E25" s="36" t="s">
        <v>1508</v>
      </c>
      <c r="F25" s="36" t="s">
        <v>274</v>
      </c>
      <c r="G25" s="36" t="s">
        <v>1483</v>
      </c>
      <c r="H25" s="66">
        <f t="shared" si="0"/>
        <v>0.5</v>
      </c>
      <c r="I25" s="36" t="str">
        <f>IF(AND(D25&gt;0,D25&gt;H04_S2_PLANIFICACIÓN_PDOT!G24),"⚠️ Monto supera planificación PDOT","✅ OK")</f>
        <v>✅ OK</v>
      </c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62" t="str">
        <f>H04_S2_PLANIFICACIÓN_PDOT!A25</f>
        <v>EP-L-X-01</v>
      </c>
      <c r="B26" s="63" t="str">
        <f>H04_S2_PLANIFICACIÓN_PDOT!B25</f>
        <v>Fortalecimiento productivo: beneficiarios artesanos, mipymes, emprendedores, huertos comunitarios y cadenas de valor</v>
      </c>
      <c r="C26" s="63" t="s">
        <v>1509</v>
      </c>
      <c r="D26" s="87">
        <v>163400</v>
      </c>
      <c r="E26" s="63" t="s">
        <v>1482</v>
      </c>
      <c r="F26" s="63" t="s">
        <v>273</v>
      </c>
      <c r="G26" s="63" t="s">
        <v>1483</v>
      </c>
      <c r="H26" s="90">
        <f t="shared" si="0"/>
        <v>1</v>
      </c>
      <c r="I26" s="63" t="str">
        <f>IF(AND(D26&gt;0,D26&gt;H04_S2_PLANIFICACIÓN_PDOT!G25),"⚠️ Monto supera planificación PDOT","✅ OK")</f>
        <v>⚠️ Monto supera planificación PDOT</v>
      </c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4"/>
    </row>
  </sheetData>
  <dataValidations count="1">
    <dataValidation type="list" allowBlank="1" showInputMessage="1" showErrorMessage="1" promptTitle="Estado del Proceso SERCOP" prompt="Seleccione el estado actual del proceso de contratación" sqref="F7:F26" xr:uid="{EFAF5758-FDA3-429B-B2EB-5E72958A9FA2}">
      <formula1>"Adjudicado,En_proceso,Desierto,Cancelado"</formula1>
    </dataValidation>
  </dataValidations>
  <hyperlinks>
    <hyperlink ref="B1" location="'H00_ÍNDICE'!A1" display="⬅️ ÍNDICE GENERAL" xr:uid="{F2D69585-8A03-453E-B363-3088F76B839D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4DB5-7136-4F32-9688-84A55F1AC982}">
  <sheetPr>
    <tabColor rgb="FF38A169"/>
  </sheetPr>
  <dimension ref="A1:Z28"/>
  <sheetViews>
    <sheetView workbookViewId="0">
      <pane ySplit="3" topLeftCell="A4" activePane="bottomLeft" state="frozen"/>
      <selection pane="bottomLeft" activeCell="B10" sqref="B10"/>
    </sheetView>
  </sheetViews>
  <sheetFormatPr baseColWidth="10" defaultRowHeight="14.4" x14ac:dyDescent="0.3"/>
  <cols>
    <col min="1" max="1" width="40.77734375" customWidth="1"/>
    <col min="2" max="2" width="44.44140625" customWidth="1"/>
    <col min="3" max="11" width="20.33203125" customWidth="1"/>
  </cols>
  <sheetData>
    <row r="1" spans="1:26" ht="18" customHeight="1" x14ac:dyDescent="0.3">
      <c r="A1" s="313" t="s">
        <v>1510</v>
      </c>
      <c r="B1" s="209" t="s">
        <v>1127</v>
      </c>
      <c r="C1" s="210" t="str">
        <f>"ICPI: "&amp;TEXT(H12_MOTOR_ICPI_CANÓNICO!B28,"0,0")&amp;"%"</f>
        <v>ICPI: 72,9%</v>
      </c>
      <c r="D1" s="211" t="s">
        <v>1135</v>
      </c>
      <c r="E1" s="212" t="str">
        <f ca="1">TEXT(TODAY(),"DD/MM/YYYY")</f>
        <v>05/04/2026</v>
      </c>
    </row>
    <row r="2" spans="1:26" ht="30" customHeight="1" x14ac:dyDescent="0.35">
      <c r="A2" s="1" t="s">
        <v>275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276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 t="s">
        <v>277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2" t="s">
        <v>192</v>
      </c>
      <c r="B6" s="2" t="s">
        <v>233</v>
      </c>
      <c r="C6" s="2" t="s">
        <v>278</v>
      </c>
      <c r="D6" s="2" t="s">
        <v>279</v>
      </c>
      <c r="E6" s="2" t="s">
        <v>280</v>
      </c>
      <c r="F6" s="2" t="s">
        <v>281</v>
      </c>
      <c r="G6" s="2" t="s">
        <v>282</v>
      </c>
      <c r="H6" s="2" t="s">
        <v>283</v>
      </c>
      <c r="I6" s="2" t="s">
        <v>284</v>
      </c>
    </row>
    <row r="7" spans="1:26" x14ac:dyDescent="0.3">
      <c r="A7" t="str">
        <f>H04_S2_PLANIFICACIÓN_PDOT!A6</f>
        <v>SC-I-N-01</v>
      </c>
      <c r="B7" t="str">
        <f>H04_S2_PLANIFICACIÓN_PDOT!B6</f>
        <v>Agua potable: cobertura 39.25%→42.38%; calidad 100% INEN 1108; infraestructura BUENA 22.74%→41.64%</v>
      </c>
      <c r="C7">
        <v>73.08</v>
      </c>
      <c r="D7">
        <v>73</v>
      </c>
      <c r="E7" s="6">
        <v>45000</v>
      </c>
      <c r="F7" s="6">
        <f>E7*0.95</f>
        <v>42750</v>
      </c>
      <c r="G7" s="14">
        <f>IF(E7&gt;0,F7/E7,0)</f>
        <v>0.95</v>
      </c>
      <c r="H7" s="10">
        <f>IF(F7&gt;0,1,IF(E7&gt;0,0.5,0))</f>
        <v>1</v>
      </c>
      <c r="I7" t="str">
        <f>IF(AND(OR(D7=71,D7=73,D7=78),F7&gt;0,H01_PARÁMETROS!B34="SÍ"),"⚠️ SAT-IV — Meta social en período restricción fiscal","✅ OK")</f>
        <v>✅ OK</v>
      </c>
    </row>
    <row r="8" spans="1:26" x14ac:dyDescent="0.3">
      <c r="A8" s="48" t="str">
        <f>H04_S2_PLANIFICACIÓN_PDOT!A7</f>
        <v>SC-L-N-02</v>
      </c>
      <c r="B8" s="34" t="str">
        <f>H04_S2_PLANIFICACIÓN_PDOT!B7</f>
        <v>Gestión del talento humano municipal: desempeño 80%→90%; plan capacitación 90% anual</v>
      </c>
      <c r="C8" s="34">
        <v>53.08</v>
      </c>
      <c r="D8" s="34">
        <v>53</v>
      </c>
      <c r="E8" s="73">
        <v>8900</v>
      </c>
      <c r="F8" s="73">
        <f>E8*0.85</f>
        <v>7565</v>
      </c>
      <c r="G8" s="91">
        <f>IF(E8&gt;0,F8/E8,0)</f>
        <v>0.85</v>
      </c>
      <c r="H8" s="65">
        <f>IF(F8&gt;0,1,IF(E8&gt;0,0.5,0))</f>
        <v>1</v>
      </c>
      <c r="I8" s="34" t="str">
        <f>IF(AND(OR(D8=71,D8=73,D8=78),F8&gt;0,H01_PARÁMETROS!B34="SÍ"),"⚠️ SAT-IV — Meta social en período restricción fiscal","✅ OK")</f>
        <v>✅ OK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9" t="str">
        <f>H04_S2_PLANIFICACIÓN_PDOT!A8</f>
        <v>AH-I-X-01</v>
      </c>
      <c r="B9" s="36" t="str">
        <f>H04_S2_PLANIFICACIÓN_PDOT!B8</f>
        <v>Sostenibilidad financiera: autonomía 43.35%→45.30%; gestión cobros y coactivas</v>
      </c>
      <c r="C9" s="36">
        <v>75.010000000000005</v>
      </c>
      <c r="D9" s="36">
        <v>75</v>
      </c>
      <c r="E9" s="55">
        <v>2206556</v>
      </c>
      <c r="F9" s="55">
        <f>E9*0.72</f>
        <v>1588720.3199999998</v>
      </c>
      <c r="G9" s="92">
        <f>IF(E9&gt;0,F9/E9,0)</f>
        <v>0.72</v>
      </c>
      <c r="H9" s="66">
        <f>IF(F9&gt;0,1,IF(E9&gt;0,0.5,0))</f>
        <v>1</v>
      </c>
      <c r="I9" s="36" t="str">
        <f>IF(AND(OR(D9=71,D9=73,D9=78),F9&gt;0,H01_PARÁMETROS!B34="SÍ"),"⚠️ SAT-IV — Meta social en período restricción fiscal","✅ OK")</f>
        <v>✅ OK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 t="str">
        <f>H04_S2_PLANIFICACIÓN_PDOT!A9</f>
        <v>AH-I-X-02</v>
      </c>
      <c r="B10" s="39" t="str">
        <f>H04_S2_PLANIFICACIÓN_PDOT!B9</f>
        <v>Vialidad cantonal: mantenimiento 43.8 km vías CUP + 57.22 km rurales; 23.77 km tratamiento medio</v>
      </c>
      <c r="C10" s="39"/>
      <c r="D10" s="39"/>
      <c r="E10" s="56">
        <v>0</v>
      </c>
      <c r="F10" s="56">
        <v>0</v>
      </c>
      <c r="G10" s="93">
        <f>IF(E10&gt;0,F10/E10,0)</f>
        <v>0</v>
      </c>
      <c r="H10" s="67">
        <f>IF(F10&gt;0,1,IF(E10&gt;0,0.5,0))</f>
        <v>0</v>
      </c>
      <c r="I10" s="39" t="str">
        <f>IF(AND(OR(D10=71,D10=73,D10=78),F10&gt;0,H01_PARÁMETROS!B34="SÍ"),"⚠️ SAT-IV — Meta social en período restricción fiscal","✅ OK")</f>
        <v>✅ OK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 t="str">
        <f>H04_S2_PLANIFICACIÓN_PDOT!A10</f>
        <v>AH-I-X-03</v>
      </c>
      <c r="B11" s="36" t="str">
        <f>H04_S2_PLANIFICACIÓN_PDOT!B10</f>
        <v>Salud integral municipal: población atendida 57,401→84,041 personas (+10% anual)</v>
      </c>
      <c r="C11" s="36">
        <v>75.010000000000005</v>
      </c>
      <c r="D11" s="36">
        <v>75</v>
      </c>
      <c r="E11" s="55">
        <v>675840</v>
      </c>
      <c r="F11" s="55">
        <f>E11*0.72</f>
        <v>486604.79999999999</v>
      </c>
      <c r="G11" s="92">
        <f>IF(E11&gt;0,F11/E11,0)</f>
        <v>0.72</v>
      </c>
      <c r="H11" s="66">
        <f>IF(F11&gt;0,1,IF(E11&gt;0,0.5,0))</f>
        <v>1</v>
      </c>
      <c r="I11" s="36" t="str">
        <f>IF(AND(OR(D11=71,D11=73,D11=78),F11&gt;0,H01_PARÁMETROS!B34="SÍ"),"⚠️ SAT-IV — Meta social en período restricción fiscal","✅ OK")</f>
        <v>✅ OK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50" t="str">
        <f>H04_S2_PLANIFICACIÓN_PDOT!A11</f>
        <v>AH-I-N-01</v>
      </c>
      <c r="B12" s="39" t="str">
        <f>H04_S2_PLANIFICACIÓN_PDOT!B11</f>
        <v>Gestión integral desechos sólidos: 20,118→23,086 Tn/año; relleno sanitario; capacidad disposición 0%→20%</v>
      </c>
      <c r="C12" s="39">
        <v>78.010000000000005</v>
      </c>
      <c r="D12" s="39">
        <v>78</v>
      </c>
      <c r="E12" s="56">
        <v>50400</v>
      </c>
      <c r="F12" s="56">
        <f>E12*0.8</f>
        <v>40320</v>
      </c>
      <c r="G12" s="93">
        <f>IF(E12&gt;0,F12/E12,0)</f>
        <v>0.8</v>
      </c>
      <c r="H12" s="67">
        <f>IF(F12&gt;0,1,IF(E12&gt;0,0.5,0))</f>
        <v>1</v>
      </c>
      <c r="I12" s="39" t="str">
        <f>IF(AND(OR(D12=71,D12=73,D12=78),F12&gt;0,H01_PARÁMETROS!B34="SÍ"),"⚠️ SAT-IV — Meta social en período restricción fiscal","✅ OK")</f>
        <v>✅ OK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 t="str">
        <f>H04_S2_PLANIFICACIÓN_PDOT!A12</f>
        <v>SC-L-G-01</v>
      </c>
      <c r="B13" s="36" t="str">
        <f>H04_S2_PLANIFICACIÓN_PDOT!B12</f>
        <v>Alcantarillado sanitario: cobertura 19.77%→24.32%; PTAR 0%→75%; estaciones bombeo 36%→72%</v>
      </c>
      <c r="C13" s="36">
        <v>73.08</v>
      </c>
      <c r="D13" s="36">
        <v>73</v>
      </c>
      <c r="E13" s="55">
        <v>299271</v>
      </c>
      <c r="F13" s="55">
        <f>E13*0.85</f>
        <v>254380.35</v>
      </c>
      <c r="G13" s="92">
        <f>IF(E13&gt;0,F13/E13,0)</f>
        <v>0.85</v>
      </c>
      <c r="H13" s="66">
        <f>IF(F13&gt;0,1,IF(E13&gt;0,0.5,0))</f>
        <v>1</v>
      </c>
      <c r="I13" s="36" t="str">
        <f>IF(AND(OR(D13=71,D13=73,D13=78),F13&gt;0,H01_PARÁMETROS!B34="SÍ"),"⚠️ SAT-IV — Meta social en período restricción fiscal","✅ OK")</f>
        <v>✅ OK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tr">
        <f>H04_S2_PLANIFICACIÓN_PDOT!A13</f>
        <v>AH-I-X-04</v>
      </c>
      <c r="B14" s="39" t="str">
        <f>H04_S2_PLANIFICACIÓN_PDOT!B13</f>
        <v>Modernización recursos administrativos: parque automotor, tecnología e infraestructura municipal</v>
      </c>
      <c r="C14" s="39">
        <v>75.010000000000005</v>
      </c>
      <c r="D14" s="39">
        <v>75</v>
      </c>
      <c r="E14" s="56">
        <v>422356</v>
      </c>
      <c r="F14" s="56">
        <f>E14*0.72</f>
        <v>304096.32</v>
      </c>
      <c r="G14" s="93">
        <f>IF(E14&gt;0,F14/E14,0)</f>
        <v>0.72</v>
      </c>
      <c r="H14" s="67">
        <f>IF(F14&gt;0,1,IF(E14&gt;0,0.5,0))</f>
        <v>1</v>
      </c>
      <c r="I14" s="39" t="str">
        <f>IF(AND(OR(D14=71,D14=73,D14=78),F14&gt;0,H01_PARÁMETROS!B34="SÍ"),"⚠️ SAT-IV — Meta social en período restricción fiscal","✅ OK")</f>
        <v>✅ OK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tr">
        <f>H04_S2_PLANIFICACIÓN_PDOT!A14</f>
        <v>PI-I-G-01</v>
      </c>
      <c r="B15" s="36" t="str">
        <f>H04_S2_PLANIFICACIÓN_PDOT!B14</f>
        <v>Equipamientos públicos: terminal terrestre, mercado, estación bomberil, centro salud tipo C, mantenimiento espacios recreativos</v>
      </c>
      <c r="C15" s="36">
        <v>84.01</v>
      </c>
      <c r="D15" s="36">
        <v>84</v>
      </c>
      <c r="E15" s="55">
        <v>2183216</v>
      </c>
      <c r="F15" s="55">
        <f>E15*0.85</f>
        <v>1855733.5999999999</v>
      </c>
      <c r="G15" s="92">
        <f>IF(E15&gt;0,F15/E15,0)</f>
        <v>0.85</v>
      </c>
      <c r="H15" s="66">
        <f>IF(F15&gt;0,1,IF(E15&gt;0,0.5,0))</f>
        <v>1</v>
      </c>
      <c r="I15" s="36" t="str">
        <f>IF(AND(OR(D15=71,D15=73,D15=78),F15&gt;0,H01_PARÁMETROS!B34="SÍ"),"⚠️ SAT-IV — Meta social en período restricción fiscal","✅ OK")</f>
        <v>✅ OK</v>
      </c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tr">
        <f>H04_S2_PLANIFICACIÓN_PDOT!A15</f>
        <v>AH-C-X-01</v>
      </c>
      <c r="B16" s="39" t="str">
        <f>H04_S2_PLANIFICACIÓN_PDOT!B15</f>
        <v>Protección derechos sociales: atenciones grupos prioritarios 943→1,649 (+15%/año); CDI; adultos mayores; violencia de género</v>
      </c>
      <c r="C16" s="39">
        <v>75.010000000000005</v>
      </c>
      <c r="D16" s="39">
        <v>75</v>
      </c>
      <c r="E16" s="56">
        <v>558105</v>
      </c>
      <c r="F16" s="56">
        <f>E16*0.72</f>
        <v>401835.6</v>
      </c>
      <c r="G16" s="93">
        <f>IF(E16&gt;0,F16/E16,0)</f>
        <v>0.72</v>
      </c>
      <c r="H16" s="67">
        <f>IF(F16&gt;0,1,IF(E16&gt;0,0.5,0))</f>
        <v>1</v>
      </c>
      <c r="I16" s="39" t="str">
        <f>IF(AND(OR(D16=71,D16=73,D16=78),F16&gt;0,H01_PARÁMETROS!B34="SÍ"),"⚠️ SAT-IV — Meta social en período restricción fiscal","✅ OK")</f>
        <v>✅ OK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tr">
        <f>H04_S2_PLANIFICACIÓN_PDOT!A16</f>
        <v>AH-C-X-02</v>
      </c>
      <c r="B17" s="36" t="str">
        <f>H04_S2_PLANIFICACIÓN_PDOT!B16</f>
        <v>Sistema información territorial: catastro urbano-rural 19.52%→80%; 12 procesos sistematizados; 37 trámites en línea</v>
      </c>
      <c r="C17" s="36">
        <v>75.010000000000005</v>
      </c>
      <c r="D17" s="36">
        <v>75</v>
      </c>
      <c r="E17" s="55">
        <v>625859</v>
      </c>
      <c r="F17" s="55">
        <f>E17*0.72</f>
        <v>450618.48</v>
      </c>
      <c r="G17" s="92">
        <f>IF(E17&gt;0,F17/E17,0)</f>
        <v>0.72</v>
      </c>
      <c r="H17" s="66">
        <f>IF(F17&gt;0,1,IF(E17&gt;0,0.5,0))</f>
        <v>1</v>
      </c>
      <c r="I17" s="36" t="str">
        <f>IF(AND(OR(D17=71,D17=73,D17=78),F17&gt;0,H01_PARÁMETROS!B34="SÍ"),"⚠️ SAT-IV — Meta social en período restricción fiscal","✅ OK")</f>
        <v>✅ OK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tr">
        <f>H04_S2_PLANIFICACIÓN_PDOT!A17</f>
        <v>SC-I-N-03</v>
      </c>
      <c r="B18" s="39" t="str">
        <f>H04_S2_PLANIFICACIÓN_PDOT!B17</f>
        <v>Participación ciudadana: 50→100 Unidades Territoriales participativas; 2→4 instancias efectivas (COPFP Art.115)</v>
      </c>
      <c r="C18" s="39">
        <v>71.06</v>
      </c>
      <c r="D18" s="39">
        <v>71</v>
      </c>
      <c r="E18" s="56">
        <v>37000</v>
      </c>
      <c r="F18" s="56">
        <f>E18*0.95</f>
        <v>35150</v>
      </c>
      <c r="G18" s="93">
        <f>IF(E18&gt;0,F18/E18,0)</f>
        <v>0.95</v>
      </c>
      <c r="H18" s="67">
        <f>IF(F18&gt;0,1,IF(E18&gt;0,0.5,0))</f>
        <v>1</v>
      </c>
      <c r="I18" s="39" t="str">
        <f>IF(AND(OR(D18=71,D18=73,D18=78),F18&gt;0,H01_PARÁMETROS!B34="SÍ"),"⚠️ SAT-IV — Meta social en período restricción fiscal","✅ OK")</f>
        <v>✅ OK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tr">
        <f>H04_S2_PLANIFICACIÓN_PDOT!A18</f>
        <v>FA-I-X-01</v>
      </c>
      <c r="B19" s="36" t="str">
        <f>H04_S2_PLANIFICACIÓN_PDOT!B18</f>
        <v>Gestión del riesgo: reducir 10% infraestructura susceptible (3,655→2,398 unidades); alerta temprana climática</v>
      </c>
      <c r="C19" s="36">
        <v>75.010000000000005</v>
      </c>
      <c r="D19" s="36">
        <v>75</v>
      </c>
      <c r="E19" s="55">
        <v>78500</v>
      </c>
      <c r="F19" s="55">
        <f>E19*0.65</f>
        <v>51025</v>
      </c>
      <c r="G19" s="92">
        <f>IF(E19&gt;0,F19/E19,0)</f>
        <v>0.65</v>
      </c>
      <c r="H19" s="66">
        <f>IF(F19&gt;0,1,IF(E19&gt;0,0.5,0))</f>
        <v>1</v>
      </c>
      <c r="I19" s="36" t="str">
        <f>IF(AND(OR(D19=71,D19=73,D19=78),F19&gt;0,H01_PARÁMETROS!B34="SÍ"),"⚠️ SAT-IV — Meta social en período restricción fiscal","✅ OK")</f>
        <v>✅ OK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tr">
        <f>H04_S2_PLANIFICACIÓN_PDOT!A19</f>
        <v>FA-C-X-01</v>
      </c>
      <c r="B20" s="39" t="str">
        <f>H04_S2_PLANIFICACIÓN_PDOT!B19</f>
        <v>Áreas verdes y parques: IVU 10.94→17.32 m²/hab; parques inter-barriales; recuperación manglar perfil costero</v>
      </c>
      <c r="C20" s="39">
        <v>78.010000000000005</v>
      </c>
      <c r="D20" s="39">
        <v>78</v>
      </c>
      <c r="E20" s="56">
        <v>5000</v>
      </c>
      <c r="F20" s="56">
        <f>E20*0.8</f>
        <v>4000</v>
      </c>
      <c r="G20" s="93">
        <f>IF(E20&gt;0,F20/E20,0)</f>
        <v>0.8</v>
      </c>
      <c r="H20" s="67">
        <f>IF(F20&gt;0,1,IF(E20&gt;0,0.5,0))</f>
        <v>1</v>
      </c>
      <c r="I20" s="39" t="str">
        <f>IF(AND(OR(D20=71,D20=73,D20=78),F20&gt;0,H01_PARÁMETROS!B34="SÍ"),"⚠️ SAT-IV — Meta social en período restricción fiscal","✅ OK")</f>
        <v>✅ OK</v>
      </c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tr">
        <f>H04_S2_PLANIFICACIÓN_PDOT!A20</f>
        <v>FA-I-X-02</v>
      </c>
      <c r="B21" s="36" t="str">
        <f>H04_S2_PLANIFICACIÓN_PDOT!B20</f>
        <v>Índice equipamiento urbano CUP 9.96→10.73 m²/hab; recolección desechos 91.95%→97.95%; 77.83→81.07 km/día barrido</v>
      </c>
      <c r="C21" s="36">
        <v>73.08</v>
      </c>
      <c r="D21" s="36">
        <v>73</v>
      </c>
      <c r="E21" s="55">
        <v>37600</v>
      </c>
      <c r="F21" s="55">
        <f>E21*0.85</f>
        <v>31960</v>
      </c>
      <c r="G21" s="92">
        <f>IF(E21&gt;0,F21/E21,0)</f>
        <v>0.85</v>
      </c>
      <c r="H21" s="66">
        <f>IF(F21&gt;0,1,IF(E21&gt;0,0.5,0))</f>
        <v>1</v>
      </c>
      <c r="I21" s="36" t="str">
        <f>IF(AND(OR(D21=71,D21=73,D21=78),F21&gt;0,H01_PARÁMETROS!B34="SÍ"),"⚠️ SAT-IV — Meta social en período restricción fiscal","✅ OK")</f>
        <v>✅ OK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H04_S2_PLANIFICACIÓN_PDOT!A21</f>
        <v>FA-L-N-01</v>
      </c>
      <c r="B22" s="39" t="str">
        <f>H04_S2_PLANIFICACIÓN_PDOT!B21</f>
        <v>Inventario patrimonial 100% al 2026; 8,000→10,000 participantes eventos culturales; Museo del Sombrero</v>
      </c>
      <c r="C22" s="39">
        <v>71.06</v>
      </c>
      <c r="D22" s="39">
        <v>71</v>
      </c>
      <c r="E22" s="56">
        <v>5000</v>
      </c>
      <c r="F22" s="56">
        <f>E22*0.95</f>
        <v>4750</v>
      </c>
      <c r="G22" s="93">
        <f>IF(E22&gt;0,F22/E22,0)</f>
        <v>0.95</v>
      </c>
      <c r="H22" s="67">
        <f>IF(F22&gt;0,1,IF(E22&gt;0,0.5,0))</f>
        <v>1</v>
      </c>
      <c r="I22" s="39" t="str">
        <f>IF(AND(OR(D22=71,D22=73,D22=78),F22&gt;0,H01_PARÁMETROS!B34="SÍ"),"⚠️ SAT-IV — Meta social en período restricción fiscal","✅ OK")</f>
        <v>✅ OK</v>
      </c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tr">
        <f>H04_S2_PLANIFICACIÓN_PDOT!A22</f>
        <v>PI-I-G-02</v>
      </c>
      <c r="B23" s="36" t="str">
        <f>H04_S2_PLANIFICACIÓN_PDOT!B22</f>
        <v>Cumplimiento PDOT/PUGS 0%→80%; SIL 19.52%→80%; 37 trámites digitales implementados</v>
      </c>
      <c r="C23" s="36">
        <v>84.01</v>
      </c>
      <c r="D23" s="36">
        <v>84</v>
      </c>
      <c r="E23" s="55">
        <v>422100</v>
      </c>
      <c r="F23" s="55">
        <f>E23*0.85</f>
        <v>358785</v>
      </c>
      <c r="G23" s="92">
        <f>IF(E23&gt;0,F23/E23,0)</f>
        <v>0.85</v>
      </c>
      <c r="H23" s="66">
        <f>IF(F23&gt;0,1,IF(E23&gt;0,0.5,0))</f>
        <v>1</v>
      </c>
      <c r="I23" s="36" t="str">
        <f>IF(AND(OR(D23=71,D23=73,D23=78),F23&gt;0,H01_PARÁMETROS!B34="SÍ"),"⚠️ SAT-IV — Meta social en período restricción fiscal","✅ OK")</f>
        <v>✅ OK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tr">
        <f>H04_S2_PLANIFICACIÓN_PDOT!A23</f>
        <v>PI-L-G-01</v>
      </c>
      <c r="B24" s="39" t="str">
        <f>H04_S2_PLANIFICACIÓN_PDOT!B23</f>
        <v>Señalización vial 0→10,000 m²; 0→8 semáforos; revisiones técnicas 4,000→20,000; educación vial 40 instituciones</v>
      </c>
      <c r="C24" s="39">
        <v>71.06</v>
      </c>
      <c r="D24" s="39">
        <v>71</v>
      </c>
      <c r="E24" s="56">
        <v>20222</v>
      </c>
      <c r="F24" s="56">
        <f>E24*0.95</f>
        <v>19210.899999999998</v>
      </c>
      <c r="G24" s="93">
        <f>IF(E24&gt;0,F24/E24,0)</f>
        <v>0.94999999999999984</v>
      </c>
      <c r="H24" s="67">
        <f>IF(F24&gt;0,1,IF(E24&gt;0,0.5,0))</f>
        <v>1</v>
      </c>
      <c r="I24" s="39" t="str">
        <f>IF(AND(OR(D24=71,D24=73,D24=78),F24&gt;0,H01_PARÁMETROS!B34="SÍ"),"⚠️ SAT-IV — Meta social en período restricción fiscal","✅ OK")</f>
        <v>✅ OK</v>
      </c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tr">
        <f>H04_S2_PLANIFICACIÓN_PDOT!A24</f>
        <v>EP-L-N-01</v>
      </c>
      <c r="B25" s="36" t="str">
        <f>H04_S2_PLANIFICACIÓN_PDOT!B24</f>
        <v>Vivienda de interés social: 50 VIS/VIP hasta 2027; reducción déficit habitacional cualitativo</v>
      </c>
      <c r="C25" s="36">
        <v>71.06</v>
      </c>
      <c r="D25" s="36">
        <v>71</v>
      </c>
      <c r="E25" s="55">
        <v>30600</v>
      </c>
      <c r="F25" s="55">
        <f>E25*0.95</f>
        <v>29070</v>
      </c>
      <c r="G25" s="92">
        <f>IF(E25&gt;0,F25/E25,0)</f>
        <v>0.95</v>
      </c>
      <c r="H25" s="66">
        <f>IF(F25&gt;0,1,IF(E25&gt;0,0.5,0))</f>
        <v>1</v>
      </c>
      <c r="I25" s="36" t="str">
        <f>IF(AND(OR(D25=71,D25=73,D25=78),F25&gt;0,H01_PARÁMETROS!B34="SÍ"),"⚠️ SAT-IV — Meta social en período restricción fiscal","✅ OK")</f>
        <v>✅ OK</v>
      </c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50" t="str">
        <f>H04_S2_PLANIFICACIÓN_PDOT!A25</f>
        <v>EP-L-X-01</v>
      </c>
      <c r="B26" s="39" t="str">
        <f>H04_S2_PLANIFICACIÓN_PDOT!B25</f>
        <v>Fortalecimiento productivo: beneficiarios artesanos, mipymes, emprendedores, huertos comunitarios y cadenas de valor</v>
      </c>
      <c r="C26" s="39">
        <v>73.08</v>
      </c>
      <c r="D26" s="39">
        <v>73</v>
      </c>
      <c r="E26" s="56">
        <v>163400</v>
      </c>
      <c r="F26" s="56">
        <f>E26*0.85</f>
        <v>138890</v>
      </c>
      <c r="G26" s="93">
        <f>IF(E26&gt;0,F26/E26,0)</f>
        <v>0.85</v>
      </c>
      <c r="H26" s="67">
        <f>IF(F26&gt;0,1,IF(E26&gt;0,0.5,0))</f>
        <v>1</v>
      </c>
      <c r="I26" s="39" t="str">
        <f>IF(AND(OR(D26=71,D26=73,D26=78),F26&gt;0,H01_PARÁMETROS!B34="SÍ"),"⚠️ SAT-IV — Meta social en período restricción fiscal","✅ OK")</f>
        <v>✅ OK</v>
      </c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1" t="s">
        <v>285</v>
      </c>
      <c r="B27" s="36"/>
      <c r="C27" s="36"/>
      <c r="D27" s="36"/>
      <c r="E27" s="55">
        <f>SUM(E7:E26)</f>
        <v>7874925</v>
      </c>
      <c r="F27" s="55">
        <f>SUM(F7:F26)</f>
        <v>6105465.3699999992</v>
      </c>
      <c r="G27" s="92">
        <f t="shared" ref="G7:G27" si="0">IF(E27&gt;0,F27/E27,0)</f>
        <v>0.77530457369435257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62" t="s">
        <v>286</v>
      </c>
      <c r="B28" s="94">
        <f>AVERAGE(G7:G26)</f>
        <v>0.78499999999999981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4"/>
    </row>
  </sheetData>
  <hyperlinks>
    <hyperlink ref="B1" location="'H00_ÍNDICE'!A1" display="⬅️ ÍNDICE GENERAL" xr:uid="{857BE2A3-52CB-41C9-BDEC-764C58D7F11E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2BE6-5F69-45E6-A333-8D65FB2D29EC}">
  <sheetPr>
    <tabColor rgb="FF38A169"/>
  </sheetPr>
  <dimension ref="A1:Z28"/>
  <sheetViews>
    <sheetView workbookViewId="0">
      <pane ySplit="3" topLeftCell="A4" activePane="bottomLeft" state="frozen"/>
      <selection pane="bottomLeft"/>
    </sheetView>
  </sheetViews>
  <sheetFormatPr baseColWidth="10" defaultRowHeight="14.4" x14ac:dyDescent="0.3"/>
  <cols>
    <col min="1" max="1" width="40.77734375" customWidth="1"/>
    <col min="2" max="2" width="44.44140625" customWidth="1"/>
    <col min="3" max="11" width="20.33203125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1136</v>
      </c>
      <c r="E1" s="212" t="str">
        <f ca="1">TEXT(TODAY(),"DD/MM/YYYY")</f>
        <v>05/04/2026</v>
      </c>
    </row>
    <row r="2" spans="1:26" ht="30" customHeight="1" x14ac:dyDescent="0.35">
      <c r="A2" s="1" t="s">
        <v>287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288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 t="s">
        <v>289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2" t="s">
        <v>192</v>
      </c>
      <c r="B6" s="2" t="s">
        <v>233</v>
      </c>
      <c r="C6" s="2" t="s">
        <v>290</v>
      </c>
      <c r="D6" s="2" t="s">
        <v>291</v>
      </c>
      <c r="E6" s="2" t="s">
        <v>292</v>
      </c>
      <c r="F6" s="2" t="s">
        <v>293</v>
      </c>
      <c r="G6" s="2" t="s">
        <v>294</v>
      </c>
    </row>
    <row r="7" spans="1:26" x14ac:dyDescent="0.3">
      <c r="A7" t="str">
        <f>H04_S2_PLANIFICACIÓN_PDOT!A6</f>
        <v>SC-I-N-01</v>
      </c>
      <c r="B7" t="str">
        <f>H04_S2_PLANIFICACIÓN_PDOT!B6</f>
        <v>Agua potable: cobertura 39.25%→42.38%; calidad 100% INEN 1108; infraestructura BUENA 22.74%→41.64%</v>
      </c>
      <c r="C7" s="10">
        <v>100</v>
      </c>
      <c r="D7" t="str">
        <f>H04_S2_PLANIFICACIÓN_PDOT!O6</f>
        <v>% cobertura agua potable</v>
      </c>
      <c r="E7" t="s">
        <v>30</v>
      </c>
      <c r="F7" s="10">
        <f t="shared" ref="F7:F26" si="0">IF(C7&lt;&gt;"",1,0)</f>
        <v>1</v>
      </c>
      <c r="G7" t="str">
        <f>IF(D7&lt;&gt;H04_S2_PLANIFICACIÓN_PDOT!O6,"⚠️ CAMBIO DE UNIDAD — Posible MOM-III","✅ Unidad consistente con PDOT")</f>
        <v>✅ Unidad consistente con PDOT</v>
      </c>
    </row>
    <row r="8" spans="1:26" x14ac:dyDescent="0.3">
      <c r="A8" s="48" t="str">
        <f>H04_S2_PLANIFICACIÓN_PDOT!A7</f>
        <v>SC-L-N-02</v>
      </c>
      <c r="B8" s="34" t="str">
        <f>H04_S2_PLANIFICACIÓN_PDOT!B7</f>
        <v>Gestión del talento humano municipal: desempeño 80%→90%; plan capacitación 90% anual</v>
      </c>
      <c r="C8" s="65">
        <v>100</v>
      </c>
      <c r="D8" s="34" t="str">
        <f>H04_S2_PLANIFICACIÓN_PDOT!O7</f>
        <v>% nivel desempeño personal</v>
      </c>
      <c r="E8" s="34" t="s">
        <v>30</v>
      </c>
      <c r="F8" s="65">
        <f t="shared" si="0"/>
        <v>1</v>
      </c>
      <c r="G8" s="34" t="str">
        <f>IF(D8&lt;&gt;H04_S2_PLANIFICACIÓN_PDOT!O7,"⚠️ CAMBIO DE UNIDAD — Posible MOM-III","✅ Unidad consistente con PDOT")</f>
        <v>✅ Unidad consistente con PDOT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9" t="str">
        <f>H04_S2_PLANIFICACIÓN_PDOT!A8</f>
        <v>AH-I-X-01</v>
      </c>
      <c r="B9" s="36" t="str">
        <f>H04_S2_PLANIFICACIÓN_PDOT!B8</f>
        <v>Sostenibilidad financiera: autonomía 43.35%→45.30%; gestión cobros y coactivas</v>
      </c>
      <c r="C9" s="66">
        <v>100</v>
      </c>
      <c r="D9" s="36" t="str">
        <f>H04_S2_PLANIFICACIÓN_PDOT!O8</f>
        <v>% autonomía financiera</v>
      </c>
      <c r="E9" s="36" t="s">
        <v>30</v>
      </c>
      <c r="F9" s="66">
        <f t="shared" si="0"/>
        <v>1</v>
      </c>
      <c r="G9" s="36" t="str">
        <f>IF(D9&lt;&gt;H04_S2_PLANIFICACIÓN_PDOT!O8,"⚠️ CAMBIO DE UNIDAD — Posible MOM-III","✅ Unidad consistente con PDOT")</f>
        <v>✅ Unidad consistente con PDOT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 t="str">
        <f>H04_S2_PLANIFICACIÓN_PDOT!A9</f>
        <v>AH-I-X-02</v>
      </c>
      <c r="B10" s="39" t="str">
        <f>H04_S2_PLANIFICACIÓN_PDOT!B9</f>
        <v>Vialidad cantonal: mantenimiento 43.8 km vías CUP + 57.22 km rurales; 23.77 km tratamiento medio</v>
      </c>
      <c r="C10" s="67">
        <v>100</v>
      </c>
      <c r="D10" s="39" t="str">
        <f>H04_S2_PLANIFICACIÓN_PDOT!O9</f>
        <v>Km vías mantenidas CUP acumulado</v>
      </c>
      <c r="E10" s="39" t="s">
        <v>30</v>
      </c>
      <c r="F10" s="67">
        <f t="shared" si="0"/>
        <v>1</v>
      </c>
      <c r="G10" s="39" t="str">
        <f>IF(D10&lt;&gt;H04_S2_PLANIFICACIÓN_PDOT!O9,"⚠️ CAMBIO DE UNIDAD — Posible MOM-III","✅ Unidad consistente con PDOT")</f>
        <v>✅ Unidad consistente con PDOT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 t="str">
        <f>H04_S2_PLANIFICACIÓN_PDOT!A10</f>
        <v>AH-I-X-03</v>
      </c>
      <c r="B11" s="36" t="str">
        <f>H04_S2_PLANIFICACIÓN_PDOT!B10</f>
        <v>Salud integral municipal: población atendida 57,401→84,041 personas (+10% anual)</v>
      </c>
      <c r="C11" s="66">
        <v>100</v>
      </c>
      <c r="D11" s="36" t="str">
        <f>H04_S2_PLANIFICACIÓN_PDOT!O10</f>
        <v>Personas atendidas salud municipal</v>
      </c>
      <c r="E11" s="36" t="s">
        <v>30</v>
      </c>
      <c r="F11" s="66">
        <f t="shared" si="0"/>
        <v>1</v>
      </c>
      <c r="G11" s="36" t="str">
        <f>IF(D11&lt;&gt;H04_S2_PLANIFICACIÓN_PDOT!O10,"⚠️ CAMBIO DE UNIDAD — Posible MOM-III","✅ Unidad consistente con PDOT")</f>
        <v>✅ Unidad consistente con PDOT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50" t="str">
        <f>H04_S2_PLANIFICACIÓN_PDOT!A11</f>
        <v>AH-I-N-01</v>
      </c>
      <c r="B12" s="39" t="str">
        <f>H04_S2_PLANIFICACIÓN_PDOT!B11</f>
        <v>Gestión integral desechos sólidos: 20,118→23,086 Tn/año; relleno sanitario; capacidad disposición 0%→20%</v>
      </c>
      <c r="C12" s="67">
        <v>100</v>
      </c>
      <c r="D12" s="39" t="str">
        <f>H04_S2_PLANIFICACIÓN_PDOT!O11</f>
        <v>Toneladas de desechos gestionadas/año</v>
      </c>
      <c r="E12" s="39" t="s">
        <v>30</v>
      </c>
      <c r="F12" s="67">
        <f t="shared" si="0"/>
        <v>1</v>
      </c>
      <c r="G12" s="39" t="str">
        <f>IF(D12&lt;&gt;H04_S2_PLANIFICACIÓN_PDOT!O11,"⚠️ CAMBIO DE UNIDAD — Posible MOM-III","✅ Unidad consistente con PDOT")</f>
        <v>✅ Unidad consistente con PDOT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 t="str">
        <f>H04_S2_PLANIFICACIÓN_PDOT!A12</f>
        <v>SC-L-G-01</v>
      </c>
      <c r="B13" s="36" t="str">
        <f>H04_S2_PLANIFICACIÓN_PDOT!B12</f>
        <v>Alcantarillado sanitario: cobertura 19.77%→24.32%; PTAR 0%→75%; estaciones bombeo 36%→72%</v>
      </c>
      <c r="C13" s="66">
        <v>100</v>
      </c>
      <c r="D13" s="36" t="str">
        <f>H04_S2_PLANIFICACIÓN_PDOT!O12</f>
        <v>% cobertura alcantarillado sanitario</v>
      </c>
      <c r="E13" s="36" t="s">
        <v>30</v>
      </c>
      <c r="F13" s="66">
        <f t="shared" si="0"/>
        <v>1</v>
      </c>
      <c r="G13" s="36" t="str">
        <f>IF(D13&lt;&gt;H04_S2_PLANIFICACIÓN_PDOT!O12,"⚠️ CAMBIO DE UNIDAD — Posible MOM-III","✅ Unidad consistente con PDOT")</f>
        <v>✅ Unidad consistente con PDOT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tr">
        <f>H04_S2_PLANIFICACIÓN_PDOT!A13</f>
        <v>AH-I-X-04</v>
      </c>
      <c r="B14" s="39" t="str">
        <f>H04_S2_PLANIFICACIÓN_PDOT!B13</f>
        <v>Modernización recursos administrativos: parque automotor, tecnología e infraestructura municipal</v>
      </c>
      <c r="C14" s="67">
        <v>100</v>
      </c>
      <c r="D14" s="39" t="str">
        <f>H04_S2_PLANIFICACIÓN_PDOT!O13</f>
        <v>Parque automotor y tecnología renovados</v>
      </c>
      <c r="E14" s="39" t="s">
        <v>30</v>
      </c>
      <c r="F14" s="67">
        <f t="shared" si="0"/>
        <v>1</v>
      </c>
      <c r="G14" s="39" t="str">
        <f>IF(D14&lt;&gt;H04_S2_PLANIFICACIÓN_PDOT!O13,"⚠️ CAMBIO DE UNIDAD — Posible MOM-III","✅ Unidad consistente con PDOT")</f>
        <v>✅ Unidad consistente con PDOT</v>
      </c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tr">
        <f>H04_S2_PLANIFICACIÓN_PDOT!A14</f>
        <v>PI-I-G-01</v>
      </c>
      <c r="B15" s="36" t="str">
        <f>H04_S2_PLANIFICACIÓN_PDOT!B14</f>
        <v>Equipamientos públicos: terminal terrestre, mercado, estación bomberil, centro salud tipo C, mantenimiento espacios recreativos</v>
      </c>
      <c r="C15" s="66">
        <v>100</v>
      </c>
      <c r="D15" s="36" t="str">
        <f>H04_S2_PLANIFICACIÓN_PDOT!O14</f>
        <v>m² / hab índice equipamiento urbano CUP</v>
      </c>
      <c r="E15" s="36" t="s">
        <v>30</v>
      </c>
      <c r="F15" s="66">
        <f t="shared" si="0"/>
        <v>1</v>
      </c>
      <c r="G15" s="36" t="str">
        <f>IF(D15&lt;&gt;H04_S2_PLANIFICACIÓN_PDOT!O14,"⚠️ CAMBIO DE UNIDAD — Posible MOM-III","✅ Unidad consistente con PDOT")</f>
        <v>✅ Unidad consistente con PDOT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tr">
        <f>H04_S2_PLANIFICACIÓN_PDOT!A15</f>
        <v>AH-C-X-01</v>
      </c>
      <c r="B16" s="39" t="str">
        <f>H04_S2_PLANIFICACIÓN_PDOT!B15</f>
        <v>Protección derechos sociales: atenciones grupos prioritarios 943→1,649 (+15%/año); CDI; adultos mayores; violencia de género</v>
      </c>
      <c r="C16" s="67">
        <v>100</v>
      </c>
      <c r="D16" s="39" t="str">
        <f>H04_S2_PLANIFICACIÓN_PDOT!O15</f>
        <v>Atenciones en programas grupos prioritarios</v>
      </c>
      <c r="E16" s="39" t="s">
        <v>30</v>
      </c>
      <c r="F16" s="67">
        <f t="shared" si="0"/>
        <v>1</v>
      </c>
      <c r="G16" s="39" t="str">
        <f>IF(D16&lt;&gt;H04_S2_PLANIFICACIÓN_PDOT!O15,"⚠️ CAMBIO DE UNIDAD — Posible MOM-III","✅ Unidad consistente con PDOT")</f>
        <v>✅ Unidad consistente con PDOT</v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tr">
        <f>H04_S2_PLANIFICACIÓN_PDOT!A16</f>
        <v>AH-C-X-02</v>
      </c>
      <c r="B17" s="36" t="str">
        <f>H04_S2_PLANIFICACIÓN_PDOT!B16</f>
        <v>Sistema información territorial: catastro urbano-rural 19.52%→80%; 12 procesos sistematizados; 37 trámites en línea</v>
      </c>
      <c r="C17" s="66">
        <v>100</v>
      </c>
      <c r="D17" s="36" t="str">
        <f>H04_S2_PLANIFICACIÓN_PDOT!O16</f>
        <v>% levantamiento SIL catastro urbano-rural</v>
      </c>
      <c r="E17" s="36" t="s">
        <v>30</v>
      </c>
      <c r="F17" s="66">
        <f t="shared" si="0"/>
        <v>1</v>
      </c>
      <c r="G17" s="36" t="str">
        <f>IF(D17&lt;&gt;H04_S2_PLANIFICACIÓN_PDOT!O16,"⚠️ CAMBIO DE UNIDAD — Posible MOM-III","✅ Unidad consistente con PDOT")</f>
        <v>✅ Unidad consistente con PDOT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tr">
        <f>H04_S2_PLANIFICACIÓN_PDOT!A17</f>
        <v>SC-I-N-03</v>
      </c>
      <c r="B18" s="39" t="str">
        <f>H04_S2_PLANIFICACIÓN_PDOT!B17</f>
        <v>Participación ciudadana: 50→100 Unidades Territoriales participativas; 2→4 instancias efectivas (COPFP Art.115)</v>
      </c>
      <c r="C18" s="67">
        <v>100</v>
      </c>
      <c r="D18" s="39" t="str">
        <f>H04_S2_PLANIFICACIÓN_PDOT!O17</f>
        <v>Unidades Territoriales participativas activas</v>
      </c>
      <c r="E18" s="39" t="s">
        <v>30</v>
      </c>
      <c r="F18" s="67">
        <f t="shared" si="0"/>
        <v>1</v>
      </c>
      <c r="G18" s="39" t="str">
        <f>IF(D18&lt;&gt;H04_S2_PLANIFICACIÓN_PDOT!O17,"⚠️ CAMBIO DE UNIDAD — Posible MOM-III","✅ Unidad consistente con PDOT")</f>
        <v>✅ Unidad consistente con PDOT</v>
      </c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tr">
        <f>H04_S2_PLANIFICACIÓN_PDOT!A18</f>
        <v>FA-I-X-01</v>
      </c>
      <c r="B19" s="36" t="str">
        <f>H04_S2_PLANIFICACIÓN_PDOT!B18</f>
        <v>Gestión del riesgo: reducir 10% infraestructura susceptible (3,655→2,398 unidades); alerta temprana climática</v>
      </c>
      <c r="C19" s="66">
        <v>100</v>
      </c>
      <c r="D19" s="36" t="str">
        <f>H04_S2_PLANIFICACIÓN_PDOT!O18</f>
        <v>Unidades infraestructura susceptible (meta reducción)</v>
      </c>
      <c r="E19" s="36" t="s">
        <v>30</v>
      </c>
      <c r="F19" s="66">
        <f t="shared" si="0"/>
        <v>1</v>
      </c>
      <c r="G19" s="36" t="str">
        <f>IF(D19&lt;&gt;H04_S2_PLANIFICACIÓN_PDOT!O18,"⚠️ CAMBIO DE UNIDAD — Posible MOM-III","✅ Unidad consistente con PDOT")</f>
        <v>✅ Unidad consistente con PDOT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tr">
        <f>H04_S2_PLANIFICACIÓN_PDOT!A19</f>
        <v>FA-C-X-01</v>
      </c>
      <c r="B20" s="39" t="str">
        <f>H04_S2_PLANIFICACIÓN_PDOT!B19</f>
        <v>Áreas verdes y parques: IVU 10.94→17.32 m²/hab; parques inter-barriales; recuperación manglar perfil costero</v>
      </c>
      <c r="C20" s="67">
        <v>100</v>
      </c>
      <c r="D20" s="39" t="str">
        <f>H04_S2_PLANIFICACIÓN_PDOT!O19</f>
        <v>m²/hab índice verde urbano</v>
      </c>
      <c r="E20" s="39" t="s">
        <v>30</v>
      </c>
      <c r="F20" s="67">
        <f t="shared" si="0"/>
        <v>1</v>
      </c>
      <c r="G20" s="39" t="str">
        <f>IF(D20&lt;&gt;H04_S2_PLANIFICACIÓN_PDOT!O19,"⚠️ CAMBIO DE UNIDAD — Posible MOM-III","✅ Unidad consistente con PDOT")</f>
        <v>✅ Unidad consistente con PDOT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tr">
        <f>H04_S2_PLANIFICACIÓN_PDOT!A20</f>
        <v>FA-I-X-02</v>
      </c>
      <c r="B21" s="36" t="str">
        <f>H04_S2_PLANIFICACIÓN_PDOT!B20</f>
        <v>Índice equipamiento urbano CUP 9.96→10.73 m²/hab; recolección desechos 91.95%→97.95%; 77.83→81.07 km/día barrido</v>
      </c>
      <c r="C21" s="66">
        <v>100</v>
      </c>
      <c r="D21" s="36" t="str">
        <f>H04_S2_PLANIFICACIÓN_PDOT!O20</f>
        <v>% cobertura recolección desechos</v>
      </c>
      <c r="E21" s="36" t="s">
        <v>30</v>
      </c>
      <c r="F21" s="66">
        <f t="shared" si="0"/>
        <v>1</v>
      </c>
      <c r="G21" s="36" t="str">
        <f>IF(D21&lt;&gt;H04_S2_PLANIFICACIÓN_PDOT!O20,"⚠️ CAMBIO DE UNIDAD — Posible MOM-III","✅ Unidad consistente con PDOT")</f>
        <v>✅ Unidad consistente con PDOT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H04_S2_PLANIFICACIÓN_PDOT!A21</f>
        <v>FA-L-N-01</v>
      </c>
      <c r="B22" s="39" t="str">
        <f>H04_S2_PLANIFICACIÓN_PDOT!B21</f>
        <v>Inventario patrimonial 100% al 2026; 8,000→10,000 participantes eventos culturales; Museo del Sombrero</v>
      </c>
      <c r="C22" s="67">
        <v>100</v>
      </c>
      <c r="D22" s="39" t="str">
        <f>H04_S2_PLANIFICACIÓN_PDOT!O21</f>
        <v>Participantes anuales en eventos culturales</v>
      </c>
      <c r="E22" s="39" t="s">
        <v>30</v>
      </c>
      <c r="F22" s="67">
        <f t="shared" si="0"/>
        <v>1</v>
      </c>
      <c r="G22" s="39" t="str">
        <f>IF(D22&lt;&gt;H04_S2_PLANIFICACIÓN_PDOT!O21,"⚠️ CAMBIO DE UNIDAD — Posible MOM-III","✅ Unidad consistente con PDOT")</f>
        <v>✅ Unidad consistente con PDOT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tr">
        <f>H04_S2_PLANIFICACIÓN_PDOT!A22</f>
        <v>PI-I-G-02</v>
      </c>
      <c r="B23" s="36" t="str">
        <f>H04_S2_PLANIFICACIÓN_PDOT!B22</f>
        <v>Cumplimiento PDOT/PUGS 0%→80%; SIL 19.52%→80%; 37 trámites digitales implementados</v>
      </c>
      <c r="C23" s="66">
        <v>100</v>
      </c>
      <c r="D23" s="36" t="str">
        <f>H04_S2_PLANIFICACIÓN_PDOT!O22</f>
        <v>% cumplimiento PDOT/PUGS</v>
      </c>
      <c r="E23" s="36" t="s">
        <v>30</v>
      </c>
      <c r="F23" s="66">
        <f t="shared" si="0"/>
        <v>1</v>
      </c>
      <c r="G23" s="36" t="str">
        <f>IF(D23&lt;&gt;H04_S2_PLANIFICACIÓN_PDOT!O22,"⚠️ CAMBIO DE UNIDAD — Posible MOM-III","✅ Unidad consistente con PDOT")</f>
        <v>✅ Unidad consistente con PDOT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tr">
        <f>H04_S2_PLANIFICACIÓN_PDOT!A23</f>
        <v>PI-L-G-01</v>
      </c>
      <c r="B24" s="39" t="str">
        <f>H04_S2_PLANIFICACIÓN_PDOT!B23</f>
        <v>Señalización vial 0→10,000 m²; 0→8 semáforos; revisiones técnicas 4,000→20,000; educación vial 40 instituciones</v>
      </c>
      <c r="C24" s="67">
        <v>100</v>
      </c>
      <c r="D24" s="39" t="str">
        <f>H04_S2_PLANIFICACIÓN_PDOT!O23</f>
        <v>Revisiones técnicas vehiculares anuales</v>
      </c>
      <c r="E24" s="39" t="s">
        <v>30</v>
      </c>
      <c r="F24" s="67">
        <f t="shared" si="0"/>
        <v>1</v>
      </c>
      <c r="G24" s="39" t="str">
        <f>IF(D24&lt;&gt;H04_S2_PLANIFICACIÓN_PDOT!O23,"⚠️ CAMBIO DE UNIDAD — Posible MOM-III","✅ Unidad consistente con PDOT")</f>
        <v>✅ Unidad consistente con PDOT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tr">
        <f>H04_S2_PLANIFICACIÓN_PDOT!A24</f>
        <v>EP-L-N-01</v>
      </c>
      <c r="B25" s="36" t="str">
        <f>H04_S2_PLANIFICACIÓN_PDOT!B24</f>
        <v>Vivienda de interés social: 50 VIS/VIP hasta 2027; reducción déficit habitacional cualitativo</v>
      </c>
      <c r="C25" s="66">
        <v>100</v>
      </c>
      <c r="D25" s="36" t="str">
        <f>H04_S2_PLANIFICACIÓN_PDOT!O24</f>
        <v>Viviendas de interés social ofertadas</v>
      </c>
      <c r="E25" s="36" t="s">
        <v>30</v>
      </c>
      <c r="F25" s="66">
        <f t="shared" si="0"/>
        <v>1</v>
      </c>
      <c r="G25" s="36" t="str">
        <f>IF(D25&lt;&gt;H04_S2_PLANIFICACIÓN_PDOT!O24,"⚠️ CAMBIO DE UNIDAD — Posible MOM-III","✅ Unidad consistente con PDOT")</f>
        <v>✅ Unidad consistente con PDOT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50" t="str">
        <f>H04_S2_PLANIFICACIÓN_PDOT!A25</f>
        <v>EP-L-X-01</v>
      </c>
      <c r="B26" s="39" t="str">
        <f>H04_S2_PLANIFICACIÓN_PDOT!B25</f>
        <v>Fortalecimiento productivo: beneficiarios artesanos, mipymes, emprendedores, huertos comunitarios y cadenas de valor</v>
      </c>
      <c r="C26" s="67">
        <v>100</v>
      </c>
      <c r="D26" s="39" t="str">
        <f>H04_S2_PLANIFICACIÓN_PDOT!O25</f>
        <v>Beneficiarios programas fortalecimiento productivo</v>
      </c>
      <c r="E26" s="39" t="s">
        <v>30</v>
      </c>
      <c r="F26" s="67">
        <f t="shared" si="0"/>
        <v>1</v>
      </c>
      <c r="G26" s="39" t="str">
        <f>IF(D26&lt;&gt;H04_S2_PLANIFICACIÓN_PDOT!O25,"⚠️ CAMBIO DE UNIDAD — Posible MOM-III","✅ Unidad consistente con PDOT")</f>
        <v>✅ Unidad consistente con PDOT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1" t="s">
        <v>295</v>
      </c>
      <c r="B27" s="36"/>
      <c r="C27" s="127">
        <v>100</v>
      </c>
      <c r="D27" s="95" t="s">
        <v>296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96" t="s">
        <v>297</v>
      </c>
      <c r="B28" s="63"/>
      <c r="C28" s="63">
        <v>20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4"/>
    </row>
  </sheetData>
  <dataValidations count="1">
    <dataValidation type="list" allowBlank="1" showInputMessage="1" showErrorMessage="1" promptTitle="Accesible en SIGAD" prompt="¿El indicador es accesible en el portal SIGAD?" sqref="G7:G26" xr:uid="{0A28F861-8FD2-4AF9-B1AB-0EB70FBF5B31}">
      <formula1>"SÍ,NO"</formula1>
    </dataValidation>
  </dataValidations>
  <hyperlinks>
    <hyperlink ref="B1" location="'H00_ÍNDICE'!A1" display="⬅️ ÍNDICE GENERAL" xr:uid="{50EA1E90-011E-4A3F-8B0B-3EDF43F5F54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6031-8C44-4C06-A759-A604C6FDCF87}">
  <sheetPr>
    <tabColor rgb="FF38A169"/>
  </sheetPr>
  <dimension ref="A1:Z28"/>
  <sheetViews>
    <sheetView workbookViewId="0">
      <pane ySplit="3" topLeftCell="A4" activePane="bottomLeft" state="frozen"/>
      <selection pane="bottomLeft" activeCell="C6" sqref="C6"/>
    </sheetView>
  </sheetViews>
  <sheetFormatPr baseColWidth="10" defaultRowHeight="14.4" x14ac:dyDescent="0.3"/>
  <cols>
    <col min="1" max="1" width="40.77734375" customWidth="1"/>
    <col min="2" max="2" width="44.44140625" customWidth="1"/>
    <col min="3" max="11" width="20.33203125" customWidth="1"/>
  </cols>
  <sheetData>
    <row r="1" spans="1:26" ht="18" customHeight="1" x14ac:dyDescent="0.3">
      <c r="A1" s="314" t="s">
        <v>1511</v>
      </c>
      <c r="B1" s="209" t="s">
        <v>1127</v>
      </c>
      <c r="C1" s="210" t="str">
        <f>"ICPI: "&amp;TEXT(H12_MOTOR_ICPI_CANÓNICO!B28,"0,0")&amp;"%"</f>
        <v>ICPI: 72,9%</v>
      </c>
      <c r="D1" s="211" t="s">
        <v>1137</v>
      </c>
      <c r="E1" s="212" t="str">
        <f ca="1">TEXT(TODAY(),"DD/MM/YYYY")</f>
        <v>05/04/2026</v>
      </c>
    </row>
    <row r="2" spans="1:26" ht="30" customHeight="1" x14ac:dyDescent="0.35">
      <c r="A2" s="1" t="s">
        <v>298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299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 t="s">
        <v>300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2" t="s">
        <v>192</v>
      </c>
      <c r="B6" s="2" t="s">
        <v>233</v>
      </c>
      <c r="C6" s="2" t="s">
        <v>301</v>
      </c>
      <c r="D6" s="2" t="s">
        <v>302</v>
      </c>
      <c r="E6" s="2" t="s">
        <v>303</v>
      </c>
      <c r="F6" s="2" t="s">
        <v>304</v>
      </c>
      <c r="G6" s="2" t="s">
        <v>305</v>
      </c>
      <c r="H6" s="2" t="s">
        <v>306</v>
      </c>
    </row>
    <row r="7" spans="1:26" x14ac:dyDescent="0.3">
      <c r="A7" t="str">
        <f>H04_S2_PLANIFICACIÓN_PDOT!A6</f>
        <v>SC-I-N-01</v>
      </c>
      <c r="B7" t="str">
        <f>H04_S2_PLANIFICACIÓN_PDOT!B6</f>
        <v>Agua potable: cobertura 39.25%→42.38%; calidad 100% INEN 1108; infraestructura BUENA 22.74%→41.64%</v>
      </c>
      <c r="C7" t="s">
        <v>307</v>
      </c>
      <c r="D7" t="s">
        <v>308</v>
      </c>
      <c r="E7" t="s">
        <v>309</v>
      </c>
      <c r="F7" t="s">
        <v>30</v>
      </c>
      <c r="G7" t="s">
        <v>310</v>
      </c>
      <c r="H7" s="10">
        <v>0.5</v>
      </c>
    </row>
    <row r="8" spans="1:26" x14ac:dyDescent="0.3">
      <c r="A8" s="48" t="str">
        <f>H04_S2_PLANIFICACIÓN_PDOT!A7</f>
        <v>SC-L-N-02</v>
      </c>
      <c r="B8" s="34" t="str">
        <f>H04_S2_PLANIFICACIÓN_PDOT!B7</f>
        <v>Gestión del talento humano municipal: desempeño 80%→90%; plan capacitación 90% anual</v>
      </c>
      <c r="C8" s="34" t="s">
        <v>307</v>
      </c>
      <c r="D8" s="34" t="s">
        <v>311</v>
      </c>
      <c r="E8" s="34" t="s">
        <v>312</v>
      </c>
      <c r="F8" s="34" t="s">
        <v>30</v>
      </c>
      <c r="G8" s="34" t="s">
        <v>310</v>
      </c>
      <c r="H8" s="65">
        <v>0.5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9" t="str">
        <f>H04_S2_PLANIFICACIÓN_PDOT!A8</f>
        <v>AH-I-X-01</v>
      </c>
      <c r="B9" s="36" t="str">
        <f>H04_S2_PLANIFICACIÓN_PDOT!B8</f>
        <v>Sostenibilidad financiera: autonomía 43.35%→45.30%; gestión cobros y coactivas</v>
      </c>
      <c r="C9" s="36" t="s">
        <v>313</v>
      </c>
      <c r="D9" s="36" t="s">
        <v>314</v>
      </c>
      <c r="E9" s="36" t="s">
        <v>315</v>
      </c>
      <c r="F9" s="36" t="s">
        <v>30</v>
      </c>
      <c r="G9" s="36" t="s">
        <v>310</v>
      </c>
      <c r="H9" s="66">
        <v>1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 t="str">
        <f>H04_S2_PLANIFICACIÓN_PDOT!A9</f>
        <v>AH-I-X-02</v>
      </c>
      <c r="B10" s="39" t="str">
        <f>H04_S2_PLANIFICACIÓN_PDOT!B9</f>
        <v>Vialidad cantonal: mantenimiento 43.8 km vías CUP + 57.22 km rurales; 23.77 km tratamiento medio</v>
      </c>
      <c r="C10" s="39" t="s">
        <v>307</v>
      </c>
      <c r="D10" s="39" t="s">
        <v>316</v>
      </c>
      <c r="E10" s="39" t="s">
        <v>317</v>
      </c>
      <c r="F10" s="39" t="s">
        <v>30</v>
      </c>
      <c r="G10" s="39" t="s">
        <v>310</v>
      </c>
      <c r="H10" s="67">
        <v>0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 t="str">
        <f>H04_S2_PLANIFICACIÓN_PDOT!A10</f>
        <v>AH-I-X-03</v>
      </c>
      <c r="B11" s="36" t="str">
        <f>H04_S2_PLANIFICACIÓN_PDOT!B10</f>
        <v>Salud integral municipal: población atendida 57,401→84,041 personas (+10% anual)</v>
      </c>
      <c r="C11" s="36" t="s">
        <v>318</v>
      </c>
      <c r="D11" s="36" t="s">
        <v>319</v>
      </c>
      <c r="E11" s="36" t="s">
        <v>320</v>
      </c>
      <c r="F11" s="36" t="s">
        <v>30</v>
      </c>
      <c r="G11" s="36" t="s">
        <v>310</v>
      </c>
      <c r="H11" s="66">
        <v>1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50" t="str">
        <f>H04_S2_PLANIFICACIÓN_PDOT!A11</f>
        <v>AH-I-N-01</v>
      </c>
      <c r="B12" s="39" t="str">
        <f>H04_S2_PLANIFICACIÓN_PDOT!B11</f>
        <v>Gestión integral desechos sólidos: 20,118→23,086 Tn/año; relleno sanitario; capacidad disposición 0%→20%</v>
      </c>
      <c r="C12" s="39" t="s">
        <v>321</v>
      </c>
      <c r="D12" s="39" t="s">
        <v>322</v>
      </c>
      <c r="E12" s="39" t="s">
        <v>323</v>
      </c>
      <c r="F12" s="39" t="s">
        <v>30</v>
      </c>
      <c r="G12" s="39" t="s">
        <v>310</v>
      </c>
      <c r="H12" s="67">
        <v>0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 t="str">
        <f>H04_S2_PLANIFICACIÓN_PDOT!A12</f>
        <v>SC-L-G-01</v>
      </c>
      <c r="B13" s="36" t="str">
        <f>H04_S2_PLANIFICACIÓN_PDOT!B12</f>
        <v>Alcantarillado sanitario: cobertura 19.77%→24.32%; PTAR 0%→75%; estaciones bombeo 36%→72%</v>
      </c>
      <c r="C13" s="36" t="s">
        <v>321</v>
      </c>
      <c r="D13" s="36" t="s">
        <v>324</v>
      </c>
      <c r="E13" s="36" t="s">
        <v>325</v>
      </c>
      <c r="F13" s="36" t="s">
        <v>30</v>
      </c>
      <c r="G13" s="36" t="s">
        <v>310</v>
      </c>
      <c r="H13" s="66">
        <v>0.5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tr">
        <f>H04_S2_PLANIFICACIÓN_PDOT!A13</f>
        <v>AH-I-X-04</v>
      </c>
      <c r="B14" s="39" t="str">
        <f>H04_S2_PLANIFICACIÓN_PDOT!B13</f>
        <v>Modernización recursos administrativos: parque automotor, tecnología e infraestructura municipal</v>
      </c>
      <c r="C14" s="39" t="s">
        <v>307</v>
      </c>
      <c r="D14" s="39" t="s">
        <v>326</v>
      </c>
      <c r="E14" s="39" t="s">
        <v>327</v>
      </c>
      <c r="F14" s="39" t="s">
        <v>30</v>
      </c>
      <c r="G14" s="39" t="s">
        <v>310</v>
      </c>
      <c r="H14" s="67">
        <v>1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tr">
        <f>H04_S2_PLANIFICACIÓN_PDOT!A14</f>
        <v>PI-I-G-01</v>
      </c>
      <c r="B15" s="36" t="str">
        <f>H04_S2_PLANIFICACIÓN_PDOT!B14</f>
        <v>Equipamientos públicos: terminal terrestre, mercado, estación bomberil, centro salud tipo C, mantenimiento espacios recreativos</v>
      </c>
      <c r="C15" s="36" t="s">
        <v>313</v>
      </c>
      <c r="D15" s="36" t="s">
        <v>328</v>
      </c>
      <c r="E15" s="36" t="s">
        <v>329</v>
      </c>
      <c r="F15" s="36" t="s">
        <v>30</v>
      </c>
      <c r="G15" s="36" t="s">
        <v>310</v>
      </c>
      <c r="H15" s="66">
        <v>1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tr">
        <f>H04_S2_PLANIFICACIÓN_PDOT!A15</f>
        <v>AH-C-X-01</v>
      </c>
      <c r="B16" s="39" t="str">
        <f>H04_S2_PLANIFICACIÓN_PDOT!B15</f>
        <v>Protección derechos sociales: atenciones grupos prioritarios 943→1,649 (+15%/año); CDI; adultos mayores; violencia de género</v>
      </c>
      <c r="C16" s="39" t="s">
        <v>313</v>
      </c>
      <c r="D16" s="39" t="s">
        <v>330</v>
      </c>
      <c r="E16" s="39" t="s">
        <v>331</v>
      </c>
      <c r="F16" s="39" t="s">
        <v>30</v>
      </c>
      <c r="G16" s="39" t="s">
        <v>310</v>
      </c>
      <c r="H16" s="67">
        <v>1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tr">
        <f>H04_S2_PLANIFICACIÓN_PDOT!A16</f>
        <v>AH-C-X-02</v>
      </c>
      <c r="B17" s="36" t="str">
        <f>H04_S2_PLANIFICACIÓN_PDOT!B16</f>
        <v>Sistema información territorial: catastro urbano-rural 19.52%→80%; 12 procesos sistematizados; 37 trámites en línea</v>
      </c>
      <c r="C17" s="36" t="s">
        <v>313</v>
      </c>
      <c r="D17" s="36" t="s">
        <v>332</v>
      </c>
      <c r="E17" s="36" t="s">
        <v>333</v>
      </c>
      <c r="F17" s="36" t="s">
        <v>30</v>
      </c>
      <c r="G17" s="36" t="s">
        <v>310</v>
      </c>
      <c r="H17" s="66">
        <v>1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tr">
        <f>H04_S2_PLANIFICACIÓN_PDOT!A17</f>
        <v>SC-I-N-03</v>
      </c>
      <c r="B18" s="39" t="str">
        <f>H04_S2_PLANIFICACIÓN_PDOT!B17</f>
        <v>Participación ciudadana: 50→100 Unidades Territoriales participativas; 2→4 instancias efectivas (COPFP Art.115)</v>
      </c>
      <c r="C18" s="39" t="s">
        <v>321</v>
      </c>
      <c r="D18" s="39" t="s">
        <v>334</v>
      </c>
      <c r="E18" s="39"/>
      <c r="F18" s="39" t="s">
        <v>30</v>
      </c>
      <c r="G18" s="39" t="s">
        <v>335</v>
      </c>
      <c r="H18" s="67">
        <v>0.5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tr">
        <f>H04_S2_PLANIFICACIÓN_PDOT!A18</f>
        <v>FA-I-X-01</v>
      </c>
      <c r="B19" s="36" t="str">
        <f>H04_S2_PLANIFICACIÓN_PDOT!B18</f>
        <v>Gestión del riesgo: reducir 10% infraestructura susceptible (3,655→2,398 unidades); alerta temprana climática</v>
      </c>
      <c r="C19" s="36" t="s">
        <v>307</v>
      </c>
      <c r="D19" s="36" t="s">
        <v>336</v>
      </c>
      <c r="E19" s="36" t="s">
        <v>337</v>
      </c>
      <c r="F19" s="36" t="s">
        <v>30</v>
      </c>
      <c r="G19" s="36" t="s">
        <v>310</v>
      </c>
      <c r="H19" s="66">
        <v>1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tr">
        <f>H04_S2_PLANIFICACIÓN_PDOT!A19</f>
        <v>FA-C-X-01</v>
      </c>
      <c r="B20" s="39" t="str">
        <f>H04_S2_PLANIFICACIÓN_PDOT!B19</f>
        <v>Áreas verdes y parques: IVU 10.94→17.32 m²/hab; parques inter-barriales; recuperación manglar perfil costero</v>
      </c>
      <c r="C20" s="39" t="s">
        <v>313</v>
      </c>
      <c r="D20" s="39" t="s">
        <v>338</v>
      </c>
      <c r="E20" s="39" t="s">
        <v>339</v>
      </c>
      <c r="F20" s="39" t="s">
        <v>30</v>
      </c>
      <c r="G20" s="39" t="s">
        <v>310</v>
      </c>
      <c r="H20" s="67">
        <v>1</v>
      </c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tr">
        <f>H04_S2_PLANIFICACIÓN_PDOT!A20</f>
        <v>FA-I-X-02</v>
      </c>
      <c r="B21" s="36" t="str">
        <f>H04_S2_PLANIFICACIÓN_PDOT!B20</f>
        <v>Índice equipamiento urbano CUP 9.96→10.73 m²/hab; recolección desechos 91.95%→97.95%; 77.83→81.07 km/día barrido</v>
      </c>
      <c r="C21" s="36" t="s">
        <v>321</v>
      </c>
      <c r="D21" s="36" t="s">
        <v>340</v>
      </c>
      <c r="E21" s="36"/>
      <c r="F21" s="36" t="s">
        <v>30</v>
      </c>
      <c r="G21" s="36" t="s">
        <v>335</v>
      </c>
      <c r="H21" s="66">
        <v>1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H04_S2_PLANIFICACIÓN_PDOT!A21</f>
        <v>FA-L-N-01</v>
      </c>
      <c r="B22" s="39" t="str">
        <f>H04_S2_PLANIFICACIÓN_PDOT!B21</f>
        <v>Inventario patrimonial 100% al 2026; 8,000→10,000 participantes eventos culturales; Museo del Sombrero</v>
      </c>
      <c r="C22" s="39" t="s">
        <v>318</v>
      </c>
      <c r="D22" s="39" t="s">
        <v>341</v>
      </c>
      <c r="E22" s="39" t="s">
        <v>342</v>
      </c>
      <c r="F22" s="39" t="s">
        <v>30</v>
      </c>
      <c r="G22" s="39" t="s">
        <v>310</v>
      </c>
      <c r="H22" s="67">
        <v>0.5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tr">
        <f>H04_S2_PLANIFICACIÓN_PDOT!A22</f>
        <v>PI-I-G-02</v>
      </c>
      <c r="B23" s="36" t="str">
        <f>H04_S2_PLANIFICACIÓN_PDOT!B22</f>
        <v>Cumplimiento PDOT/PUGS 0%→80%; SIL 19.52%→80%; 37 trámites digitales implementados</v>
      </c>
      <c r="C23" s="36" t="s">
        <v>307</v>
      </c>
      <c r="D23" s="36" t="s">
        <v>343</v>
      </c>
      <c r="E23" s="36" t="s">
        <v>344</v>
      </c>
      <c r="F23" s="36" t="s">
        <v>30</v>
      </c>
      <c r="G23" s="36" t="s">
        <v>310</v>
      </c>
      <c r="H23" s="66">
        <v>1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tr">
        <f>H04_S2_PLANIFICACIÓN_PDOT!A23</f>
        <v>PI-L-G-01</v>
      </c>
      <c r="B24" s="39" t="str">
        <f>H04_S2_PLANIFICACIÓN_PDOT!B23</f>
        <v>Señalización vial 0→10,000 m²; 0→8 semáforos; revisiones técnicas 4,000→20,000; educación vial 40 instituciones</v>
      </c>
      <c r="C24" s="39" t="s">
        <v>321</v>
      </c>
      <c r="D24" s="39" t="s">
        <v>345</v>
      </c>
      <c r="E24" s="39" t="s">
        <v>346</v>
      </c>
      <c r="F24" s="39" t="s">
        <v>30</v>
      </c>
      <c r="G24" s="39" t="s">
        <v>310</v>
      </c>
      <c r="H24" s="67">
        <v>0.5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tr">
        <f>H04_S2_PLANIFICACIÓN_PDOT!A24</f>
        <v>EP-L-N-01</v>
      </c>
      <c r="B25" s="36" t="str">
        <f>H04_S2_PLANIFICACIÓN_PDOT!B24</f>
        <v>Vivienda de interés social: 50 VIS/VIP hasta 2027; reducción déficit habitacional cualitativo</v>
      </c>
      <c r="C25" s="36" t="s">
        <v>318</v>
      </c>
      <c r="D25" s="36" t="s">
        <v>347</v>
      </c>
      <c r="E25" s="36" t="s">
        <v>348</v>
      </c>
      <c r="F25" s="36" t="s">
        <v>30</v>
      </c>
      <c r="G25" s="36" t="s">
        <v>310</v>
      </c>
      <c r="H25" s="66">
        <v>0.5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50" t="str">
        <f>H04_S2_PLANIFICACIÓN_PDOT!A25</f>
        <v>EP-L-X-01</v>
      </c>
      <c r="B26" s="39" t="str">
        <f>H04_S2_PLANIFICACIÓN_PDOT!B25</f>
        <v>Fortalecimiento productivo: beneficiarios artesanos, mipymes, emprendedores, huertos comunitarios y cadenas de valor</v>
      </c>
      <c r="C26" s="39" t="s">
        <v>307</v>
      </c>
      <c r="D26" s="39" t="s">
        <v>349</v>
      </c>
      <c r="E26" s="39" t="s">
        <v>350</v>
      </c>
      <c r="F26" s="39" t="s">
        <v>30</v>
      </c>
      <c r="G26" s="39" t="s">
        <v>310</v>
      </c>
      <c r="H26" s="67">
        <v>0.5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9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96" t="s">
        <v>351</v>
      </c>
      <c r="B28" s="90">
        <f>AVERAGE(H7:H26)*100</f>
        <v>70</v>
      </c>
      <c r="C28" s="97" t="s">
        <v>352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4"/>
    </row>
  </sheetData>
  <dataValidations count="1">
    <dataValidation type="list" allowBlank="1" showInputMessage="1" showErrorMessage="1" promptTitle="Accesible en LOTAIP" prompt="¿El documento está publicado en el portal LOTAIP?" sqref="G7:G26" xr:uid="{B57036AD-E524-42EA-9A17-081703B305B0}">
      <formula1>"SÍ,NO"</formula1>
    </dataValidation>
  </dataValidations>
  <hyperlinks>
    <hyperlink ref="B1" location="'H00_ÍNDICE'!A1" display="⬅️ ÍNDICE GENERAL" xr:uid="{1D6FB193-CB61-4F64-A989-2359F3B70DA9}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4B09-2F93-44D4-9261-01F22B2A5B5F}">
  <sheetPr>
    <tabColor rgb="FF38A169"/>
  </sheetPr>
  <dimension ref="A1:Z26"/>
  <sheetViews>
    <sheetView workbookViewId="0">
      <pane ySplit="3" topLeftCell="A4" activePane="bottomLeft" state="frozen"/>
      <selection pane="bottomLeft" activeCell="B1" sqref="B1"/>
    </sheetView>
  </sheetViews>
  <sheetFormatPr baseColWidth="10" defaultRowHeight="14.4" x14ac:dyDescent="0.3"/>
  <cols>
    <col min="1" max="1" width="40.77734375" customWidth="1"/>
    <col min="2" max="2" width="44.44140625" customWidth="1"/>
    <col min="3" max="11" width="20.33203125" customWidth="1"/>
  </cols>
  <sheetData>
    <row r="1" spans="1:26" ht="18" customHeight="1" x14ac:dyDescent="0.3">
      <c r="A1" s="315" t="s">
        <v>1512</v>
      </c>
      <c r="B1" s="209" t="s">
        <v>1127</v>
      </c>
      <c r="C1" s="210" t="s">
        <v>1513</v>
      </c>
      <c r="D1" s="211" t="s">
        <v>1138</v>
      </c>
      <c r="E1" s="316">
        <v>46146</v>
      </c>
    </row>
    <row r="2" spans="1:26" ht="30" customHeight="1" x14ac:dyDescent="0.35">
      <c r="A2" s="1" t="s">
        <v>353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1514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 t="s">
        <v>1515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317" t="s">
        <v>192</v>
      </c>
      <c r="B6" s="317" t="s">
        <v>233</v>
      </c>
      <c r="C6" s="317" t="s">
        <v>354</v>
      </c>
      <c r="D6" s="317" t="s">
        <v>355</v>
      </c>
      <c r="E6" s="317" t="s">
        <v>356</v>
      </c>
      <c r="F6" s="317" t="s">
        <v>357</v>
      </c>
      <c r="G6" s="317" t="s">
        <v>358</v>
      </c>
      <c r="H6" s="317" t="s">
        <v>359</v>
      </c>
    </row>
    <row r="7" spans="1:26" x14ac:dyDescent="0.3">
      <c r="A7" t="s">
        <v>1351</v>
      </c>
      <c r="B7" t="s">
        <v>1219</v>
      </c>
      <c r="C7" s="318" t="s">
        <v>310</v>
      </c>
      <c r="D7" s="7" t="s">
        <v>1516</v>
      </c>
      <c r="E7" t="s">
        <v>1517</v>
      </c>
      <c r="F7" t="s">
        <v>1518</v>
      </c>
      <c r="G7" s="10">
        <v>1</v>
      </c>
      <c r="H7" t="s">
        <v>1519</v>
      </c>
    </row>
    <row r="8" spans="1:26" x14ac:dyDescent="0.3">
      <c r="A8" s="48" t="s">
        <v>1352</v>
      </c>
      <c r="B8" s="34" t="s">
        <v>1223</v>
      </c>
      <c r="C8" s="319" t="s">
        <v>1520</v>
      </c>
      <c r="D8" s="98" t="s">
        <v>1516</v>
      </c>
      <c r="E8" s="34" t="s">
        <v>1521</v>
      </c>
      <c r="F8" s="34" t="s">
        <v>1522</v>
      </c>
      <c r="G8" s="65">
        <v>0.5</v>
      </c>
      <c r="H8" s="34" t="s">
        <v>1523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9" t="s">
        <v>1353</v>
      </c>
      <c r="B9" s="36" t="s">
        <v>1226</v>
      </c>
      <c r="C9" s="320" t="s">
        <v>310</v>
      </c>
      <c r="D9" s="58" t="s">
        <v>1516</v>
      </c>
      <c r="E9" s="36" t="s">
        <v>1524</v>
      </c>
      <c r="F9" s="36" t="s">
        <v>1525</v>
      </c>
      <c r="G9" s="66">
        <v>1</v>
      </c>
      <c r="H9" s="36" t="s">
        <v>1526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 t="s">
        <v>1354</v>
      </c>
      <c r="B10" s="39" t="s">
        <v>1229</v>
      </c>
      <c r="C10" s="321" t="s">
        <v>310</v>
      </c>
      <c r="D10" s="59" t="s">
        <v>1516</v>
      </c>
      <c r="E10" s="39" t="s">
        <v>1527</v>
      </c>
      <c r="F10" s="39" t="s">
        <v>1528</v>
      </c>
      <c r="G10" s="67">
        <v>0.5</v>
      </c>
      <c r="H10" s="39" t="s">
        <v>1529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 t="s">
        <v>1355</v>
      </c>
      <c r="B11" s="36" t="s">
        <v>1232</v>
      </c>
      <c r="C11" s="320" t="s">
        <v>310</v>
      </c>
      <c r="D11" s="58" t="s">
        <v>1516</v>
      </c>
      <c r="E11" s="36" t="s">
        <v>1530</v>
      </c>
      <c r="F11" s="36" t="s">
        <v>1531</v>
      </c>
      <c r="G11" s="66">
        <v>1</v>
      </c>
      <c r="H11" s="36" t="s">
        <v>1526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50" t="s">
        <v>1356</v>
      </c>
      <c r="B12" s="39" t="s">
        <v>1236</v>
      </c>
      <c r="C12" s="321" t="s">
        <v>310</v>
      </c>
      <c r="D12" s="59" t="s">
        <v>1516</v>
      </c>
      <c r="E12" s="39" t="s">
        <v>1532</v>
      </c>
      <c r="F12" s="39" t="s">
        <v>1533</v>
      </c>
      <c r="G12" s="67">
        <v>1</v>
      </c>
      <c r="H12" s="39" t="s">
        <v>1534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 t="s">
        <v>1357</v>
      </c>
      <c r="B13" s="36" t="s">
        <v>1240</v>
      </c>
      <c r="C13" s="320" t="s">
        <v>310</v>
      </c>
      <c r="D13" s="58" t="s">
        <v>1516</v>
      </c>
      <c r="E13" s="36" t="s">
        <v>1535</v>
      </c>
      <c r="F13" s="36" t="s">
        <v>1536</v>
      </c>
      <c r="G13" s="66">
        <v>1</v>
      </c>
      <c r="H13" s="36" t="s">
        <v>1523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">
        <v>1358</v>
      </c>
      <c r="B14" s="39" t="s">
        <v>1243</v>
      </c>
      <c r="C14" s="322" t="s">
        <v>1520</v>
      </c>
      <c r="D14" s="59" t="s">
        <v>1516</v>
      </c>
      <c r="E14" s="39" t="s">
        <v>1537</v>
      </c>
      <c r="F14" s="39" t="s">
        <v>1538</v>
      </c>
      <c r="G14" s="67">
        <v>0.5</v>
      </c>
      <c r="H14" s="39" t="s">
        <v>1526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">
        <v>1359</v>
      </c>
      <c r="B15" s="36" t="s">
        <v>1246</v>
      </c>
      <c r="C15" s="320" t="s">
        <v>310</v>
      </c>
      <c r="D15" s="58" t="s">
        <v>1516</v>
      </c>
      <c r="E15" s="36" t="s">
        <v>1539</v>
      </c>
      <c r="F15" s="36" t="s">
        <v>1540</v>
      </c>
      <c r="G15" s="66">
        <v>1</v>
      </c>
      <c r="H15" s="36" t="s">
        <v>1523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">
        <v>1360</v>
      </c>
      <c r="B16" s="39" t="s">
        <v>1250</v>
      </c>
      <c r="C16" s="321" t="s">
        <v>310</v>
      </c>
      <c r="D16" s="59" t="s">
        <v>1516</v>
      </c>
      <c r="E16" s="39" t="s">
        <v>1541</v>
      </c>
      <c r="F16" s="39" t="s">
        <v>1542</v>
      </c>
      <c r="G16" s="67">
        <v>1</v>
      </c>
      <c r="H16" s="39" t="s">
        <v>1526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">
        <v>1361</v>
      </c>
      <c r="B17" s="36" t="s">
        <v>1254</v>
      </c>
      <c r="C17" s="323" t="s">
        <v>1520</v>
      </c>
      <c r="D17" s="58" t="s">
        <v>1516</v>
      </c>
      <c r="E17" s="36" t="s">
        <v>1543</v>
      </c>
      <c r="F17" s="36" t="s">
        <v>1544</v>
      </c>
      <c r="G17" s="66">
        <v>0.5</v>
      </c>
      <c r="H17" s="36" t="s">
        <v>1526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">
        <v>1362</v>
      </c>
      <c r="B18" s="39" t="s">
        <v>1258</v>
      </c>
      <c r="C18" s="321" t="s">
        <v>310</v>
      </c>
      <c r="D18" s="59" t="s">
        <v>1516</v>
      </c>
      <c r="E18" s="39" t="s">
        <v>1545</v>
      </c>
      <c r="F18" s="39" t="s">
        <v>1546</v>
      </c>
      <c r="G18" s="67">
        <v>1</v>
      </c>
      <c r="H18" s="39" t="s">
        <v>1519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">
        <v>1363</v>
      </c>
      <c r="B19" s="36" t="s">
        <v>1261</v>
      </c>
      <c r="C19" s="320" t="s">
        <v>310</v>
      </c>
      <c r="D19" s="58" t="s">
        <v>1516</v>
      </c>
      <c r="E19" s="36" t="s">
        <v>1547</v>
      </c>
      <c r="F19" s="36" t="s">
        <v>1548</v>
      </c>
      <c r="G19" s="66">
        <v>0.5</v>
      </c>
      <c r="H19" s="36" t="s">
        <v>1549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">
        <v>1364</v>
      </c>
      <c r="B20" s="39" t="s">
        <v>1265</v>
      </c>
      <c r="C20" s="321" t="s">
        <v>310</v>
      </c>
      <c r="D20" s="59" t="s">
        <v>1516</v>
      </c>
      <c r="E20" s="39" t="s">
        <v>1550</v>
      </c>
      <c r="F20" s="39" t="s">
        <v>1551</v>
      </c>
      <c r="G20" s="67">
        <v>1</v>
      </c>
      <c r="H20" s="39" t="s">
        <v>1534</v>
      </c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">
        <v>1365</v>
      </c>
      <c r="B21" s="36" t="s">
        <v>1269</v>
      </c>
      <c r="C21" s="320" t="s">
        <v>310</v>
      </c>
      <c r="D21" s="58" t="s">
        <v>1516</v>
      </c>
      <c r="E21" s="36" t="s">
        <v>1552</v>
      </c>
      <c r="F21" s="36" t="s">
        <v>1553</v>
      </c>
      <c r="G21" s="66">
        <v>1</v>
      </c>
      <c r="H21" s="36" t="s">
        <v>1523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">
        <v>1366</v>
      </c>
      <c r="B22" s="39" t="s">
        <v>1272</v>
      </c>
      <c r="C22" s="321" t="s">
        <v>310</v>
      </c>
      <c r="D22" s="59" t="s">
        <v>1516</v>
      </c>
      <c r="E22" s="39" t="s">
        <v>1554</v>
      </c>
      <c r="F22" s="39" t="s">
        <v>1555</v>
      </c>
      <c r="G22" s="67">
        <v>1</v>
      </c>
      <c r="H22" s="39" t="s">
        <v>1519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">
        <v>1367</v>
      </c>
      <c r="B23" s="36" t="s">
        <v>1276</v>
      </c>
      <c r="C23" s="320" t="s">
        <v>310</v>
      </c>
      <c r="D23" s="58" t="s">
        <v>1516</v>
      </c>
      <c r="E23" s="36" t="s">
        <v>1556</v>
      </c>
      <c r="F23" s="36" t="s">
        <v>1557</v>
      </c>
      <c r="G23" s="66">
        <v>1</v>
      </c>
      <c r="H23" s="36" t="s">
        <v>1523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">
        <v>1368</v>
      </c>
      <c r="B24" s="39" t="s">
        <v>1279</v>
      </c>
      <c r="C24" s="322" t="s">
        <v>1520</v>
      </c>
      <c r="D24" s="59" t="s">
        <v>1516</v>
      </c>
      <c r="E24" s="39" t="s">
        <v>1558</v>
      </c>
      <c r="F24" s="39" t="s">
        <v>1559</v>
      </c>
      <c r="G24" s="67">
        <v>0.5</v>
      </c>
      <c r="H24" s="39" t="s">
        <v>1519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">
        <v>1369</v>
      </c>
      <c r="B25" s="36" t="s">
        <v>1283</v>
      </c>
      <c r="C25" s="323" t="s">
        <v>1520</v>
      </c>
      <c r="D25" s="58" t="s">
        <v>1516</v>
      </c>
      <c r="E25" s="36" t="s">
        <v>1560</v>
      </c>
      <c r="F25" s="36" t="s">
        <v>1561</v>
      </c>
      <c r="G25" s="66">
        <v>0.5</v>
      </c>
      <c r="H25" s="36" t="s">
        <v>1519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62" t="s">
        <v>1370</v>
      </c>
      <c r="B26" s="63" t="s">
        <v>1288</v>
      </c>
      <c r="C26" s="324" t="s">
        <v>310</v>
      </c>
      <c r="D26" s="99" t="s">
        <v>1516</v>
      </c>
      <c r="E26" s="63" t="s">
        <v>1562</v>
      </c>
      <c r="F26" s="63" t="s">
        <v>1563</v>
      </c>
      <c r="G26" s="90">
        <v>1</v>
      </c>
      <c r="H26" s="63" t="s">
        <v>1523</v>
      </c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4"/>
    </row>
  </sheetData>
  <dataValidations count="1">
    <dataValidation type="list" allowBlank="1" showInputMessage="1" showErrorMessage="1" promptTitle="Mencionada en Rendición" prompt="¿Esta meta fue mencionada en la rendición de cuentas CPCCS?" sqref="F7:F26" xr:uid="{D9712A56-A1AC-487F-B1AF-99A0A5C07463}">
      <formula1>"SÍ,NO"</formula1>
    </dataValidation>
  </dataValidations>
  <hyperlinks>
    <hyperlink ref="B1" location="'H00_ÍNDICE'!A1" display="⬅️ ÍNDICE GENERAL" xr:uid="{87A385BA-F535-4BAB-842B-8153D5D39FDD}"/>
  </hyperlink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9BCA-D5C7-449F-8043-0EEA19926C79}">
  <sheetPr>
    <tabColor rgb="FF38A169"/>
  </sheetPr>
  <dimension ref="A1:Z28"/>
  <sheetViews>
    <sheetView workbookViewId="0">
      <pane ySplit="3" topLeftCell="A4" activePane="bottomLeft" state="frozen"/>
      <selection pane="bottomLeft" activeCell="B1" sqref="B1"/>
    </sheetView>
  </sheetViews>
  <sheetFormatPr baseColWidth="10" defaultRowHeight="14.4" x14ac:dyDescent="0.3"/>
  <cols>
    <col min="1" max="1" width="40.77734375" customWidth="1"/>
    <col min="2" max="2" width="44.44140625" customWidth="1"/>
    <col min="3" max="11" width="20.33203125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1139</v>
      </c>
      <c r="E1" s="212" t="str">
        <f ca="1">TEXT(TODAY(),"DD/MM/YYYY")</f>
        <v>05/04/2026</v>
      </c>
    </row>
    <row r="2" spans="1:26" ht="30" customHeight="1" x14ac:dyDescent="0.35">
      <c r="A2" s="1" t="s">
        <v>360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361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 t="s">
        <v>362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4" t="s">
        <v>363</v>
      </c>
    </row>
    <row r="7" spans="1:26" x14ac:dyDescent="0.3">
      <c r="A7" s="2" t="s">
        <v>364</v>
      </c>
      <c r="B7" s="2" t="s">
        <v>365</v>
      </c>
      <c r="C7" s="2" t="s">
        <v>366</v>
      </c>
      <c r="D7" s="2" t="s">
        <v>367</v>
      </c>
      <c r="E7" s="2" t="s">
        <v>368</v>
      </c>
    </row>
    <row r="8" spans="1:26" x14ac:dyDescent="0.3">
      <c r="A8" s="48" t="s">
        <v>369</v>
      </c>
      <c r="B8" s="34" t="s">
        <v>370</v>
      </c>
      <c r="C8" s="34">
        <f>COUNTIF(H04_S2_PLANIFICACIÓN_PDOT!I6:I25,"Gobernanza")</f>
        <v>7</v>
      </c>
      <c r="D8" s="101" cm="1">
        <f t="array" ref="D8">IFERROR(SUMPRODUCT((H04_S2_PLANIFICACIÓN_PDOT!I6:I25="Gobernanza")*H12_MOTOR_ICPI_CANÓNICO!H6:H25)/SUMPRODUCT((H04_S2_PLANIFICACIÓN_PDOT!I6:I25="Gobernanza")*H12_MOTOR_ICPI_CANÓNICO!I6:I25)*100,0)</f>
        <v>75.735167022581891</v>
      </c>
      <c r="E8" s="102" t="str">
        <f>IF(D8&gt;=90,"🔵 Excelencia en Gobernanza",IF(D8&gt;=70,"🟢 Gestión por Mandato",IF(D8&gt;=40,"🟡 Transición Crítica",IF(D8&gt;=20,"🟠 Gestión por Ocurrencia","🔴 Ruptura Sistémica"))))</f>
        <v>🟢 Gestión por Mandato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9" t="s">
        <v>371</v>
      </c>
      <c r="B9" s="36" t="s">
        <v>372</v>
      </c>
      <c r="C9" s="36">
        <f>COUNTIF(H04_S2_PLANIFICACIÓN_PDOT!I6:I25,"Infraestructura")</f>
        <v>10</v>
      </c>
      <c r="D9" s="103" cm="1">
        <f t="array" ref="D9">IFERROR(SUMPRODUCT((H04_S2_PLANIFICACIÓN_PDOT!I6:I25="Infraestructura")*H12_MOTOR_ICPI_CANÓNICO!H6:H25)/SUMPRODUCT((H04_S2_PLANIFICACIÓN_PDOT!I6:I25="Infraestructura")*H12_MOTOR_ICPI_CANÓNICO!I6:I25)*100,0)</f>
        <v>71.274658627993574</v>
      </c>
      <c r="E9" s="37" t="str">
        <f>IF(D9&gt;=90,"🔵 Excelencia en Gobernanza",IF(D9&gt;=70,"🟢 Gestión por Mandato",IF(D9&gt;=40,"🟡 Transición Crítica",IF(D9&gt;=20,"🟠 Gestión por Ocurrencia","🔴 Ruptura Sistémica"))))</f>
        <v>🟢 Gestión por Mandato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 t="s">
        <v>373</v>
      </c>
      <c r="B10" s="39" t="s">
        <v>374</v>
      </c>
      <c r="C10" s="39">
        <f>COUNTIF(H04_S2_PLANIFICACIÓN_PDOT!I6:I25,"Inclusion")</f>
        <v>3</v>
      </c>
      <c r="D10" s="104" cm="1">
        <f t="array" ref="D10">IFERROR(SUMPRODUCT((H04_S2_PLANIFICACIÓN_PDOT!I6:I25="Inclusion")*H12_MOTOR_ICPI_CANÓNICO!H6:H25)/SUMPRODUCT((H04_S2_PLANIFICACIÓN_PDOT!I6:I25="Inclusion")*H12_MOTOR_ICPI_CANÓNICO!I6:I25)*100,0)</f>
        <v>63.510333371762016</v>
      </c>
      <c r="E10" s="105" t="str">
        <f>IF(D10&gt;=90,"🔵 Excelencia en Gobernanza",IF(D10&gt;=70,"🟢 Gestión por Mandato",IF(D10&gt;=40,"🟡 Transición Crítica",IF(D10&gt;=20,"🟠 Gestión por Ocurrencia","🔴 Ruptura Sistémica"))))</f>
        <v>🟡 Transición Crítica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50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1" t="s">
        <v>375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42" t="s">
        <v>376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">
        <v>377</v>
      </c>
      <c r="B15" s="36">
        <f>COUNTIF(H04_S2_PLANIFICACIÓN_PDOT!J6:J25,"*5*")</f>
        <v>2</v>
      </c>
      <c r="C15" s="37" t="s">
        <v>378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">
        <v>379</v>
      </c>
      <c r="B16" s="39">
        <f>COUNTIF(H04_S2_PLANIFICACIÓN_PDOT!J6:J25,"*13*")</f>
        <v>3</v>
      </c>
      <c r="C16" s="105" t="s">
        <v>380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45" t="s">
        <v>192</v>
      </c>
      <c r="B18" s="106" t="s">
        <v>381</v>
      </c>
      <c r="C18" s="106" t="s">
        <v>382</v>
      </c>
      <c r="D18" s="106" t="s">
        <v>383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">
        <v>175</v>
      </c>
      <c r="B19" s="36" t="s">
        <v>384</v>
      </c>
      <c r="C19" s="36" t="s">
        <v>385</v>
      </c>
      <c r="D19" s="36" t="s">
        <v>386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">
        <v>167</v>
      </c>
      <c r="B20" s="39" t="s">
        <v>387</v>
      </c>
      <c r="C20" s="39" t="s">
        <v>388</v>
      </c>
      <c r="D20" s="39" t="s">
        <v>389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">
        <v>224</v>
      </c>
      <c r="B21" s="36" t="s">
        <v>390</v>
      </c>
      <c r="C21" s="36" t="s">
        <v>391</v>
      </c>
      <c r="D21" s="36" t="s">
        <v>392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">
        <v>173</v>
      </c>
      <c r="B22" s="39" t="s">
        <v>393</v>
      </c>
      <c r="C22" s="39" t="s">
        <v>394</v>
      </c>
      <c r="D22" s="39" t="s">
        <v>389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">
        <v>171</v>
      </c>
      <c r="B23" s="36" t="s">
        <v>395</v>
      </c>
      <c r="C23" s="36" t="s">
        <v>391</v>
      </c>
      <c r="D23" s="36" t="s">
        <v>389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1" t="s">
        <v>396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42" t="s">
        <v>397</v>
      </c>
      <c r="B26" s="39" t="str">
        <f>"ICPI Gobernanza: "&amp;TEXT(D8,"0.0")&amp;"% — Certifica base institucional elegible para financiamiento CAF bajo marco Gobernanza Anticipatoria ODS 16-17."</f>
        <v>ICPI Gobernanza: 76% — Certifica base institucional elegible para financiamiento CAF bajo marco Gobernanza Anticipatoria ODS 16-17.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1" t="s">
        <v>398</v>
      </c>
      <c r="B27" s="36" t="str">
        <f>"ICPI Inclusión: "&amp;TEXT(D10,"0.0")&amp;"% — Evidencia que inversión en grupos vulnerables requiere fortalecimiento de trazabilidad. Argumento BID Social."</f>
        <v>ICPI Inclusión: 64% — Evidencia que inversión en grupos vulnerables requiere fortalecimiento de trazabilidad. Argumento BID Social.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107" t="s">
        <v>509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4"/>
    </row>
  </sheetData>
  <hyperlinks>
    <hyperlink ref="B1" location="'H00_ÍNDICE'!A1" display="⬅️ ÍNDICE GENERAL" xr:uid="{31D62CCA-1890-48C2-A1A9-963EC0DCB30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C170-B20D-45A4-964E-AAF85DB2C219}">
  <sheetPr>
    <tabColor rgb="FF003087"/>
  </sheetPr>
  <dimension ref="A1:Z32"/>
  <sheetViews>
    <sheetView zoomScale="122" zoomScaleNormal="122" workbookViewId="0">
      <pane ySplit="2" topLeftCell="A14" activePane="bottomLeft" state="frozen"/>
      <selection pane="bottomLeft" activeCell="B28" sqref="B28"/>
    </sheetView>
  </sheetViews>
  <sheetFormatPr baseColWidth="10" defaultRowHeight="14.4" x14ac:dyDescent="0.3"/>
  <cols>
    <col min="1" max="1" width="35.21875" bestFit="1" customWidth="1"/>
    <col min="2" max="2" width="26.33203125" bestFit="1" customWidth="1"/>
    <col min="3" max="3" width="13.21875" bestFit="1" customWidth="1"/>
    <col min="4" max="4" width="22.44140625" bestFit="1" customWidth="1"/>
    <col min="5" max="5" width="21.6640625" bestFit="1" customWidth="1"/>
    <col min="6" max="6" width="17.6640625" bestFit="1" customWidth="1"/>
    <col min="7" max="7" width="18.88671875" bestFit="1" customWidth="1"/>
    <col min="8" max="8" width="29.5546875" bestFit="1" customWidth="1"/>
    <col min="9" max="9" width="20.33203125" bestFit="1" customWidth="1"/>
    <col min="10" max="10" width="11.109375" bestFit="1" customWidth="1"/>
    <col min="11" max="11" width="16.554687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"&amp;TEXT(B28,"0,0")&amp;"%"</f>
        <v>ICPI: 72,9%</v>
      </c>
      <c r="D1" s="211" t="s">
        <v>1140</v>
      </c>
      <c r="E1" s="212" t="str">
        <f ca="1">TEXT(TODAY(),"DD/MM/YYYY")</f>
        <v>05/04/2026</v>
      </c>
    </row>
    <row r="2" spans="1:26" ht="25.05" customHeight="1" x14ac:dyDescent="0.35">
      <c r="A2" s="303" t="s">
        <v>1171</v>
      </c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05" customHeight="1" x14ac:dyDescent="0.3">
      <c r="A3" s="301" t="s">
        <v>1172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02" t="s">
        <v>409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</row>
    <row r="5" spans="1:26" x14ac:dyDescent="0.3">
      <c r="A5" s="2" t="s">
        <v>192</v>
      </c>
      <c r="B5" s="2" t="s">
        <v>399</v>
      </c>
      <c r="C5" s="2" t="s">
        <v>400</v>
      </c>
      <c r="D5" s="2" t="s">
        <v>401</v>
      </c>
      <c r="E5" s="2" t="s">
        <v>402</v>
      </c>
      <c r="F5" s="2" t="s">
        <v>403</v>
      </c>
      <c r="G5" s="2" t="s">
        <v>404</v>
      </c>
      <c r="H5" s="2" t="s">
        <v>405</v>
      </c>
      <c r="I5" s="2" t="s">
        <v>406</v>
      </c>
      <c r="J5" s="2" t="s">
        <v>407</v>
      </c>
      <c r="K5" s="2" t="s">
        <v>408</v>
      </c>
    </row>
    <row r="6" spans="1:26" x14ac:dyDescent="0.3">
      <c r="A6" s="48" t="s">
        <v>1351</v>
      </c>
      <c r="B6" s="74">
        <f>H04_S2_PLANIFICACIÓN_PDOT!H6</f>
        <v>0.28912002443494439</v>
      </c>
      <c r="C6" s="74">
        <f>H04_S2_PLANIFICACIÓN_PDOT!L6</f>
        <v>0.86956521739130443</v>
      </c>
      <c r="D6" s="65">
        <f>IF(AND(H06_S4_CONTRATACIÓN_SERCOP!H7&gt;0,H07_S5_FINANCIERO_eSIGEF!H7&gt;0,H09_S7_TRANSPARENCIA_LOTAIP!H7&gt;0,H10_S8_PARTICIPACIÓN_CPCCS!G7&gt;0),1,IF(H06_S4_CONTRATACIÓN_SERCOP!H7+H07_S5_FINANCIERO_eSIGEF!H7+H09_S7_TRANSPARENCIA_LOTAIP!H7+H10_S8_PARTICIPACIÓN_CPCCS!G7&gt;=2,0.5,0))</f>
        <v>1</v>
      </c>
      <c r="E6" s="109">
        <v>1</v>
      </c>
      <c r="F6" s="91">
        <f>H07_S5_FINANCIERO_eSIGEF!G7</f>
        <v>0.95</v>
      </c>
      <c r="G6" s="109">
        <v>1</v>
      </c>
      <c r="H6" s="110">
        <f t="shared" ref="H6:H25" si="0">B6*C6*D6*E6*F6*G6</f>
        <v>0.23883828105495405</v>
      </c>
      <c r="I6" s="110">
        <f t="shared" ref="I6:I25" si="1">B6*C6</f>
        <v>0.25140871689995165</v>
      </c>
      <c r="J6" s="65">
        <f t="shared" ref="J6:J25" si="2">IF(I6&gt;0,(H6/I6)*100,0)</f>
        <v>95</v>
      </c>
      <c r="K6" s="34" t="str">
        <f t="shared" ref="K6:K25" si="3">IF(J6&gt;=90,"🔵 Excelencia",IF(J6&gt;=70,"🟢 Por Mandato",IF(J6&gt;=40,"🟡 Transición",IF(J6&gt;=20,"🟠 Por Ocurrencia","🔴 Ruptura"))))</f>
        <v>🔵 Excelencia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5"/>
    </row>
    <row r="7" spans="1:26" x14ac:dyDescent="0.3">
      <c r="A7" s="49" t="s">
        <v>1352</v>
      </c>
      <c r="B7" s="76">
        <f>H04_S2_PLANIFICACIÓN_PDOT!H7</f>
        <v>0.32531485287798495</v>
      </c>
      <c r="C7" s="76">
        <f>H04_S2_PLANIFICACIÓN_PDOT!L7</f>
        <v>0.57971014492753625</v>
      </c>
      <c r="D7" s="66">
        <f>IF(AND(H06_S4_CONTRATACIÓN_SERCOP!H8&gt;0,H07_S5_FINANCIERO_eSIGEF!H8&gt;0,H09_S7_TRANSPARENCIA_LOTAIP!H8&gt;0,H10_S8_PARTICIPACIÓN_CPCCS!G8&gt;0),1,IF(H06_S4_CONTRATACIÓN_SERCOP!H8+H07_S5_FINANCIERO_eSIGEF!H8+H09_S7_TRANSPARENCIA_LOTAIP!H8+H10_S8_PARTICIPACIÓN_CPCCS!G8&gt;=2,0.5,0))</f>
        <v>1</v>
      </c>
      <c r="E7" s="111">
        <v>1</v>
      </c>
      <c r="F7" s="92">
        <f>H07_S5_FINANCIERO_eSIGEF!G8</f>
        <v>0.85</v>
      </c>
      <c r="G7" s="111">
        <v>1</v>
      </c>
      <c r="H7" s="112">
        <f t="shared" si="0"/>
        <v>0.16030007243263025</v>
      </c>
      <c r="I7" s="112">
        <f t="shared" si="1"/>
        <v>0.18858832050897678</v>
      </c>
      <c r="J7" s="66">
        <f t="shared" si="2"/>
        <v>85</v>
      </c>
      <c r="K7" s="36" t="str">
        <f t="shared" si="3"/>
        <v>🟢 Por Mandato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8"/>
    </row>
    <row r="8" spans="1:26" x14ac:dyDescent="0.3">
      <c r="A8" s="50" t="s">
        <v>1353</v>
      </c>
      <c r="B8" s="77">
        <f>H04_S2_PLANIFICACIÓN_PDOT!H8</f>
        <v>0.12454728141026002</v>
      </c>
      <c r="C8" s="77">
        <f>H04_S2_PLANIFICACIÓN_PDOT!L8</f>
        <v>0.57971014492753625</v>
      </c>
      <c r="D8" s="67">
        <f>IF(AND(H06_S4_CONTRATACIÓN_SERCOP!H9&gt;0,H07_S5_FINANCIERO_eSIGEF!H9&gt;0,H09_S7_TRANSPARENCIA_LOTAIP!H9&gt;0,H10_S8_PARTICIPACIÓN_CPCCS!G9&gt;0),1,IF(H06_S4_CONTRATACIÓN_SERCOP!H9+H07_S5_FINANCIERO_eSIGEF!H9+H09_S7_TRANSPARENCIA_LOTAIP!H9+H10_S8_PARTICIPACIÓN_CPCCS!G9&gt;=2,0.5,0))</f>
        <v>1</v>
      </c>
      <c r="E8" s="113">
        <v>0.9</v>
      </c>
      <c r="F8" s="93">
        <f>H07_S5_FINANCIERO_eSIGEF!G9</f>
        <v>0.72</v>
      </c>
      <c r="G8" s="113">
        <v>0.9</v>
      </c>
      <c r="H8" s="114">
        <f t="shared" si="0"/>
        <v>4.210781131505139E-2</v>
      </c>
      <c r="I8" s="114">
        <f t="shared" si="1"/>
        <v>7.220132255667247E-2</v>
      </c>
      <c r="J8" s="67">
        <f t="shared" si="2"/>
        <v>58.320000000000007</v>
      </c>
      <c r="K8" s="39" t="str">
        <f t="shared" si="3"/>
        <v>🟡 Transición</v>
      </c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40"/>
    </row>
    <row r="9" spans="1:26" x14ac:dyDescent="0.3">
      <c r="A9" s="49" t="s">
        <v>1354</v>
      </c>
      <c r="B9" s="76">
        <f>H04_S2_PLANIFICACIÓN_PDOT!H9</f>
        <v>6.7296692948828146E-2</v>
      </c>
      <c r="C9" s="76">
        <f>H04_S2_PLANIFICACIÓN_PDOT!L9</f>
        <v>0.86956521739130443</v>
      </c>
      <c r="D9" s="66">
        <f>IF(AND(H06_S4_CONTRATACIÓN_SERCOP!H10&gt;0,H07_S5_FINANCIERO_eSIGEF!H10&gt;0,H09_S7_TRANSPARENCIA_LOTAIP!H10&gt;0,H10_S8_PARTICIPACIÓN_CPCCS!G10&gt;0),1,IF(H06_S4_CONTRATACIÓN_SERCOP!H10+H07_S5_FINANCIERO_eSIGEF!H10+H09_S7_TRANSPARENCIA_LOTAIP!H10+H10_S8_PARTICIPACIÓN_CPCCS!G10&gt;=2,0.5,0))</f>
        <v>0</v>
      </c>
      <c r="E9" s="111">
        <v>1</v>
      </c>
      <c r="F9" s="92">
        <f>H07_S5_FINANCIERO_eSIGEF!G10</f>
        <v>0</v>
      </c>
      <c r="G9" s="111">
        <v>1</v>
      </c>
      <c r="H9" s="112">
        <f t="shared" si="0"/>
        <v>0</v>
      </c>
      <c r="I9" s="112">
        <f t="shared" si="1"/>
        <v>5.8518863433763613E-2</v>
      </c>
      <c r="J9" s="66">
        <f t="shared" si="2"/>
        <v>0</v>
      </c>
      <c r="K9" s="36" t="str">
        <f t="shared" si="3"/>
        <v>🔴 Ruptura</v>
      </c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 t="s">
        <v>1355</v>
      </c>
      <c r="B10" s="77">
        <f>H04_S2_PLANIFICACIÓN_PDOT!H10</f>
        <v>3.626041303300917E-2</v>
      </c>
      <c r="C10" s="77">
        <f>H04_S2_PLANIFICACIÓN_PDOT!L10</f>
        <v>0.28985507246376813</v>
      </c>
      <c r="D10" s="67">
        <f>IF(AND(H06_S4_CONTRATACIÓN_SERCOP!H11&gt;0,H07_S5_FINANCIERO_eSIGEF!H11&gt;0,H09_S7_TRANSPARENCIA_LOTAIP!H11&gt;0,H10_S8_PARTICIPACIÓN_CPCCS!G11&gt;0),1,IF(H06_S4_CONTRATACIÓN_SERCOP!H11+H07_S5_FINANCIERO_eSIGEF!H11+H09_S7_TRANSPARENCIA_LOTAIP!H11+H10_S8_PARTICIPACIÓN_CPCCS!G11&gt;=2,0.5,0))</f>
        <v>1</v>
      </c>
      <c r="E10" s="113">
        <v>0.9</v>
      </c>
      <c r="F10" s="93">
        <f>H07_S5_FINANCIERO_eSIGEF!G11</f>
        <v>0.72</v>
      </c>
      <c r="G10" s="113">
        <v>0.9</v>
      </c>
      <c r="H10" s="114">
        <f t="shared" si="0"/>
        <v>6.1295863422756378E-3</v>
      </c>
      <c r="I10" s="114">
        <f t="shared" si="1"/>
        <v>1.0510264647249036E-2</v>
      </c>
      <c r="J10" s="67">
        <f t="shared" si="2"/>
        <v>58.320000000000007</v>
      </c>
      <c r="K10" s="39" t="str">
        <f t="shared" si="3"/>
        <v>🟡 Transición</v>
      </c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 t="s">
        <v>1356</v>
      </c>
      <c r="B11" s="76">
        <f>H04_S2_PLANIFICACIÓN_PDOT!H11</f>
        <v>3.5447386020146597E-2</v>
      </c>
      <c r="C11" s="76">
        <f>H04_S2_PLANIFICACIÓN_PDOT!L11</f>
        <v>1</v>
      </c>
      <c r="D11" s="66">
        <f>IF(AND(H06_S4_CONTRATACIÓN_SERCOP!H12&gt;0,H07_S5_FINANCIERO_eSIGEF!H12&gt;0,H09_S7_TRANSPARENCIA_LOTAIP!H12&gt;0,H10_S8_PARTICIPACIÓN_CPCCS!G12&gt;0),1,IF(H06_S4_CONTRATACIÓN_SERCOP!H12+H07_S5_FINANCIERO_eSIGEF!H12+H09_S7_TRANSPARENCIA_LOTAIP!H12+H10_S8_PARTICIPACIÓN_CPCCS!G12&gt;=2,0.5,0))</f>
        <v>0.5</v>
      </c>
      <c r="E11" s="111">
        <v>0.75</v>
      </c>
      <c r="F11" s="92">
        <f>H07_S5_FINANCIERO_eSIGEF!G12</f>
        <v>0.8</v>
      </c>
      <c r="G11" s="111">
        <v>0.75</v>
      </c>
      <c r="H11" s="112">
        <f t="shared" si="0"/>
        <v>7.9756618545329845E-3</v>
      </c>
      <c r="I11" s="112">
        <f t="shared" si="1"/>
        <v>3.5447386020146597E-2</v>
      </c>
      <c r="J11" s="66">
        <f t="shared" si="2"/>
        <v>22.5</v>
      </c>
      <c r="K11" s="36" t="str">
        <f t="shared" si="3"/>
        <v>🟠 Por Ocurrencia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50" t="s">
        <v>1357</v>
      </c>
      <c r="B12" s="77">
        <f>H04_S2_PLANIFICACIÓN_PDOT!H12</f>
        <v>7.8273728775865112E-3</v>
      </c>
      <c r="C12" s="77">
        <f>H04_S2_PLANIFICACIÓN_PDOT!L12</f>
        <v>0.86956521739130443</v>
      </c>
      <c r="D12" s="67">
        <f>IF(AND(H06_S4_CONTRATACIÓN_SERCOP!H13&gt;0,H07_S5_FINANCIERO_eSIGEF!H13&gt;0,H09_S7_TRANSPARENCIA_LOTAIP!H13&gt;0,H10_S8_PARTICIPACIÓN_CPCCS!G13&gt;0),1,IF(H06_S4_CONTRATACIÓN_SERCOP!H13+H07_S5_FINANCIERO_eSIGEF!H13+H09_S7_TRANSPARENCIA_LOTAIP!H13+H10_S8_PARTICIPACIÓN_CPCCS!G13&gt;=2,0.5,0))</f>
        <v>1</v>
      </c>
      <c r="E12" s="113">
        <v>0.75</v>
      </c>
      <c r="F12" s="93">
        <f>H07_S5_FINANCIERO_eSIGEF!G13</f>
        <v>0.85</v>
      </c>
      <c r="G12" s="113">
        <v>0.75</v>
      </c>
      <c r="H12" s="114">
        <f t="shared" si="0"/>
        <v>3.2543153539965662E-3</v>
      </c>
      <c r="I12" s="114">
        <f t="shared" si="1"/>
        <v>6.8064111979013152E-3</v>
      </c>
      <c r="J12" s="67">
        <f t="shared" si="2"/>
        <v>47.8125</v>
      </c>
      <c r="K12" s="39" t="str">
        <f t="shared" si="3"/>
        <v>🟡 Transición</v>
      </c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 t="s">
        <v>1358</v>
      </c>
      <c r="B13" s="76">
        <f>H04_S2_PLANIFICACIÓN_PDOT!H13</f>
        <v>2.3207452342439927E-2</v>
      </c>
      <c r="C13" s="76">
        <f>H04_S2_PLANIFICACIÓN_PDOT!L13</f>
        <v>0.57971014492753625</v>
      </c>
      <c r="D13" s="66">
        <f>IF(AND(H06_S4_CONTRATACIÓN_SERCOP!H14&gt;0,H07_S5_FINANCIERO_eSIGEF!H14&gt;0,H09_S7_TRANSPARENCIA_LOTAIP!H14&gt;0,H10_S8_PARTICIPACIÓN_CPCCS!G14&gt;0),1,IF(H06_S4_CONTRATACIÓN_SERCOP!H14+H07_S5_FINANCIERO_eSIGEF!H14+H09_S7_TRANSPARENCIA_LOTAIP!H14+H10_S8_PARTICIPACIÓN_CPCCS!G14&gt;=2,0.5,0))</f>
        <v>1</v>
      </c>
      <c r="E13" s="111">
        <v>0.75</v>
      </c>
      <c r="F13" s="92">
        <f>H07_S5_FINANCIERO_eSIGEF!G14</f>
        <v>0.72</v>
      </c>
      <c r="G13" s="111">
        <v>0.75</v>
      </c>
      <c r="H13" s="112">
        <f t="shared" si="0"/>
        <v>5.4487062021380695E-3</v>
      </c>
      <c r="I13" s="112">
        <f t="shared" si="1"/>
        <v>1.345359556083474E-2</v>
      </c>
      <c r="J13" s="66">
        <f t="shared" si="2"/>
        <v>40.5</v>
      </c>
      <c r="K13" s="36" t="str">
        <f t="shared" si="3"/>
        <v>🟡 Transición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">
        <v>1359</v>
      </c>
      <c r="B14" s="77">
        <f>H04_S2_PLANIFICACIÓN_PDOT!H14</f>
        <v>1.5955769160784519E-2</v>
      </c>
      <c r="C14" s="77">
        <f>H04_S2_PLANIFICACIÓN_PDOT!L14</f>
        <v>0.57971014492753625</v>
      </c>
      <c r="D14" s="67">
        <f>IF(AND(H06_S4_CONTRATACIÓN_SERCOP!H15&gt;0,H07_S5_FINANCIERO_eSIGEF!H15&gt;0,H09_S7_TRANSPARENCIA_LOTAIP!H15&gt;0,H10_S8_PARTICIPACIÓN_CPCCS!G15&gt;0),1,IF(H06_S4_CONTRATACIÓN_SERCOP!H15+H07_S5_FINANCIERO_eSIGEF!H15+H09_S7_TRANSPARENCIA_LOTAIP!H15+H10_S8_PARTICIPACIÓN_CPCCS!G15&gt;=2,0.5,0))</f>
        <v>1</v>
      </c>
      <c r="E14" s="113">
        <v>1</v>
      </c>
      <c r="F14" s="93">
        <f>H07_S5_FINANCIERO_eSIGEF!G15</f>
        <v>0.85</v>
      </c>
      <c r="G14" s="113">
        <v>1</v>
      </c>
      <c r="H14" s="114">
        <f t="shared" si="0"/>
        <v>7.8622630647344014E-3</v>
      </c>
      <c r="I14" s="114">
        <f t="shared" si="1"/>
        <v>9.2497212526287068E-3</v>
      </c>
      <c r="J14" s="67">
        <f t="shared" si="2"/>
        <v>85.000000000000014</v>
      </c>
      <c r="K14" s="39" t="str">
        <f t="shared" si="3"/>
        <v>🟢 Por Mandato</v>
      </c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">
        <v>1360</v>
      </c>
      <c r="B15" s="76">
        <f>H04_S2_PLANIFICACIÓN_PDOT!H15</f>
        <v>1.08181781153198E-2</v>
      </c>
      <c r="C15" s="76">
        <f>H04_S2_PLANIFICACIÓN_PDOT!L15</f>
        <v>0.33333333333333331</v>
      </c>
      <c r="D15" s="66">
        <f>IF(AND(H06_S4_CONTRATACIÓN_SERCOP!H16&gt;0,H07_S5_FINANCIERO_eSIGEF!H16&gt;0,H09_S7_TRANSPARENCIA_LOTAIP!H16&gt;0,H10_S8_PARTICIPACIÓN_CPCCS!G16&gt;0),1,IF(H06_S4_CONTRATACIÓN_SERCOP!H16+H07_S5_FINANCIERO_eSIGEF!H16+H09_S7_TRANSPARENCIA_LOTAIP!H16+H10_S8_PARTICIPACIÓN_CPCCS!G16&gt;=2,0.5,0))</f>
        <v>1</v>
      </c>
      <c r="E15" s="111">
        <v>1</v>
      </c>
      <c r="F15" s="92">
        <f>H07_S5_FINANCIERO_eSIGEF!G16</f>
        <v>0.72</v>
      </c>
      <c r="G15" s="111">
        <v>1</v>
      </c>
      <c r="H15" s="112">
        <f t="shared" si="0"/>
        <v>2.5963627476767517E-3</v>
      </c>
      <c r="I15" s="112">
        <f t="shared" si="1"/>
        <v>3.6060593717732667E-3</v>
      </c>
      <c r="J15" s="66">
        <f t="shared" si="2"/>
        <v>72</v>
      </c>
      <c r="K15" s="36" t="str">
        <f t="shared" si="3"/>
        <v>🟢 Por Mandato</v>
      </c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">
        <v>1361</v>
      </c>
      <c r="B16" s="77">
        <f>H04_S2_PLANIFICACIÓN_PDOT!H16</f>
        <v>1.1215753872178297E-2</v>
      </c>
      <c r="C16" s="77">
        <f>H04_S2_PLANIFICACIÓN_PDOT!L16</f>
        <v>0.57971014492753625</v>
      </c>
      <c r="D16" s="67">
        <f>IF(AND(H06_S4_CONTRATACIÓN_SERCOP!H17&gt;0,H07_S5_FINANCIERO_eSIGEF!H17&gt;0,H09_S7_TRANSPARENCIA_LOTAIP!H17&gt;0,H10_S8_PARTICIPACIÓN_CPCCS!G17&gt;0),1,IF(H06_S4_CONTRATACIÓN_SERCOP!H17+H07_S5_FINANCIERO_eSIGEF!H17+H09_S7_TRANSPARENCIA_LOTAIP!H17+H10_S8_PARTICIPACIÓN_CPCCS!G17&gt;=2,0.5,0))</f>
        <v>1</v>
      </c>
      <c r="E16" s="113">
        <v>1</v>
      </c>
      <c r="F16" s="93">
        <f>H07_S5_FINANCIERO_eSIGEF!G17</f>
        <v>0.72</v>
      </c>
      <c r="G16" s="113">
        <v>1</v>
      </c>
      <c r="H16" s="114">
        <f t="shared" si="0"/>
        <v>4.6813581379526806E-3</v>
      </c>
      <c r="I16" s="114">
        <f t="shared" si="1"/>
        <v>6.5018863027120561E-3</v>
      </c>
      <c r="J16" s="67">
        <f t="shared" si="2"/>
        <v>72.000000000000014</v>
      </c>
      <c r="K16" s="39" t="str">
        <f t="shared" si="3"/>
        <v>🟢 Por Mandato</v>
      </c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">
        <v>1362</v>
      </c>
      <c r="B17" s="76">
        <f>H04_S2_PLANIFICACIÓN_PDOT!H17</f>
        <v>8.5001080419824218E-4</v>
      </c>
      <c r="C17" s="76">
        <f>H04_S2_PLANIFICACIÓN_PDOT!L17</f>
        <v>0.57971014492753625</v>
      </c>
      <c r="D17" s="66">
        <f>IF(AND(H06_S4_CONTRATACIÓN_SERCOP!H18&gt;0,H07_S5_FINANCIERO_eSIGEF!H18&gt;0,H09_S7_TRANSPARENCIA_LOTAIP!H18&gt;0,H10_S8_PARTICIPACIÓN_CPCCS!G18&gt;0),1,IF(H06_S4_CONTRATACIÓN_SERCOP!H18+H07_S5_FINANCIERO_eSIGEF!H18+H09_S7_TRANSPARENCIA_LOTAIP!H18+H10_S8_PARTICIPACIÓN_CPCCS!G18&gt;=2,0.5,0))</f>
        <v>1</v>
      </c>
      <c r="E17" s="111">
        <v>0.75</v>
      </c>
      <c r="F17" s="92">
        <f>H07_S5_FINANCIERO_eSIGEF!G18</f>
        <v>0.95</v>
      </c>
      <c r="G17" s="111">
        <v>0.75</v>
      </c>
      <c r="H17" s="112">
        <f t="shared" si="0"/>
        <v>2.6331856434402064E-4</v>
      </c>
      <c r="I17" s="112">
        <f t="shared" si="1"/>
        <v>4.9275988649173457E-4</v>
      </c>
      <c r="J17" s="66">
        <f t="shared" si="2"/>
        <v>53.437499999999993</v>
      </c>
      <c r="K17" s="36" t="str">
        <f t="shared" si="3"/>
        <v>🟡 Transición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">
        <v>1363</v>
      </c>
      <c r="B18" s="77">
        <f>H04_S2_PLANIFICACIÓN_PDOT!H18</f>
        <v>5.8557669614817268E-3</v>
      </c>
      <c r="C18" s="77">
        <f>H04_S2_PLANIFICACIÓN_PDOT!L18</f>
        <v>0.66666666666666663</v>
      </c>
      <c r="D18" s="67">
        <f>IF(AND(H06_S4_CONTRATACIÓN_SERCOP!H19&gt;0,H07_S5_FINANCIERO_eSIGEF!H19&gt;0,H09_S7_TRANSPARENCIA_LOTAIP!H19&gt;0,H10_S8_PARTICIPACIÓN_CPCCS!G19&gt;0),1,IF(H06_S4_CONTRATACIÓN_SERCOP!H19+H07_S5_FINANCIERO_eSIGEF!H19+H09_S7_TRANSPARENCIA_LOTAIP!H19+H10_S8_PARTICIPACIÓN_CPCCS!G19&gt;=2,0.5,0))</f>
        <v>1</v>
      </c>
      <c r="E18" s="113">
        <v>1</v>
      </c>
      <c r="F18" s="93">
        <f>H07_S5_FINANCIERO_eSIGEF!G19</f>
        <v>0.65</v>
      </c>
      <c r="G18" s="113">
        <v>1</v>
      </c>
      <c r="H18" s="114">
        <f t="shared" si="0"/>
        <v>2.5374990166420813E-3</v>
      </c>
      <c r="I18" s="114">
        <f t="shared" si="1"/>
        <v>3.9038446409878176E-3</v>
      </c>
      <c r="J18" s="67">
        <f t="shared" si="2"/>
        <v>64.999999999999986</v>
      </c>
      <c r="K18" s="39" t="str">
        <f t="shared" si="3"/>
        <v>🟡 Transición</v>
      </c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">
        <v>1364</v>
      </c>
      <c r="B19" s="76">
        <f>H04_S2_PLANIFICACIÓN_PDOT!H19</f>
        <v>4.3764153080547638E-3</v>
      </c>
      <c r="C19" s="76">
        <f>H04_S2_PLANIFICACIÓN_PDOT!L19</f>
        <v>0.66666666666666663</v>
      </c>
      <c r="D19" s="66">
        <f>IF(AND(H06_S4_CONTRATACIÓN_SERCOP!H20&gt;0,H07_S5_FINANCIERO_eSIGEF!H20&gt;0,H09_S7_TRANSPARENCIA_LOTAIP!H20&gt;0,H10_S8_PARTICIPACIÓN_CPCCS!G20&gt;0),1,IF(H06_S4_CONTRATACIÓN_SERCOP!H20+H07_S5_FINANCIERO_eSIGEF!H20+H09_S7_TRANSPARENCIA_LOTAIP!H20+H10_S8_PARTICIPACIÓN_CPCCS!G20&gt;=2,0.5,0))</f>
        <v>1</v>
      </c>
      <c r="E19" s="111">
        <v>1</v>
      </c>
      <c r="F19" s="92">
        <f>H07_S5_FINANCIERO_eSIGEF!G20</f>
        <v>0.8</v>
      </c>
      <c r="G19" s="111">
        <v>1</v>
      </c>
      <c r="H19" s="112">
        <f t="shared" si="0"/>
        <v>2.334088164295874E-3</v>
      </c>
      <c r="I19" s="112">
        <f t="shared" si="1"/>
        <v>2.9176102053698424E-3</v>
      </c>
      <c r="J19" s="66">
        <f t="shared" si="2"/>
        <v>80</v>
      </c>
      <c r="K19" s="36" t="str">
        <f t="shared" si="3"/>
        <v>🟢 Por Mandato</v>
      </c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">
        <v>1365</v>
      </c>
      <c r="B20" s="77">
        <f>H04_S2_PLANIFICACIÓN_PDOT!H20</f>
        <v>3.0831932140758928E-2</v>
      </c>
      <c r="C20" s="77">
        <f>H04_S2_PLANIFICACIÓN_PDOT!L20</f>
        <v>0.57971014492753625</v>
      </c>
      <c r="D20" s="67">
        <f>IF(AND(H06_S4_CONTRATACIÓN_SERCOP!H21&gt;0,H07_S5_FINANCIERO_eSIGEF!H21&gt;0,H09_S7_TRANSPARENCIA_LOTAIP!H21&gt;0,H10_S8_PARTICIPACIÓN_CPCCS!G21&gt;0),1,IF(H06_S4_CONTRATACIÓN_SERCOP!H21+H07_S5_FINANCIERO_eSIGEF!H21+H09_S7_TRANSPARENCIA_LOTAIP!H21+H10_S8_PARTICIPACIÓN_CPCCS!G21&gt;=2,0.5,0))</f>
        <v>1</v>
      </c>
      <c r="E20" s="113">
        <v>0.9</v>
      </c>
      <c r="F20" s="93">
        <f>H07_S5_FINANCIERO_eSIGEF!G21</f>
        <v>0.85</v>
      </c>
      <c r="G20" s="113">
        <v>0.9</v>
      </c>
      <c r="H20" s="114">
        <f t="shared" si="0"/>
        <v>1.2305962480528997E-2</v>
      </c>
      <c r="I20" s="114">
        <f t="shared" si="1"/>
        <v>1.7873583849715321E-2</v>
      </c>
      <c r="J20" s="67">
        <f t="shared" si="2"/>
        <v>68.849999999999994</v>
      </c>
      <c r="K20" s="39" t="str">
        <f t="shared" si="3"/>
        <v>🟡 Transición</v>
      </c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">
        <v>1366</v>
      </c>
      <c r="B21" s="76">
        <f>H04_S2_PLANIFICACIÓN_PDOT!H21</f>
        <v>3.0724161372806774E-3</v>
      </c>
      <c r="C21" s="76">
        <f>H04_S2_PLANIFICACIÓN_PDOT!L21</f>
        <v>0.57971014492753625</v>
      </c>
      <c r="D21" s="66">
        <f>IF(AND(H06_S4_CONTRATACIÓN_SERCOP!H22&gt;0,H07_S5_FINANCIERO_eSIGEF!H22&gt;0,H09_S7_TRANSPARENCIA_LOTAIP!H22&gt;0,H10_S8_PARTICIPACIÓN_CPCCS!G22&gt;0),1,IF(H06_S4_CONTRATACIÓN_SERCOP!H22+H07_S5_FINANCIERO_eSIGEF!H22+H09_S7_TRANSPARENCIA_LOTAIP!H22+H10_S8_PARTICIPACIÓN_CPCCS!G22&gt;=2,0.5,0))</f>
        <v>1</v>
      </c>
      <c r="E21" s="111">
        <v>0.9</v>
      </c>
      <c r="F21" s="92">
        <f>H07_S5_FINANCIERO_eSIGEF!G22</f>
        <v>0.95</v>
      </c>
      <c r="G21" s="111">
        <v>0.9</v>
      </c>
      <c r="H21" s="112">
        <f t="shared" si="0"/>
        <v>1.3705647638478154E-3</v>
      </c>
      <c r="I21" s="112">
        <f t="shared" si="1"/>
        <v>1.7811108042206827E-3</v>
      </c>
      <c r="J21" s="66">
        <f t="shared" si="2"/>
        <v>76.95</v>
      </c>
      <c r="K21" s="36" t="str">
        <f t="shared" si="3"/>
        <v>🟢 Por Mandato</v>
      </c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">
        <v>1367</v>
      </c>
      <c r="B22" s="77">
        <f>H04_S2_PLANIFICACIÓN_PDOT!H22</f>
        <v>2.9153829592694054E-3</v>
      </c>
      <c r="C22" s="77">
        <f>H04_S2_PLANIFICACIÓN_PDOT!L22</f>
        <v>0.57971014492753625</v>
      </c>
      <c r="D22" s="67">
        <f>IF(AND(H06_S4_CONTRATACIÓN_SERCOP!H23&gt;0,H07_S5_FINANCIERO_eSIGEF!H23&gt;0,H09_S7_TRANSPARENCIA_LOTAIP!H23&gt;0,H10_S8_PARTICIPACIÓN_CPCCS!G23&gt;0),1,IF(H06_S4_CONTRATACIÓN_SERCOP!H23+H07_S5_FINANCIERO_eSIGEF!H23+H09_S7_TRANSPARENCIA_LOTAIP!H23+H10_S8_PARTICIPACIÓN_CPCCS!G23&gt;=2,0.5,0))</f>
        <v>1</v>
      </c>
      <c r="E22" s="113">
        <v>1</v>
      </c>
      <c r="F22" s="93">
        <f>H07_S5_FINANCIERO_eSIGEF!G23</f>
        <v>0.85</v>
      </c>
      <c r="G22" s="113">
        <v>1</v>
      </c>
      <c r="H22" s="114">
        <f t="shared" si="0"/>
        <v>1.4365655161617361E-3</v>
      </c>
      <c r="I22" s="114">
        <f t="shared" si="1"/>
        <v>1.6900770778373365E-3</v>
      </c>
      <c r="J22" s="67">
        <f t="shared" si="2"/>
        <v>85</v>
      </c>
      <c r="K22" s="39" t="str">
        <f t="shared" si="3"/>
        <v>🟢 Por Mandato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">
        <v>1368</v>
      </c>
      <c r="B23" s="76">
        <f>H04_S2_PLANIFICACIÓN_PDOT!H23</f>
        <v>1.6698181788056838E-3</v>
      </c>
      <c r="C23" s="76">
        <f>H04_S2_PLANIFICACIÓN_PDOT!L23</f>
        <v>0.57971014492753625</v>
      </c>
      <c r="D23" s="66">
        <f>IF(AND(H06_S4_CONTRATACIÓN_SERCOP!H24&gt;0,H07_S5_FINANCIERO_eSIGEF!H24&gt;0,H09_S7_TRANSPARENCIA_LOTAIP!H24&gt;0,H10_S8_PARTICIPACIÓN_CPCCS!G24&gt;0),1,IF(H06_S4_CONTRATACIÓN_SERCOP!H24+H07_S5_FINANCIERO_eSIGEF!H24+H09_S7_TRANSPARENCIA_LOTAIP!H24+H10_S8_PARTICIPACIÓN_CPCCS!G24&gt;=2,0.5,0))</f>
        <v>1</v>
      </c>
      <c r="E23" s="111">
        <v>0.75</v>
      </c>
      <c r="F23" s="92">
        <f>H07_S5_FINANCIERO_eSIGEF!G24</f>
        <v>0.94999999999999984</v>
      </c>
      <c r="G23" s="111">
        <v>0.75</v>
      </c>
      <c r="H23" s="112">
        <f t="shared" si="0"/>
        <v>5.1728063147784761E-4</v>
      </c>
      <c r="I23" s="112">
        <f t="shared" si="1"/>
        <v>9.680105384380776E-4</v>
      </c>
      <c r="J23" s="66">
        <f t="shared" si="2"/>
        <v>53.437499999999993</v>
      </c>
      <c r="K23" s="36" t="str">
        <f t="shared" si="3"/>
        <v>🟡 Transición</v>
      </c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">
        <v>1369</v>
      </c>
      <c r="B24" s="77">
        <f>H04_S2_PLANIFICACIÓN_PDOT!H24</f>
        <v>1.9971247321263993E-3</v>
      </c>
      <c r="C24" s="77">
        <f>H04_S2_PLANIFICACIÓN_PDOT!L24</f>
        <v>0.57971014492753625</v>
      </c>
      <c r="D24" s="67">
        <f>IF(AND(H06_S4_CONTRATACIÓN_SERCOP!H25&gt;0,H07_S5_FINANCIERO_eSIGEF!H25&gt;0,H09_S7_TRANSPARENCIA_LOTAIP!H25&gt;0,H10_S8_PARTICIPACIÓN_CPCCS!G25&gt;0),1,IF(H06_S4_CONTRATACIÓN_SERCOP!H25+H07_S5_FINANCIERO_eSIGEF!H25+H09_S7_TRANSPARENCIA_LOTAIP!H25+H10_S8_PARTICIPACIÓN_CPCCS!G25&gt;=2,0.5,0))</f>
        <v>1</v>
      </c>
      <c r="E24" s="113">
        <v>1</v>
      </c>
      <c r="F24" s="93">
        <f>H07_S5_FINANCIERO_eSIGEF!G25</f>
        <v>0.95</v>
      </c>
      <c r="G24" s="113">
        <v>1</v>
      </c>
      <c r="H24" s="114">
        <f t="shared" si="0"/>
        <v>1.0998657945043937E-3</v>
      </c>
      <c r="I24" s="114">
        <f t="shared" si="1"/>
        <v>1.1577534678993619E-3</v>
      </c>
      <c r="J24" s="67">
        <f t="shared" si="2"/>
        <v>94.999999999999986</v>
      </c>
      <c r="K24" s="39" t="str">
        <f t="shared" si="3"/>
        <v>🔵 Excelencia</v>
      </c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4" t="s">
        <v>1370</v>
      </c>
      <c r="B25" s="76">
        <f>H04_S2_PLANIFICACIÓN_PDOT!H25</f>
        <v>1.4199556845418699E-3</v>
      </c>
      <c r="C25" s="76">
        <f>H04_S2_PLANIFICACIÓN_PDOT!L25</f>
        <v>0.28985507246376813</v>
      </c>
      <c r="D25" s="66">
        <f>IF(AND(H06_S4_CONTRATACIÓN_SERCOP!H26&gt;0,H07_S5_FINANCIERO_eSIGEF!H26&gt;0,H09_S7_TRANSPARENCIA_LOTAIP!H26&gt;0,H10_S8_PARTICIPACIÓN_CPCCS!G26&gt;0),1,IF(H06_S4_CONTRATACIÓN_SERCOP!H26+H07_S5_FINANCIERO_eSIGEF!H26+H09_S7_TRANSPARENCIA_LOTAIP!H26+H10_S8_PARTICIPACIÓN_CPCCS!G26&gt;=2,0.5,0))</f>
        <v>1</v>
      </c>
      <c r="E25" s="111">
        <v>1</v>
      </c>
      <c r="F25" s="92">
        <f>H07_S5_FINANCIERO_eSIGEF!G26</f>
        <v>0.85</v>
      </c>
      <c r="G25" s="111">
        <v>1</v>
      </c>
      <c r="H25" s="112">
        <f t="shared" si="0"/>
        <v>3.4984415416248972E-4</v>
      </c>
      <c r="I25" s="112">
        <f t="shared" si="1"/>
        <v>4.1158135783822319E-4</v>
      </c>
      <c r="J25" s="66">
        <f t="shared" si="2"/>
        <v>85</v>
      </c>
      <c r="K25" s="36" t="str">
        <f t="shared" si="3"/>
        <v>🟢 Por Mandato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108" t="s">
        <v>410</v>
      </c>
      <c r="B26" s="114">
        <f>SUM(H6:H25)</f>
        <v>0.501409407591908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1" t="s">
        <v>411</v>
      </c>
      <c r="B27" s="112">
        <f>SUM(I6:I25)</f>
        <v>0.68748887958140859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ht="18" x14ac:dyDescent="0.35">
      <c r="A28" s="115" t="s">
        <v>412</v>
      </c>
      <c r="B28" s="247">
        <f>(B26/B27)*100</f>
        <v>72.933457177838463</v>
      </c>
      <c r="C28" s="304" t="s">
        <v>418</v>
      </c>
      <c r="D28" s="305"/>
      <c r="E28" s="305"/>
      <c r="F28" s="305"/>
      <c r="G28" s="305"/>
      <c r="H28" s="305"/>
      <c r="I28" s="305"/>
      <c r="J28" s="305"/>
      <c r="K28" s="306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1:26" ht="15.6" x14ac:dyDescent="0.3">
      <c r="A29" s="116" t="s">
        <v>414</v>
      </c>
      <c r="B29" s="248" t="str">
        <f>IF(B28&gt;=90,"🔵 Excelencia en Gobernanza",IF(B28&gt;=70,"🟢 Gestión por Mandato",IF(B28&gt;=40,"🟡 Transición Crítica",IF(B28&gt;=20,"🟠 Gestión por Ocurrencia","🔴 Ruptura Sistémica"))))</f>
        <v>🟢 Gestión por Mandato</v>
      </c>
      <c r="C29" s="307" t="s">
        <v>413</v>
      </c>
      <c r="D29" s="308"/>
      <c r="E29" s="308"/>
      <c r="F29" s="308"/>
      <c r="G29" s="308"/>
      <c r="H29" s="308"/>
      <c r="I29" s="308"/>
      <c r="J29" s="308"/>
      <c r="K29" s="309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8"/>
    </row>
    <row r="30" spans="1:26" x14ac:dyDescent="0.3">
      <c r="A30" s="42" t="s">
        <v>415</v>
      </c>
      <c r="B30" s="249">
        <f>H01_PARÁMETROS!B12*100</f>
        <v>100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1:26" x14ac:dyDescent="0.3">
      <c r="A31" s="41" t="s">
        <v>416</v>
      </c>
      <c r="B31" s="250">
        <f>B30-B28</f>
        <v>27.066542822161537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</row>
    <row r="32" spans="1:26" x14ac:dyDescent="0.3">
      <c r="A32" s="96" t="s">
        <v>417</v>
      </c>
      <c r="B32" s="251" t="str">
        <f>IF(B31&gt;30,"⚠️ Brecha crítica — MOM-I posible",IF(B31&gt;15,"⚠️ Brecha moderada — vigilar","✅ Brecha aceptable"))</f>
        <v>⚠️ Brecha moderada — vigilar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4"/>
    </row>
  </sheetData>
  <mergeCells count="5">
    <mergeCell ref="A3:K3"/>
    <mergeCell ref="A4:K4"/>
    <mergeCell ref="A2:K2"/>
    <mergeCell ref="C28:K28"/>
    <mergeCell ref="C29:K29"/>
  </mergeCells>
  <conditionalFormatting sqref="J6:J25">
    <cfRule type="cellIs" dxfId="74" priority="1" operator="greaterThanOrEqual">
      <formula>90</formula>
    </cfRule>
    <cfRule type="cellIs" dxfId="73" priority="2" operator="greaterThanOrEqual">
      <formula>70</formula>
    </cfRule>
    <cfRule type="cellIs" dxfId="72" priority="3" operator="greaterThanOrEqual">
      <formula>40</formula>
    </cfRule>
    <cfRule type="cellIs" dxfId="71" priority="4" operator="greaterThanOrEqual">
      <formula>20</formula>
    </cfRule>
    <cfRule type="cellIs" dxfId="70" priority="5" operator="lessThan">
      <formula>20</formula>
    </cfRule>
  </conditionalFormatting>
  <dataValidations count="2">
    <dataValidation type="list" allowBlank="1" showInputMessage="1" showErrorMessage="1" promptTitle="Autonomía Orgánica E_i" prompt="1.00 = Competencia exclusiva del GAD_x000a_0.90 = Competencia compartida con otro nivel_x000a_0.75 = Competencia difusa o complementaria" sqref="E6:E25" xr:uid="{DA69448C-2BD3-4536-A544-1BEFD434F1ED}">
      <formula1>"1.00,0.90,0.75"</formula1>
    </dataValidation>
    <dataValidation type="list" allowBlank="1" showInputMessage="1" showErrorMessage="1" promptTitle="Calidad de Proceso C_i" prompt="1.00 = Proceso único limpio_x000a_0.90 = Proceso compartido_x000a_0.75 = Proceso difuso o ambiguo" sqref="G6:G25" xr:uid="{077E9F51-BBAE-424A-A988-732C4C6A3A90}">
      <formula1>"1.00,0.90,0.75"</formula1>
    </dataValidation>
  </dataValidations>
  <hyperlinks>
    <hyperlink ref="B1" location="'H00_ÍNDICE'!A1" display="⬅️ ÍNDICE GENERAL" xr:uid="{74D649DD-92E6-4E34-B868-3C6C4DBD99A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5350-EC78-4D60-A779-89329702B76E}">
  <sheetPr>
    <tabColor rgb="FF003087"/>
  </sheetPr>
  <dimension ref="A1:Z15"/>
  <sheetViews>
    <sheetView zoomScale="82" zoomScaleNormal="82" workbookViewId="0">
      <pane ySplit="2" topLeftCell="A3" activePane="bottomLeft" state="frozen"/>
      <selection pane="bottomLeft" activeCell="C9" sqref="C9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65.5546875" bestFit="1" customWidth="1"/>
    <col min="4" max="4" width="55" bestFit="1" customWidth="1"/>
    <col min="5" max="5" width="42" bestFit="1" customWidth="1"/>
    <col min="6" max="6" width="29.109375" bestFit="1" customWidth="1"/>
    <col min="7" max="7" width="33.554687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1141</v>
      </c>
      <c r="E1" s="212" t="str">
        <f ca="1">TEXT(TODAY(),"DD/MM/YYYY")</f>
        <v>05/04/2026</v>
      </c>
    </row>
    <row r="2" spans="1:26" ht="30" customHeight="1" x14ac:dyDescent="0.35">
      <c r="A2" s="1" t="s">
        <v>419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420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30" t="s">
        <v>421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2" t="s">
        <v>422</v>
      </c>
      <c r="B6" s="2" t="s">
        <v>423</v>
      </c>
      <c r="C6" s="2" t="s">
        <v>424</v>
      </c>
      <c r="D6" s="2" t="s">
        <v>425</v>
      </c>
      <c r="E6" s="2" t="s">
        <v>426</v>
      </c>
      <c r="F6" s="2" t="s">
        <v>427</v>
      </c>
      <c r="G6" s="2" t="s">
        <v>428</v>
      </c>
    </row>
    <row r="7" spans="1:26" x14ac:dyDescent="0.3">
      <c r="A7" t="s">
        <v>429</v>
      </c>
      <c r="B7" t="s">
        <v>430</v>
      </c>
      <c r="C7" t="s">
        <v>431</v>
      </c>
      <c r="D7" t="s">
        <v>432</v>
      </c>
      <c r="E7" t="s">
        <v>433</v>
      </c>
      <c r="F7" t="s">
        <v>434</v>
      </c>
      <c r="G7" t="s">
        <v>435</v>
      </c>
    </row>
    <row r="8" spans="1:26" x14ac:dyDescent="0.3">
      <c r="A8" s="48" t="s">
        <v>436</v>
      </c>
      <c r="B8" s="34" t="s">
        <v>271</v>
      </c>
      <c r="C8" s="34" t="s">
        <v>437</v>
      </c>
      <c r="D8" s="34" t="s">
        <v>438</v>
      </c>
      <c r="E8" s="34" t="s">
        <v>439</v>
      </c>
      <c r="F8" s="34" t="s">
        <v>440</v>
      </c>
      <c r="G8" s="34" t="s">
        <v>441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9" t="s">
        <v>442</v>
      </c>
      <c r="B9" s="36" t="s">
        <v>283</v>
      </c>
      <c r="C9" s="36" t="s">
        <v>443</v>
      </c>
      <c r="D9" s="36" t="s">
        <v>444</v>
      </c>
      <c r="E9" s="36" t="s">
        <v>445</v>
      </c>
      <c r="F9" s="36" t="s">
        <v>446</v>
      </c>
      <c r="G9" s="36" t="s">
        <v>447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 t="s">
        <v>448</v>
      </c>
      <c r="B10" s="39" t="s">
        <v>306</v>
      </c>
      <c r="C10" s="39" t="s">
        <v>449</v>
      </c>
      <c r="D10" s="39" t="s">
        <v>450</v>
      </c>
      <c r="E10" s="39" t="s">
        <v>451</v>
      </c>
      <c r="F10" s="39" t="s">
        <v>452</v>
      </c>
      <c r="G10" s="39" t="s">
        <v>453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 t="s">
        <v>454</v>
      </c>
      <c r="B11" s="36" t="s">
        <v>358</v>
      </c>
      <c r="C11" s="36" t="s">
        <v>455</v>
      </c>
      <c r="D11" s="36" t="s">
        <v>456</v>
      </c>
      <c r="E11" s="36" t="s">
        <v>457</v>
      </c>
      <c r="F11" s="36" t="s">
        <v>458</v>
      </c>
      <c r="G11" s="36" t="s">
        <v>459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50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1" t="s">
        <v>460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ht="25.2" x14ac:dyDescent="0.3">
      <c r="A14" s="207" t="s">
        <v>1125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117" t="s">
        <v>461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7"/>
    </row>
  </sheetData>
  <hyperlinks>
    <hyperlink ref="B1" location="'H00_ÍNDICE'!A1" display="⬅️ ÍNDICE GENERAL" xr:uid="{E96BD855-7C08-4DE8-A5EC-AF1D176C042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DC81-A811-45E6-998D-2B45DC89611A}">
  <sheetPr>
    <tabColor rgb="FF003087"/>
  </sheetPr>
  <dimension ref="A1:Z27"/>
  <sheetViews>
    <sheetView topLeftCell="B1" workbookViewId="0">
      <pane ySplit="2" topLeftCell="A5" activePane="bottomLeft" state="frozen"/>
      <selection pane="bottomLeft" activeCell="G27" sqref="G27"/>
    </sheetView>
  </sheetViews>
  <sheetFormatPr baseColWidth="10" defaultRowHeight="14.4" x14ac:dyDescent="0.3"/>
  <cols>
    <col min="1" max="1" width="61.109375" customWidth="1"/>
    <col min="2" max="2" width="105.77734375" bestFit="1" customWidth="1"/>
    <col min="3" max="3" width="18" bestFit="1" customWidth="1"/>
    <col min="4" max="4" width="16.6640625" bestFit="1" customWidth="1"/>
    <col min="5" max="5" width="12.77734375" bestFit="1" customWidth="1"/>
    <col min="6" max="6" width="7.88671875" bestFit="1" customWidth="1"/>
    <col min="7" max="7" width="6.5546875" bestFit="1" customWidth="1"/>
    <col min="8" max="8" width="68.44140625" bestFit="1" customWidth="1"/>
    <col min="9" max="9" width="65.554687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1142</v>
      </c>
      <c r="E1" s="212" t="str">
        <f ca="1">TEXT(TODAY(),"DD/MM/YYYY")</f>
        <v>05/04/2026</v>
      </c>
    </row>
    <row r="2" spans="1:26" ht="30" customHeight="1" x14ac:dyDescent="0.35">
      <c r="A2" s="1" t="s">
        <v>462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463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 t="s">
        <v>464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2" t="s">
        <v>192</v>
      </c>
      <c r="B6" s="2" t="s">
        <v>381</v>
      </c>
      <c r="C6" s="2" t="s">
        <v>193</v>
      </c>
      <c r="D6" s="2" t="s">
        <v>194</v>
      </c>
      <c r="E6" s="2" t="s">
        <v>197</v>
      </c>
      <c r="F6" s="2" t="s">
        <v>198</v>
      </c>
      <c r="G6" s="2" t="s">
        <v>465</v>
      </c>
      <c r="H6" s="2" t="s">
        <v>466</v>
      </c>
      <c r="I6" s="2" t="s">
        <v>467</v>
      </c>
    </row>
    <row r="7" spans="1:26" x14ac:dyDescent="0.3">
      <c r="A7" t="str">
        <f>H04_S2_PLANIFICACIÓN_PDOT!A6</f>
        <v>SC-I-N-01</v>
      </c>
      <c r="B7" t="str">
        <f>H04_S2_PLANIFICACIÓN_PDOT!B6</f>
        <v>Agua potable: cobertura 39.25%→42.38%; calidad 100% INEN 1108; infraestructura BUENA 22.74%→41.64%</v>
      </c>
      <c r="C7" t="str">
        <f>H04_S2_PLANIFICACIÓN_PDOT!D6</f>
        <v>Exclusiva_Crítica</v>
      </c>
      <c r="D7" s="10">
        <f>H04_S2_PLANIFICACIÓN_PDOT!E6</f>
        <v>1.5</v>
      </c>
      <c r="E7" s="5">
        <f>H04_S2_PLANIFICACIÓN_PDOT!K6</f>
        <v>1</v>
      </c>
      <c r="F7" s="12">
        <f>H04_S2_PLANIFICACIÓN_PDOT!L6</f>
        <v>0.86956521739130443</v>
      </c>
      <c r="G7" s="12">
        <f>H04_S2_PLANIFICACIÓN_PDOT!H6</f>
        <v>0.28912002443494439</v>
      </c>
      <c r="H7" t="s">
        <v>468</v>
      </c>
      <c r="I7" t="s">
        <v>469</v>
      </c>
    </row>
    <row r="8" spans="1:26" x14ac:dyDescent="0.3">
      <c r="A8" s="48" t="str">
        <f>H04_S2_PLANIFICACIÓN_PDOT!A7</f>
        <v>SC-L-N-02</v>
      </c>
      <c r="B8" s="34" t="str">
        <f>H04_S2_PLANIFICACIÓN_PDOT!B7</f>
        <v>Gestión del talento humano municipal: desempeño 80%→90%; plan capacitación 90% anual</v>
      </c>
      <c r="C8" s="34" t="str">
        <f>H04_S2_PLANIFICACIÓN_PDOT!D7</f>
        <v>Exclusiva_Importante</v>
      </c>
      <c r="D8" s="65">
        <f>H04_S2_PLANIFICACIÓN_PDOT!E7</f>
        <v>1</v>
      </c>
      <c r="E8" s="75">
        <f>H04_S2_PLANIFICACIÓN_PDOT!K7</f>
        <v>1</v>
      </c>
      <c r="F8" s="74">
        <f>H04_S2_PLANIFICACIÓN_PDOT!L7</f>
        <v>0.57971014492753625</v>
      </c>
      <c r="G8" s="74">
        <f>H04_S2_PLANIFICACIÓN_PDOT!H7</f>
        <v>0.32531485287798495</v>
      </c>
      <c r="H8" s="34" t="s">
        <v>470</v>
      </c>
      <c r="I8" s="34" t="s">
        <v>469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9" t="str">
        <f>H04_S2_PLANIFICACIÓN_PDOT!A8</f>
        <v>AH-I-X-01</v>
      </c>
      <c r="B9" s="36" t="str">
        <f>H04_S2_PLANIFICACIÓN_PDOT!B8</f>
        <v>Sostenibilidad financiera: autonomía 43.35%→45.30%; gestión cobros y coactivas</v>
      </c>
      <c r="C9" s="36" t="str">
        <f>H04_S2_PLANIFICACIÓN_PDOT!D8</f>
        <v>Exclusiva_Importante</v>
      </c>
      <c r="D9" s="66">
        <f>H04_S2_PLANIFICACIÓN_PDOT!E8</f>
        <v>1</v>
      </c>
      <c r="E9" s="51">
        <f>H04_S2_PLANIFICACIÓN_PDOT!K8</f>
        <v>1</v>
      </c>
      <c r="F9" s="76">
        <f>H04_S2_PLANIFICACIÓN_PDOT!L8</f>
        <v>0.57971014492753625</v>
      </c>
      <c r="G9" s="76">
        <f>H04_S2_PLANIFICACIÓN_PDOT!H8</f>
        <v>0.12454728141026002</v>
      </c>
      <c r="H9" s="36" t="s">
        <v>471</v>
      </c>
      <c r="I9" s="36" t="s">
        <v>472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 t="str">
        <f>H04_S2_PLANIFICACIÓN_PDOT!A9</f>
        <v>AH-I-X-02</v>
      </c>
      <c r="B10" s="39" t="str">
        <f>H04_S2_PLANIFICACIÓN_PDOT!B9</f>
        <v>Vialidad cantonal: mantenimiento 43.8 km vías CUP + 57.22 km rurales; 23.77 km tratamiento medio</v>
      </c>
      <c r="C10" s="39" t="str">
        <f>H04_S2_PLANIFICACIÓN_PDOT!D9</f>
        <v>Exclusiva_Crítica</v>
      </c>
      <c r="D10" s="67">
        <f>H04_S2_PLANIFICACIÓN_PDOT!E9</f>
        <v>1.5</v>
      </c>
      <c r="E10" s="61">
        <f>H04_S2_PLANIFICACIÓN_PDOT!K9</f>
        <v>1</v>
      </c>
      <c r="F10" s="77">
        <f>H04_S2_PLANIFICACIÓN_PDOT!L9</f>
        <v>0.86956521739130443</v>
      </c>
      <c r="G10" s="77">
        <f>H04_S2_PLANIFICACIÓN_PDOT!H9</f>
        <v>6.7296692948828146E-2</v>
      </c>
      <c r="H10" s="39" t="s">
        <v>473</v>
      </c>
      <c r="I10" s="39" t="s">
        <v>474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 t="str">
        <f>H04_S2_PLANIFICACIÓN_PDOT!A10</f>
        <v>AH-I-X-03</v>
      </c>
      <c r="B11" s="36" t="str">
        <f>H04_S2_PLANIFICACIÓN_PDOT!B10</f>
        <v>Salud integral municipal: población atendida 57,401→84,041 personas (+10% anual)</v>
      </c>
      <c r="C11" s="36" t="str">
        <f>H04_S2_PLANIFICACIÓN_PDOT!D10</f>
        <v>Complementaria</v>
      </c>
      <c r="D11" s="66">
        <f>H04_S2_PLANIFICACIÓN_PDOT!E10</f>
        <v>0.5</v>
      </c>
      <c r="E11" s="51">
        <f>H04_S2_PLANIFICACIÓN_PDOT!K10</f>
        <v>1</v>
      </c>
      <c r="F11" s="76">
        <f>H04_S2_PLANIFICACIÓN_PDOT!L10</f>
        <v>0.28985507246376813</v>
      </c>
      <c r="G11" s="76">
        <f>H04_S2_PLANIFICACIÓN_PDOT!H10</f>
        <v>3.626041303300917E-2</v>
      </c>
      <c r="H11" s="36" t="s">
        <v>475</v>
      </c>
      <c r="I11" s="36" t="s">
        <v>476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50" t="str">
        <f>H04_S2_PLANIFICACIÓN_PDOT!A11</f>
        <v>AH-I-N-01</v>
      </c>
      <c r="B12" s="39" t="str">
        <f>H04_S2_PLANIFICACIÓN_PDOT!B11</f>
        <v>Gestión integral desechos sólidos: 20,118→23,086 Tn/año; relleno sanitario; capacidad disposición 0%→20%</v>
      </c>
      <c r="C12" s="39" t="str">
        <f>H04_S2_PLANIFICACIÓN_PDOT!D11</f>
        <v>Exclusiva_Crítica</v>
      </c>
      <c r="D12" s="67">
        <f>H04_S2_PLANIFICACIÓN_PDOT!E11</f>
        <v>1.5</v>
      </c>
      <c r="E12" s="61">
        <f>H04_S2_PLANIFICACIÓN_PDOT!K11</f>
        <v>1.1499999999999999</v>
      </c>
      <c r="F12" s="77">
        <f>H04_S2_PLANIFICACIÓN_PDOT!L11</f>
        <v>1</v>
      </c>
      <c r="G12" s="77">
        <f>H04_S2_PLANIFICACIÓN_PDOT!H11</f>
        <v>3.5447386020146597E-2</v>
      </c>
      <c r="H12" s="39" t="s">
        <v>477</v>
      </c>
      <c r="I12" s="39" t="s">
        <v>478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 t="str">
        <f>H04_S2_PLANIFICACIÓN_PDOT!A12</f>
        <v>SC-L-G-01</v>
      </c>
      <c r="B13" s="36" t="str">
        <f>H04_S2_PLANIFICACIÓN_PDOT!B12</f>
        <v>Alcantarillado sanitario: cobertura 19.77%→24.32%; PTAR 0%→75%; estaciones bombeo 36%→72%</v>
      </c>
      <c r="C13" s="36" t="str">
        <f>H04_S2_PLANIFICACIÓN_PDOT!D12</f>
        <v>Exclusiva_Crítica</v>
      </c>
      <c r="D13" s="66">
        <f>H04_S2_PLANIFICACIÓN_PDOT!E12</f>
        <v>1.5</v>
      </c>
      <c r="E13" s="51">
        <f>H04_S2_PLANIFICACIÓN_PDOT!K12</f>
        <v>1</v>
      </c>
      <c r="F13" s="76">
        <f>H04_S2_PLANIFICACIÓN_PDOT!L12</f>
        <v>0.86956521739130443</v>
      </c>
      <c r="G13" s="76">
        <f>H04_S2_PLANIFICACIÓN_PDOT!H12</f>
        <v>7.8273728775865112E-3</v>
      </c>
      <c r="H13" s="36" t="s">
        <v>479</v>
      </c>
      <c r="I13" s="36" t="s">
        <v>480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tr">
        <f>H04_S2_PLANIFICACIÓN_PDOT!A13</f>
        <v>AH-I-X-04</v>
      </c>
      <c r="B14" s="39" t="str">
        <f>H04_S2_PLANIFICACIÓN_PDOT!B13</f>
        <v>Modernización recursos administrativos: parque automotor, tecnología e infraestructura municipal</v>
      </c>
      <c r="C14" s="39" t="str">
        <f>H04_S2_PLANIFICACIÓN_PDOT!D13</f>
        <v>Exclusiva_Importante</v>
      </c>
      <c r="D14" s="67">
        <f>H04_S2_PLANIFICACIÓN_PDOT!E13</f>
        <v>1</v>
      </c>
      <c r="E14" s="61">
        <f>H04_S2_PLANIFICACIÓN_PDOT!K13</f>
        <v>1</v>
      </c>
      <c r="F14" s="77">
        <f>H04_S2_PLANIFICACIÓN_PDOT!L13</f>
        <v>0.57971014492753625</v>
      </c>
      <c r="G14" s="77">
        <f>H04_S2_PLANIFICACIÓN_PDOT!H13</f>
        <v>2.3207452342439927E-2</v>
      </c>
      <c r="H14" s="39" t="s">
        <v>481</v>
      </c>
      <c r="I14" s="39" t="s">
        <v>482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tr">
        <f>H04_S2_PLANIFICACIÓN_PDOT!A14</f>
        <v>PI-I-G-01</v>
      </c>
      <c r="B15" s="36" t="str">
        <f>H04_S2_PLANIFICACIÓN_PDOT!B14</f>
        <v>Equipamientos públicos: terminal terrestre, mercado, estación bomberil, centro salud tipo C, mantenimiento espacios recreativos</v>
      </c>
      <c r="C15" s="36" t="str">
        <f>H04_S2_PLANIFICACIÓN_PDOT!D14</f>
        <v>Exclusiva_Importante</v>
      </c>
      <c r="D15" s="66">
        <f>H04_S2_PLANIFICACIÓN_PDOT!E14</f>
        <v>1</v>
      </c>
      <c r="E15" s="51">
        <f>H04_S2_PLANIFICACIÓN_PDOT!K14</f>
        <v>1</v>
      </c>
      <c r="F15" s="76">
        <f>H04_S2_PLANIFICACIÓN_PDOT!L14</f>
        <v>0.57971014492753625</v>
      </c>
      <c r="G15" s="76">
        <f>H04_S2_PLANIFICACIÓN_PDOT!H14</f>
        <v>1.5955769160784519E-2</v>
      </c>
      <c r="H15" s="36" t="s">
        <v>483</v>
      </c>
      <c r="I15" s="36" t="s">
        <v>484</v>
      </c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tr">
        <f>H04_S2_PLANIFICACIÓN_PDOT!A15</f>
        <v>AH-C-X-01</v>
      </c>
      <c r="B16" s="39" t="str">
        <f>H04_S2_PLANIFICACIÓN_PDOT!B15</f>
        <v>Protección derechos sociales: atenciones grupos prioritarios 943→1,649 (+15%/año); CDI; adultos mayores; violencia de género</v>
      </c>
      <c r="C16" s="39" t="str">
        <f>H04_S2_PLANIFICACIÓN_PDOT!D15</f>
        <v>Complementaria</v>
      </c>
      <c r="D16" s="67">
        <f>H04_S2_PLANIFICACIÓN_PDOT!E15</f>
        <v>0.5</v>
      </c>
      <c r="E16" s="61">
        <f>H04_S2_PLANIFICACIÓN_PDOT!K15</f>
        <v>1.1499999999999999</v>
      </c>
      <c r="F16" s="77">
        <f>H04_S2_PLANIFICACIÓN_PDOT!L15</f>
        <v>0.33333333333333331</v>
      </c>
      <c r="G16" s="77">
        <f>H04_S2_PLANIFICACIÓN_PDOT!H15</f>
        <v>1.08181781153198E-2</v>
      </c>
      <c r="H16" s="39" t="s">
        <v>485</v>
      </c>
      <c r="I16" s="39" t="s">
        <v>486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tr">
        <f>H04_S2_PLANIFICACIÓN_PDOT!A16</f>
        <v>AH-C-X-02</v>
      </c>
      <c r="B17" s="36" t="str">
        <f>H04_S2_PLANIFICACIÓN_PDOT!B16</f>
        <v>Sistema información territorial: catastro urbano-rural 19.52%→80%; 12 procesos sistematizados; 37 trámites en línea</v>
      </c>
      <c r="C17" s="36" t="str">
        <f>H04_S2_PLANIFICACIÓN_PDOT!D16</f>
        <v>Exclusiva_Importante</v>
      </c>
      <c r="D17" s="66">
        <f>H04_S2_PLANIFICACIÓN_PDOT!E16</f>
        <v>1</v>
      </c>
      <c r="E17" s="51">
        <f>H04_S2_PLANIFICACIÓN_PDOT!K16</f>
        <v>1</v>
      </c>
      <c r="F17" s="76">
        <f>H04_S2_PLANIFICACIÓN_PDOT!L16</f>
        <v>0.57971014492753625</v>
      </c>
      <c r="G17" s="76">
        <f>H04_S2_PLANIFICACIÓN_PDOT!H16</f>
        <v>1.1215753872178297E-2</v>
      </c>
      <c r="H17" s="36" t="s">
        <v>487</v>
      </c>
      <c r="I17" s="36" t="s">
        <v>488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tr">
        <f>H04_S2_PLANIFICACIÓN_PDOT!A17</f>
        <v>SC-I-N-03</v>
      </c>
      <c r="B18" s="39" t="str">
        <f>H04_S2_PLANIFICACIÓN_PDOT!B17</f>
        <v>Participación ciudadana: 50→100 Unidades Territoriales participativas; 2→4 instancias efectivas (COPFP Art.115)</v>
      </c>
      <c r="C18" s="39" t="str">
        <f>H04_S2_PLANIFICACIÓN_PDOT!D17</f>
        <v>Exclusiva_Importante</v>
      </c>
      <c r="D18" s="67">
        <f>H04_S2_PLANIFICACIÓN_PDOT!E17</f>
        <v>1</v>
      </c>
      <c r="E18" s="61">
        <f>H04_S2_PLANIFICACIÓN_PDOT!K17</f>
        <v>1</v>
      </c>
      <c r="F18" s="77">
        <f>H04_S2_PLANIFICACIÓN_PDOT!L17</f>
        <v>0.57971014492753625</v>
      </c>
      <c r="G18" s="77">
        <f>H04_S2_PLANIFICACIÓN_PDOT!H17</f>
        <v>8.5001080419824218E-4</v>
      </c>
      <c r="H18" s="39" t="s">
        <v>489</v>
      </c>
      <c r="I18" s="39" t="s">
        <v>490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tr">
        <f>H04_S2_PLANIFICACIÓN_PDOT!A18</f>
        <v>FA-I-X-01</v>
      </c>
      <c r="B19" s="36" t="str">
        <f>H04_S2_PLANIFICACIÓN_PDOT!B18</f>
        <v>Gestión del riesgo: reducir 10% infraestructura susceptible (3,655→2,398 unidades); alerta temprana climática</v>
      </c>
      <c r="C19" s="36" t="str">
        <f>H04_S2_PLANIFICACIÓN_PDOT!D18</f>
        <v>Exclusiva_Importante</v>
      </c>
      <c r="D19" s="66">
        <f>H04_S2_PLANIFICACIÓN_PDOT!E18</f>
        <v>1</v>
      </c>
      <c r="E19" s="51">
        <f>H04_S2_PLANIFICACIÓN_PDOT!K18</f>
        <v>1.1499999999999999</v>
      </c>
      <c r="F19" s="76">
        <f>H04_S2_PLANIFICACIÓN_PDOT!L18</f>
        <v>0.66666666666666663</v>
      </c>
      <c r="G19" s="76">
        <f>H04_S2_PLANIFICACIÓN_PDOT!H18</f>
        <v>5.8557669614817268E-3</v>
      </c>
      <c r="H19" s="36" t="s">
        <v>491</v>
      </c>
      <c r="I19" s="36" t="s">
        <v>492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tr">
        <f>H04_S2_PLANIFICACIÓN_PDOT!A19</f>
        <v>FA-C-X-01</v>
      </c>
      <c r="B20" s="39" t="str">
        <f>H04_S2_PLANIFICACIÓN_PDOT!B19</f>
        <v>Áreas verdes y parques: IVU 10.94→17.32 m²/hab; parques inter-barriales; recuperación manglar perfil costero</v>
      </c>
      <c r="C20" s="39" t="str">
        <f>H04_S2_PLANIFICACIÓN_PDOT!D19</f>
        <v>Exclusiva_Importante</v>
      </c>
      <c r="D20" s="67">
        <f>H04_S2_PLANIFICACIÓN_PDOT!E19</f>
        <v>1</v>
      </c>
      <c r="E20" s="61">
        <f>H04_S2_PLANIFICACIÓN_PDOT!K19</f>
        <v>1.1499999999999999</v>
      </c>
      <c r="F20" s="77">
        <f>H04_S2_PLANIFICACIÓN_PDOT!L19</f>
        <v>0.66666666666666663</v>
      </c>
      <c r="G20" s="77">
        <f>H04_S2_PLANIFICACIÓN_PDOT!H19</f>
        <v>4.3764153080547638E-3</v>
      </c>
      <c r="H20" s="39" t="s">
        <v>493</v>
      </c>
      <c r="I20" s="39" t="s">
        <v>494</v>
      </c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tr">
        <f>H04_S2_PLANIFICACIÓN_PDOT!A20</f>
        <v>FA-I-X-02</v>
      </c>
      <c r="B21" s="36" t="str">
        <f>H04_S2_PLANIFICACIÓN_PDOT!B20</f>
        <v>Índice equipamiento urbano CUP 9.96→10.73 m²/hab; recolección desechos 91.95%→97.95%; 77.83→81.07 km/día barrido</v>
      </c>
      <c r="C21" s="36" t="str">
        <f>H04_S2_PLANIFICACIÓN_PDOT!D20</f>
        <v>Exclusiva_Importante</v>
      </c>
      <c r="D21" s="66">
        <f>H04_S2_PLANIFICACIÓN_PDOT!E20</f>
        <v>1</v>
      </c>
      <c r="E21" s="51">
        <f>H04_S2_PLANIFICACIÓN_PDOT!K20</f>
        <v>1</v>
      </c>
      <c r="F21" s="76">
        <f>H04_S2_PLANIFICACIÓN_PDOT!L20</f>
        <v>0.57971014492753625</v>
      </c>
      <c r="G21" s="76">
        <f>H04_S2_PLANIFICACIÓN_PDOT!H20</f>
        <v>3.0831932140758928E-2</v>
      </c>
      <c r="H21" s="36" t="s">
        <v>495</v>
      </c>
      <c r="I21" s="36" t="s">
        <v>496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H04_S2_PLANIFICACIÓN_PDOT!A21</f>
        <v>FA-L-N-01</v>
      </c>
      <c r="B22" s="39" t="str">
        <f>H04_S2_PLANIFICACIÓN_PDOT!B21</f>
        <v>Inventario patrimonial 100% al 2026; 8,000→10,000 participantes eventos culturales; Museo del Sombrero</v>
      </c>
      <c r="C22" s="39" t="str">
        <f>H04_S2_PLANIFICACIÓN_PDOT!D21</f>
        <v>Exclusiva_Importante</v>
      </c>
      <c r="D22" s="67">
        <f>H04_S2_PLANIFICACIÓN_PDOT!E21</f>
        <v>1</v>
      </c>
      <c r="E22" s="61">
        <f>H04_S2_PLANIFICACIÓN_PDOT!K21</f>
        <v>1</v>
      </c>
      <c r="F22" s="77">
        <f>H04_S2_PLANIFICACIÓN_PDOT!L21</f>
        <v>0.57971014492753625</v>
      </c>
      <c r="G22" s="77">
        <f>H04_S2_PLANIFICACIÓN_PDOT!H21</f>
        <v>3.0724161372806774E-3</v>
      </c>
      <c r="H22" s="39" t="s">
        <v>497</v>
      </c>
      <c r="I22" s="39" t="s">
        <v>498</v>
      </c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tr">
        <f>H04_S2_PLANIFICACIÓN_PDOT!A22</f>
        <v>PI-I-G-02</v>
      </c>
      <c r="B23" s="36" t="str">
        <f>H04_S2_PLANIFICACIÓN_PDOT!B22</f>
        <v>Cumplimiento PDOT/PUGS 0%→80%; SIL 19.52%→80%; 37 trámites digitales implementados</v>
      </c>
      <c r="C23" s="36" t="str">
        <f>H04_S2_PLANIFICACIÓN_PDOT!D22</f>
        <v>Exclusiva_Importante</v>
      </c>
      <c r="D23" s="66">
        <f>H04_S2_PLANIFICACIÓN_PDOT!E22</f>
        <v>1</v>
      </c>
      <c r="E23" s="51">
        <f>H04_S2_PLANIFICACIÓN_PDOT!K22</f>
        <v>1</v>
      </c>
      <c r="F23" s="76">
        <f>H04_S2_PLANIFICACIÓN_PDOT!L22</f>
        <v>0.57971014492753625</v>
      </c>
      <c r="G23" s="76">
        <f>H04_S2_PLANIFICACIÓN_PDOT!H22</f>
        <v>2.9153829592694054E-3</v>
      </c>
      <c r="H23" s="36" t="s">
        <v>499</v>
      </c>
      <c r="I23" s="36" t="s">
        <v>500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tr">
        <f>H04_S2_PLANIFICACIÓN_PDOT!A23</f>
        <v>PI-L-G-01</v>
      </c>
      <c r="B24" s="39" t="str">
        <f>H04_S2_PLANIFICACIÓN_PDOT!B23</f>
        <v>Señalización vial 0→10,000 m²; 0→8 semáforos; revisiones técnicas 4,000→20,000; educación vial 40 instituciones</v>
      </c>
      <c r="C24" s="39" t="str">
        <f>H04_S2_PLANIFICACIÓN_PDOT!D23</f>
        <v>Exclusiva_Importante</v>
      </c>
      <c r="D24" s="67">
        <f>H04_S2_PLANIFICACIÓN_PDOT!E23</f>
        <v>1</v>
      </c>
      <c r="E24" s="61">
        <f>H04_S2_PLANIFICACIÓN_PDOT!K23</f>
        <v>1</v>
      </c>
      <c r="F24" s="77">
        <f>H04_S2_PLANIFICACIÓN_PDOT!L23</f>
        <v>0.57971014492753625</v>
      </c>
      <c r="G24" s="77">
        <f>H04_S2_PLANIFICACIÓN_PDOT!H23</f>
        <v>1.6698181788056838E-3</v>
      </c>
      <c r="H24" s="39" t="s">
        <v>501</v>
      </c>
      <c r="I24" s="39" t="s">
        <v>502</v>
      </c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tr">
        <f>H04_S2_PLANIFICACIÓN_PDOT!A24</f>
        <v>EP-L-N-01</v>
      </c>
      <c r="B25" s="36" t="str">
        <f>H04_S2_PLANIFICACIÓN_PDOT!B24</f>
        <v>Vivienda de interés social: 50 VIS/VIP hasta 2027; reducción déficit habitacional cualitativo</v>
      </c>
      <c r="C25" s="36" t="str">
        <f>H04_S2_PLANIFICACIÓN_PDOT!D24</f>
        <v>Exclusiva_Importante</v>
      </c>
      <c r="D25" s="66">
        <f>H04_S2_PLANIFICACIÓN_PDOT!E24</f>
        <v>1</v>
      </c>
      <c r="E25" s="51">
        <f>H04_S2_PLANIFICACIÓN_PDOT!K24</f>
        <v>1</v>
      </c>
      <c r="F25" s="76">
        <f>H04_S2_PLANIFICACIÓN_PDOT!L24</f>
        <v>0.57971014492753625</v>
      </c>
      <c r="G25" s="76">
        <f>H04_S2_PLANIFICACIÓN_PDOT!H24</f>
        <v>1.9971247321263993E-3</v>
      </c>
      <c r="H25" s="36" t="s">
        <v>503</v>
      </c>
      <c r="I25" s="36" t="s">
        <v>504</v>
      </c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50" t="str">
        <f>H04_S2_PLANIFICACIÓN_PDOT!A25</f>
        <v>EP-L-X-01</v>
      </c>
      <c r="B26" s="39" t="str">
        <f>H04_S2_PLANIFICACIÓN_PDOT!B25</f>
        <v>Fortalecimiento productivo: beneficiarios artesanos, mipymes, emprendedores, huertos comunitarios y cadenas de valor</v>
      </c>
      <c r="C26" s="39" t="str">
        <f>H04_S2_PLANIFICACIÓN_PDOT!D25</f>
        <v>Complementaria</v>
      </c>
      <c r="D26" s="67">
        <f>H04_S2_PLANIFICACIÓN_PDOT!E25</f>
        <v>0.5</v>
      </c>
      <c r="E26" s="61">
        <f>H04_S2_PLANIFICACIÓN_PDOT!K25</f>
        <v>1</v>
      </c>
      <c r="F26" s="77">
        <f>H04_S2_PLANIFICACIÓN_PDOT!L25</f>
        <v>0.28985507246376813</v>
      </c>
      <c r="G26" s="77">
        <f>H04_S2_PLANIFICACIÓN_PDOT!H25</f>
        <v>1.4199556845418699E-3</v>
      </c>
      <c r="H26" s="39" t="s">
        <v>505</v>
      </c>
      <c r="I26" s="39" t="s">
        <v>506</v>
      </c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118" t="s">
        <v>507</v>
      </c>
      <c r="B27" s="46"/>
      <c r="C27" s="46"/>
      <c r="D27" s="46"/>
      <c r="E27" s="46"/>
      <c r="F27" s="46"/>
      <c r="G27" s="79">
        <f>SUM(G7:G26)</f>
        <v>1.0000000000000002</v>
      </c>
      <c r="H27" s="119" t="s">
        <v>508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7"/>
    </row>
  </sheetData>
  <hyperlinks>
    <hyperlink ref="B1" location="'H00_ÍNDICE'!A1" display="⬅️ ÍNDICE GENERAL" xr:uid="{5B01920A-85B8-41BE-800C-3B4384FBA14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7099-BDE8-4868-884F-294A3D6EBBFA}">
  <sheetPr>
    <tabColor rgb="FF6B46C1"/>
  </sheetPr>
  <dimension ref="A1:Z33"/>
  <sheetViews>
    <sheetView zoomScale="78" zoomScaleNormal="78" workbookViewId="0">
      <pane ySplit="2" topLeftCell="A3" activePane="bottomLeft" state="frozen"/>
      <selection activeCell="B1" sqref="B1"/>
      <selection pane="bottomLeft" activeCell="B7" sqref="B7"/>
    </sheetView>
  </sheetViews>
  <sheetFormatPr baseColWidth="10" defaultRowHeight="14.4" x14ac:dyDescent="0.3"/>
  <cols>
    <col min="1" max="1" width="61.109375" customWidth="1"/>
    <col min="2" max="2" width="106.33203125" bestFit="1" customWidth="1"/>
    <col min="3" max="3" width="47.77734375" bestFit="1" customWidth="1"/>
    <col min="4" max="4" width="16.44140625" bestFit="1" customWidth="1"/>
    <col min="5" max="5" width="8.88671875" bestFit="1" customWidth="1"/>
    <col min="6" max="6" width="8.10937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1143</v>
      </c>
      <c r="E1" s="212" t="str">
        <f ca="1">TEXT(TODAY(),"DD/MM/YYYY")</f>
        <v>05/04/2026</v>
      </c>
    </row>
    <row r="2" spans="1:26" ht="30" customHeight="1" x14ac:dyDescent="0.35">
      <c r="A2" s="1" t="s">
        <v>510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511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30" t="s">
        <v>512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8" x14ac:dyDescent="0.35">
      <c r="A6" s="3" t="s">
        <v>513</v>
      </c>
      <c r="B6" s="17">
        <f>H12_MOTOR_ICPI_CANÓNICO!B28</f>
        <v>72.933457177838463</v>
      </c>
      <c r="C6" s="15" t="s">
        <v>514</v>
      </c>
    </row>
    <row r="7" spans="1:26" x14ac:dyDescent="0.3">
      <c r="A7" s="3" t="s">
        <v>414</v>
      </c>
      <c r="B7" s="285" t="str">
        <f>H12_MOTOR_ICPI_CANÓNICO!B29</f>
        <v>🟢 Gestión por Mandato</v>
      </c>
    </row>
    <row r="8" spans="1:26" x14ac:dyDescent="0.3">
      <c r="A8" s="120" t="s">
        <v>415</v>
      </c>
      <c r="B8" s="65">
        <f>H12_MOTOR_ICPI_CANÓNICO!B30</f>
        <v>100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1" t="s">
        <v>416</v>
      </c>
      <c r="B9" s="66">
        <f>H12_MOTOR_ICPI_CANÓNICO!B31</f>
        <v>27.066542822161537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42" t="s">
        <v>417</v>
      </c>
      <c r="B10" s="39" t="str">
        <f>H12_MOTOR_ICPI_CANÓNICO!B32</f>
        <v>⚠️ Brecha moderada — vigilar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42" t="s">
        <v>515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4" t="s">
        <v>192</v>
      </c>
      <c r="B13" s="121" t="s">
        <v>381</v>
      </c>
      <c r="C13" s="121" t="s">
        <v>516</v>
      </c>
      <c r="D13" s="121" t="s">
        <v>408</v>
      </c>
      <c r="E13" s="121" t="s">
        <v>465</v>
      </c>
      <c r="F13" s="121" t="s">
        <v>198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tr">
        <f>H12_MOTOR_ICPI_CANÓNICO!A6</f>
        <v>SC-I-N-01</v>
      </c>
      <c r="B14" s="39" t="str">
        <f>H04_S2_PLANIFICACIÓN_PDOT!B6</f>
        <v>Agua potable: cobertura 39.25%→42.38%; calidad 100% INEN 1108; infraestructura BUENA 22.74%→41.64%</v>
      </c>
      <c r="C14" s="67">
        <f>H12_MOTOR_ICPI_CANÓNICO!J6</f>
        <v>95</v>
      </c>
      <c r="D14" s="39" t="str">
        <f>H12_MOTOR_ICPI_CANÓNICO!K6</f>
        <v>🔵 Excelencia</v>
      </c>
      <c r="E14" s="77">
        <f>H12_MOTOR_ICPI_CANÓNICO!B6</f>
        <v>0.28912002443494439</v>
      </c>
      <c r="F14" s="77">
        <f>H12_MOTOR_ICPI_CANÓNICO!C6</f>
        <v>0.86956521739130443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tr">
        <f>H12_MOTOR_ICPI_CANÓNICO!A7</f>
        <v>SC-L-N-02</v>
      </c>
      <c r="B15" s="36" t="str">
        <f>H04_S2_PLANIFICACIÓN_PDOT!B7</f>
        <v>Gestión del talento humano municipal: desempeño 80%→90%; plan capacitación 90% anual</v>
      </c>
      <c r="C15" s="66">
        <f>H12_MOTOR_ICPI_CANÓNICO!J7</f>
        <v>85</v>
      </c>
      <c r="D15" s="36" t="str">
        <f>H12_MOTOR_ICPI_CANÓNICO!K7</f>
        <v>🟢 Por Mandato</v>
      </c>
      <c r="E15" s="76">
        <f>H12_MOTOR_ICPI_CANÓNICO!B7</f>
        <v>0.32531485287798495</v>
      </c>
      <c r="F15" s="76">
        <f>H12_MOTOR_ICPI_CANÓNICO!C7</f>
        <v>0.57971014492753625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tr">
        <f>H12_MOTOR_ICPI_CANÓNICO!A8</f>
        <v>AH-I-X-01</v>
      </c>
      <c r="B16" s="39" t="str">
        <f>H04_S2_PLANIFICACIÓN_PDOT!B8</f>
        <v>Sostenibilidad financiera: autonomía 43.35%→45.30%; gestión cobros y coactivas</v>
      </c>
      <c r="C16" s="67">
        <f>H12_MOTOR_ICPI_CANÓNICO!J8</f>
        <v>58.320000000000007</v>
      </c>
      <c r="D16" s="39" t="str">
        <f>H12_MOTOR_ICPI_CANÓNICO!K8</f>
        <v>🟡 Transición</v>
      </c>
      <c r="E16" s="77">
        <f>H12_MOTOR_ICPI_CANÓNICO!B8</f>
        <v>0.12454728141026002</v>
      </c>
      <c r="F16" s="77">
        <f>H12_MOTOR_ICPI_CANÓNICO!C8</f>
        <v>0.57971014492753625</v>
      </c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tr">
        <f>H12_MOTOR_ICPI_CANÓNICO!A9</f>
        <v>AH-I-X-02</v>
      </c>
      <c r="B17" s="36" t="str">
        <f>H04_S2_PLANIFICACIÓN_PDOT!B9</f>
        <v>Vialidad cantonal: mantenimiento 43.8 km vías CUP + 57.22 km rurales; 23.77 km tratamiento medio</v>
      </c>
      <c r="C17" s="66">
        <f>H12_MOTOR_ICPI_CANÓNICO!J9</f>
        <v>0</v>
      </c>
      <c r="D17" s="36" t="str">
        <f>H12_MOTOR_ICPI_CANÓNICO!K9</f>
        <v>🔴 Ruptura</v>
      </c>
      <c r="E17" s="76">
        <f>H12_MOTOR_ICPI_CANÓNICO!B9</f>
        <v>6.7296692948828146E-2</v>
      </c>
      <c r="F17" s="76">
        <f>H12_MOTOR_ICPI_CANÓNICO!C9</f>
        <v>0.86956521739130443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tr">
        <f>H12_MOTOR_ICPI_CANÓNICO!A10</f>
        <v>AH-I-X-03</v>
      </c>
      <c r="B18" s="39" t="str">
        <f>H04_S2_PLANIFICACIÓN_PDOT!B10</f>
        <v>Salud integral municipal: población atendida 57,401→84,041 personas (+10% anual)</v>
      </c>
      <c r="C18" s="67">
        <f>H12_MOTOR_ICPI_CANÓNICO!J10</f>
        <v>58.320000000000007</v>
      </c>
      <c r="D18" s="39" t="str">
        <f>H12_MOTOR_ICPI_CANÓNICO!K10</f>
        <v>🟡 Transición</v>
      </c>
      <c r="E18" s="77">
        <f>H12_MOTOR_ICPI_CANÓNICO!B10</f>
        <v>3.626041303300917E-2</v>
      </c>
      <c r="F18" s="77">
        <f>H12_MOTOR_ICPI_CANÓNICO!C10</f>
        <v>0.28985507246376813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tr">
        <f>H12_MOTOR_ICPI_CANÓNICO!A11</f>
        <v>AH-I-N-01</v>
      </c>
      <c r="B19" s="36" t="str">
        <f>H04_S2_PLANIFICACIÓN_PDOT!B11</f>
        <v>Gestión integral desechos sólidos: 20,118→23,086 Tn/año; relleno sanitario; capacidad disposición 0%→20%</v>
      </c>
      <c r="C19" s="66">
        <f>H12_MOTOR_ICPI_CANÓNICO!J11</f>
        <v>22.5</v>
      </c>
      <c r="D19" s="36" t="str">
        <f>H12_MOTOR_ICPI_CANÓNICO!K11</f>
        <v>🟠 Por Ocurrencia</v>
      </c>
      <c r="E19" s="76">
        <f>H12_MOTOR_ICPI_CANÓNICO!B11</f>
        <v>3.5447386020146597E-2</v>
      </c>
      <c r="F19" s="76">
        <f>H12_MOTOR_ICPI_CANÓNICO!C11</f>
        <v>1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tr">
        <f>H12_MOTOR_ICPI_CANÓNICO!A12</f>
        <v>SC-L-G-01</v>
      </c>
      <c r="B20" s="39" t="str">
        <f>H04_S2_PLANIFICACIÓN_PDOT!B12</f>
        <v>Alcantarillado sanitario: cobertura 19.77%→24.32%; PTAR 0%→75%; estaciones bombeo 36%→72%</v>
      </c>
      <c r="C20" s="67">
        <f>H12_MOTOR_ICPI_CANÓNICO!J12</f>
        <v>47.8125</v>
      </c>
      <c r="D20" s="39" t="str">
        <f>H12_MOTOR_ICPI_CANÓNICO!K12</f>
        <v>🟡 Transición</v>
      </c>
      <c r="E20" s="77">
        <f>H12_MOTOR_ICPI_CANÓNICO!B12</f>
        <v>7.8273728775865112E-3</v>
      </c>
      <c r="F20" s="77">
        <f>H12_MOTOR_ICPI_CANÓNICO!C12</f>
        <v>0.86956521739130443</v>
      </c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tr">
        <f>H12_MOTOR_ICPI_CANÓNICO!A13</f>
        <v>AH-I-X-04</v>
      </c>
      <c r="B21" s="36" t="str">
        <f>H04_S2_PLANIFICACIÓN_PDOT!B13</f>
        <v>Modernización recursos administrativos: parque automotor, tecnología e infraestructura municipal</v>
      </c>
      <c r="C21" s="66">
        <f>H12_MOTOR_ICPI_CANÓNICO!J13</f>
        <v>40.5</v>
      </c>
      <c r="D21" s="36" t="str">
        <f>H12_MOTOR_ICPI_CANÓNICO!K13</f>
        <v>🟡 Transición</v>
      </c>
      <c r="E21" s="76">
        <f>H12_MOTOR_ICPI_CANÓNICO!B13</f>
        <v>2.3207452342439927E-2</v>
      </c>
      <c r="F21" s="76">
        <f>H12_MOTOR_ICPI_CANÓNICO!C13</f>
        <v>0.57971014492753625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H12_MOTOR_ICPI_CANÓNICO!A14</f>
        <v>PI-I-G-01</v>
      </c>
      <c r="B22" s="39" t="str">
        <f>H04_S2_PLANIFICACIÓN_PDOT!B14</f>
        <v>Equipamientos públicos: terminal terrestre, mercado, estación bomberil, centro salud tipo C, mantenimiento espacios recreativos</v>
      </c>
      <c r="C22" s="67">
        <f>H12_MOTOR_ICPI_CANÓNICO!J14</f>
        <v>85.000000000000014</v>
      </c>
      <c r="D22" s="39" t="str">
        <f>H12_MOTOR_ICPI_CANÓNICO!K14</f>
        <v>🟢 Por Mandato</v>
      </c>
      <c r="E22" s="77">
        <f>H12_MOTOR_ICPI_CANÓNICO!B14</f>
        <v>1.5955769160784519E-2</v>
      </c>
      <c r="F22" s="77">
        <f>H12_MOTOR_ICPI_CANÓNICO!C14</f>
        <v>0.57971014492753625</v>
      </c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tr">
        <f>H12_MOTOR_ICPI_CANÓNICO!A15</f>
        <v>AH-C-X-01</v>
      </c>
      <c r="B23" s="36" t="str">
        <f>H04_S2_PLANIFICACIÓN_PDOT!B15</f>
        <v>Protección derechos sociales: atenciones grupos prioritarios 943→1,649 (+15%/año); CDI; adultos mayores; violencia de género</v>
      </c>
      <c r="C23" s="66">
        <f>H12_MOTOR_ICPI_CANÓNICO!J15</f>
        <v>72</v>
      </c>
      <c r="D23" s="36" t="str">
        <f>H12_MOTOR_ICPI_CANÓNICO!K15</f>
        <v>🟢 Por Mandato</v>
      </c>
      <c r="E23" s="76">
        <f>H12_MOTOR_ICPI_CANÓNICO!B15</f>
        <v>1.08181781153198E-2</v>
      </c>
      <c r="F23" s="76">
        <f>H12_MOTOR_ICPI_CANÓNICO!C15</f>
        <v>0.33333333333333331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tr">
        <f>H12_MOTOR_ICPI_CANÓNICO!A16</f>
        <v>AH-C-X-02</v>
      </c>
      <c r="B24" s="39" t="str">
        <f>H04_S2_PLANIFICACIÓN_PDOT!B16</f>
        <v>Sistema información territorial: catastro urbano-rural 19.52%→80%; 12 procesos sistematizados; 37 trámites en línea</v>
      </c>
      <c r="C24" s="67">
        <f>H12_MOTOR_ICPI_CANÓNICO!J16</f>
        <v>72.000000000000014</v>
      </c>
      <c r="D24" s="39" t="str">
        <f>H12_MOTOR_ICPI_CANÓNICO!K16</f>
        <v>🟢 Por Mandato</v>
      </c>
      <c r="E24" s="77">
        <f>H12_MOTOR_ICPI_CANÓNICO!B16</f>
        <v>1.1215753872178297E-2</v>
      </c>
      <c r="F24" s="77">
        <f>H12_MOTOR_ICPI_CANÓNICO!C16</f>
        <v>0.57971014492753625</v>
      </c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tr">
        <f>H12_MOTOR_ICPI_CANÓNICO!A17</f>
        <v>SC-I-N-03</v>
      </c>
      <c r="B25" s="36" t="str">
        <f>H04_S2_PLANIFICACIÓN_PDOT!B17</f>
        <v>Participación ciudadana: 50→100 Unidades Territoriales participativas; 2→4 instancias efectivas (COPFP Art.115)</v>
      </c>
      <c r="C25" s="66">
        <f>H12_MOTOR_ICPI_CANÓNICO!J17</f>
        <v>53.437499999999993</v>
      </c>
      <c r="D25" s="36" t="str">
        <f>H12_MOTOR_ICPI_CANÓNICO!K17</f>
        <v>🟡 Transición</v>
      </c>
      <c r="E25" s="76">
        <f>H12_MOTOR_ICPI_CANÓNICO!B17</f>
        <v>8.5001080419824218E-4</v>
      </c>
      <c r="F25" s="76">
        <f>H12_MOTOR_ICPI_CANÓNICO!C17</f>
        <v>0.57971014492753625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50" t="str">
        <f>H12_MOTOR_ICPI_CANÓNICO!A18</f>
        <v>FA-I-X-01</v>
      </c>
      <c r="B26" s="39" t="str">
        <f>H04_S2_PLANIFICACIÓN_PDOT!B18</f>
        <v>Gestión del riesgo: reducir 10% infraestructura susceptible (3,655→2,398 unidades); alerta temprana climática</v>
      </c>
      <c r="C26" s="67">
        <f>H12_MOTOR_ICPI_CANÓNICO!J18</f>
        <v>64.999999999999986</v>
      </c>
      <c r="D26" s="39" t="str">
        <f>H12_MOTOR_ICPI_CANÓNICO!K18</f>
        <v>🟡 Transición</v>
      </c>
      <c r="E26" s="77">
        <f>H12_MOTOR_ICPI_CANÓNICO!B18</f>
        <v>5.8557669614817268E-3</v>
      </c>
      <c r="F26" s="77">
        <f>H12_MOTOR_ICPI_CANÓNICO!C18</f>
        <v>0.66666666666666663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9" t="str">
        <f>H12_MOTOR_ICPI_CANÓNICO!A19</f>
        <v>FA-C-X-01</v>
      </c>
      <c r="B27" s="36" t="str">
        <f>H04_S2_PLANIFICACIÓN_PDOT!B19</f>
        <v>Áreas verdes y parques: IVU 10.94→17.32 m²/hab; parques inter-barriales; recuperación manglar perfil costero</v>
      </c>
      <c r="C27" s="66">
        <f>H12_MOTOR_ICPI_CANÓNICO!J19</f>
        <v>80</v>
      </c>
      <c r="D27" s="36" t="str">
        <f>H12_MOTOR_ICPI_CANÓNICO!K19</f>
        <v>🟢 Por Mandato</v>
      </c>
      <c r="E27" s="76">
        <f>H12_MOTOR_ICPI_CANÓNICO!B19</f>
        <v>4.3764153080547638E-3</v>
      </c>
      <c r="F27" s="76">
        <f>H12_MOTOR_ICPI_CANÓNICO!C19</f>
        <v>0.66666666666666663</v>
      </c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50" t="str">
        <f>H12_MOTOR_ICPI_CANÓNICO!A20</f>
        <v>FA-I-X-02</v>
      </c>
      <c r="B28" s="39" t="str">
        <f>H04_S2_PLANIFICACIÓN_PDOT!B20</f>
        <v>Índice equipamiento urbano CUP 9.96→10.73 m²/hab; recolección desechos 91.95%→97.95%; 77.83→81.07 km/día barrido</v>
      </c>
      <c r="C28" s="67">
        <f>H12_MOTOR_ICPI_CANÓNICO!J20</f>
        <v>68.849999999999994</v>
      </c>
      <c r="D28" s="39" t="str">
        <f>H12_MOTOR_ICPI_CANÓNICO!K20</f>
        <v>🟡 Transición</v>
      </c>
      <c r="E28" s="77">
        <f>H12_MOTOR_ICPI_CANÓNICO!B20</f>
        <v>3.0831932140758928E-2</v>
      </c>
      <c r="F28" s="77">
        <f>H12_MOTOR_ICPI_CANÓNICO!C20</f>
        <v>0.57971014492753625</v>
      </c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1:26" x14ac:dyDescent="0.3">
      <c r="A29" s="49" t="str">
        <f>H12_MOTOR_ICPI_CANÓNICO!A21</f>
        <v>FA-L-N-01</v>
      </c>
      <c r="B29" s="36" t="str">
        <f>H04_S2_PLANIFICACIÓN_PDOT!B21</f>
        <v>Inventario patrimonial 100% al 2026; 8,000→10,000 participantes eventos culturales; Museo del Sombrero</v>
      </c>
      <c r="C29" s="66">
        <f>H12_MOTOR_ICPI_CANÓNICO!J21</f>
        <v>76.95</v>
      </c>
      <c r="D29" s="36" t="str">
        <f>H12_MOTOR_ICPI_CANÓNICO!K21</f>
        <v>🟢 Por Mandato</v>
      </c>
      <c r="E29" s="76">
        <f>H12_MOTOR_ICPI_CANÓNICO!B21</f>
        <v>3.0724161372806774E-3</v>
      </c>
      <c r="F29" s="76">
        <f>H12_MOTOR_ICPI_CANÓNICO!C21</f>
        <v>0.57971014492753625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8"/>
    </row>
    <row r="30" spans="1:26" x14ac:dyDescent="0.3">
      <c r="A30" s="50" t="str">
        <f>H12_MOTOR_ICPI_CANÓNICO!A22</f>
        <v>PI-I-G-02</v>
      </c>
      <c r="B30" s="39" t="str">
        <f>H04_S2_PLANIFICACIÓN_PDOT!B22</f>
        <v>Cumplimiento PDOT/PUGS 0%→80%; SIL 19.52%→80%; 37 trámites digitales implementados</v>
      </c>
      <c r="C30" s="67">
        <f>H12_MOTOR_ICPI_CANÓNICO!J22</f>
        <v>85</v>
      </c>
      <c r="D30" s="39" t="str">
        <f>H12_MOTOR_ICPI_CANÓNICO!K22</f>
        <v>🟢 Por Mandato</v>
      </c>
      <c r="E30" s="77">
        <f>H12_MOTOR_ICPI_CANÓNICO!B22</f>
        <v>2.9153829592694054E-3</v>
      </c>
      <c r="F30" s="77">
        <f>H12_MOTOR_ICPI_CANÓNICO!C22</f>
        <v>0.57971014492753625</v>
      </c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1:26" x14ac:dyDescent="0.3">
      <c r="A31" s="49" t="str">
        <f>H12_MOTOR_ICPI_CANÓNICO!A23</f>
        <v>PI-L-G-01</v>
      </c>
      <c r="B31" s="36" t="str">
        <f>H04_S2_PLANIFICACIÓN_PDOT!B23</f>
        <v>Señalización vial 0→10,000 m²; 0→8 semáforos; revisiones técnicas 4,000→20,000; educación vial 40 instituciones</v>
      </c>
      <c r="C31" s="66">
        <f>H12_MOTOR_ICPI_CANÓNICO!J23</f>
        <v>53.437499999999993</v>
      </c>
      <c r="D31" s="36" t="str">
        <f>H12_MOTOR_ICPI_CANÓNICO!K23</f>
        <v>🟡 Transición</v>
      </c>
      <c r="E31" s="76">
        <f>H12_MOTOR_ICPI_CANÓNICO!B23</f>
        <v>1.6698181788056838E-3</v>
      </c>
      <c r="F31" s="76">
        <f>H12_MOTOR_ICPI_CANÓNICO!C23</f>
        <v>0.57971014492753625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</row>
    <row r="32" spans="1:26" x14ac:dyDescent="0.3">
      <c r="A32" s="50" t="str">
        <f>H12_MOTOR_ICPI_CANÓNICO!A24</f>
        <v>EP-L-N-01</v>
      </c>
      <c r="B32" s="39" t="str">
        <f>H04_S2_PLANIFICACIÓN_PDOT!B24</f>
        <v>Vivienda de interés social: 50 VIS/VIP hasta 2027; reducción déficit habitacional cualitativo</v>
      </c>
      <c r="C32" s="67">
        <f>H12_MOTOR_ICPI_CANÓNICO!J24</f>
        <v>94.999999999999986</v>
      </c>
      <c r="D32" s="39" t="str">
        <f>H12_MOTOR_ICPI_CANÓNICO!K24</f>
        <v>🔵 Excelencia</v>
      </c>
      <c r="E32" s="77">
        <f>H12_MOTOR_ICPI_CANÓNICO!B24</f>
        <v>1.9971247321263993E-3</v>
      </c>
      <c r="F32" s="77">
        <f>H12_MOTOR_ICPI_CANÓNICO!C24</f>
        <v>0.57971014492753625</v>
      </c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40"/>
    </row>
    <row r="33" spans="1:26" x14ac:dyDescent="0.3">
      <c r="A33" s="72" t="str">
        <f>H12_MOTOR_ICPI_CANÓNICO!A25</f>
        <v>EP-L-X-01</v>
      </c>
      <c r="B33" s="46" t="str">
        <f>H04_S2_PLANIFICACIÓN_PDOT!B25</f>
        <v>Fortalecimiento productivo: beneficiarios artesanos, mipymes, emprendedores, huertos comunitarios y cadenas de valor</v>
      </c>
      <c r="C33" s="122">
        <f>H12_MOTOR_ICPI_CANÓNICO!J25</f>
        <v>85</v>
      </c>
      <c r="D33" s="46" t="str">
        <f>H12_MOTOR_ICPI_CANÓNICO!K25</f>
        <v>🟢 Por Mandato</v>
      </c>
      <c r="E33" s="79">
        <f>H12_MOTOR_ICPI_CANÓNICO!B25</f>
        <v>1.4199556845418699E-3</v>
      </c>
      <c r="F33" s="79">
        <f>H12_MOTOR_ICPI_CANÓNICO!C25</f>
        <v>0.28985507246376813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7"/>
    </row>
  </sheetData>
  <conditionalFormatting sqref="B6">
    <cfRule type="cellIs" dxfId="69" priority="6" operator="greaterThanOrEqual">
      <formula>90</formula>
    </cfRule>
    <cfRule type="cellIs" dxfId="68" priority="7" operator="greaterThanOrEqual">
      <formula>70</formula>
    </cfRule>
    <cfRule type="cellIs" dxfId="67" priority="8" operator="greaterThanOrEqual">
      <formula>40</formula>
    </cfRule>
    <cfRule type="cellIs" dxfId="66" priority="9" operator="greaterThanOrEqual">
      <formula>20</formula>
    </cfRule>
    <cfRule type="cellIs" dxfId="65" priority="10" operator="lessThan">
      <formula>20</formula>
    </cfRule>
  </conditionalFormatting>
  <conditionalFormatting sqref="C14:C33">
    <cfRule type="cellIs" dxfId="64" priority="11" operator="greaterThanOrEqual">
      <formula>90</formula>
    </cfRule>
    <cfRule type="cellIs" dxfId="63" priority="12" operator="greaterThanOrEqual">
      <formula>70</formula>
    </cfRule>
    <cfRule type="cellIs" dxfId="62" priority="13" operator="greaterThanOrEqual">
      <formula>40</formula>
    </cfRule>
    <cfRule type="cellIs" dxfId="61" priority="14" operator="greaterThanOrEqual">
      <formula>20</formula>
    </cfRule>
    <cfRule type="cellIs" dxfId="60" priority="15" operator="lessThan">
      <formula>20</formula>
    </cfRule>
  </conditionalFormatting>
  <hyperlinks>
    <hyperlink ref="B1" location="'H00_ÍNDICE'!A1" display="⬅️ ÍNDICE GENERAL" xr:uid="{49A11EE5-53BC-4D0E-872B-3EA943148A6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DDB9-C682-4461-90BC-54EFA0B33DC0}">
  <sheetPr>
    <tabColor rgb="FF6B46C1"/>
  </sheetPr>
  <dimension ref="A1:Z32"/>
  <sheetViews>
    <sheetView zoomScale="85" zoomScaleNormal="85" workbookViewId="0">
      <pane ySplit="2" topLeftCell="A5" activePane="bottomLeft" state="frozen"/>
      <selection activeCell="B1" sqref="B1"/>
      <selection pane="bottomLeft" activeCell="B7" sqref="B7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58.6640625" bestFit="1" customWidth="1"/>
    <col min="4" max="4" width="28.5546875" bestFit="1" customWidth="1"/>
    <col min="5" max="5" width="14" bestFit="1" customWidth="1"/>
    <col min="6" max="6" width="22.554687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1144</v>
      </c>
      <c r="E1" s="212" t="str">
        <f ca="1">TEXT(TODAY(),"DD/MM/YYYY")</f>
        <v>05/04/2026</v>
      </c>
    </row>
    <row r="2" spans="1:26" ht="30" customHeight="1" x14ac:dyDescent="0.35">
      <c r="A2" s="1" t="s">
        <v>517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518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30" t="s">
        <v>519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4" t="s">
        <v>520</v>
      </c>
    </row>
    <row r="7" spans="1:26" ht="17.399999999999999" x14ac:dyDescent="0.35">
      <c r="A7" s="3" t="s">
        <v>521</v>
      </c>
      <c r="B7" s="325">
        <f>H03_S1_ELECTORAL_CNE!B34</f>
        <v>77</v>
      </c>
      <c r="C7" s="15" t="s">
        <v>1564</v>
      </c>
    </row>
    <row r="8" spans="1:26" x14ac:dyDescent="0.3">
      <c r="A8" s="120" t="s">
        <v>190</v>
      </c>
      <c r="B8" s="34" t="str">
        <f>H03_S1_ELECTORAL_CNE!B35</f>
        <v>⚠️ Fidelidad Moderada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1" t="s">
        <v>522</v>
      </c>
      <c r="B9" s="235" t="str">
        <f>"El GAD convirtió el "&amp;TEXT(H03_S1_ELECTORAL_CNE!B34,"0.0")&amp;"% de sus promesas electorales en metas estratégicas del PDOT."</f>
        <v>El GAD convirtió el 77% de sus promesas electorales en metas estratégicas del PDOT.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1" t="s">
        <v>523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s="288" customFormat="1" x14ac:dyDescent="0.3">
      <c r="A12" s="227" t="s">
        <v>148</v>
      </c>
      <c r="B12" s="286" t="s">
        <v>524</v>
      </c>
      <c r="C12" s="286" t="s">
        <v>381</v>
      </c>
      <c r="D12" s="286" t="s">
        <v>525</v>
      </c>
      <c r="E12" s="286" t="s">
        <v>152</v>
      </c>
      <c r="F12" s="286" t="s">
        <v>153</v>
      </c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87"/>
    </row>
    <row r="13" spans="1:26" x14ac:dyDescent="0.3">
      <c r="A13" s="49" t="str">
        <f>H03_S1_ELECTORAL_CNE!A5</f>
        <v>ID_Promesa</v>
      </c>
      <c r="B13" s="36" t="str">
        <f>H03_S1_ELECTORAL_CNE!B5</f>
        <v>Eje_Estratégico</v>
      </c>
      <c r="C13" s="36" t="str">
        <f>H03_S1_ELECTORAL_CNE!C5</f>
        <v>Descripción_Promesa</v>
      </c>
      <c r="D13" s="36" t="str">
        <f>H03_S1_ELECTORAL_CNE!D5</f>
        <v>ID_Meta_PDOT_Vinculada</v>
      </c>
      <c r="E13" s="66" t="str">
        <f>H03_S1_ELECTORAL_CNE!E5</f>
        <v>Score_IFE</v>
      </c>
      <c r="F13" s="36" t="str">
        <f>H03_S1_ELECTORAL_CNE!F5</f>
        <v>Tipo_Vinculación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tr">
        <f>H03_S1_ELECTORAL_CNE!A6</f>
        <v>EC-001</v>
      </c>
      <c r="B14" s="39" t="str">
        <f>H03_S1_ELECTORAL_CNE!B6</f>
        <v>Económico</v>
      </c>
      <c r="C14" s="39" t="str">
        <f>H03_S1_ELECTORAL_CNE!C6</f>
        <v>Convertir a Montecristi en destino turístico nacional/internacional; rutas gastronómicas, ecoturísticas, eventos culturales</v>
      </c>
      <c r="D14" s="39" t="str">
        <f>H03_S1_ELECTORAL_CNE!D6</f>
        <v>EP-L-X-01</v>
      </c>
      <c r="E14" s="67">
        <f>H03_S1_ELECTORAL_CNE!E6</f>
        <v>1</v>
      </c>
      <c r="F14" s="39" t="str">
        <f>H03_S1_ELECTORAL_CNE!F6</f>
        <v>Directa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tr">
        <f>H03_S1_ELECTORAL_CNE!A7</f>
        <v>EC-002</v>
      </c>
      <c r="B15" s="36" t="str">
        <f>H03_S1_ELECTORAL_CNE!B7</f>
        <v>Económico</v>
      </c>
      <c r="C15" s="36" t="str">
        <f>H03_S1_ELECTORAL_CNE!C7</f>
        <v>Fomento al sector artesanal, MIPYMES y emprendedores; programa Ka-Larte es por Ti; Cuna de Emprendedores</v>
      </c>
      <c r="D15" s="36" t="str">
        <f>H03_S1_ELECTORAL_CNE!D7</f>
        <v>EP-L-N-01</v>
      </c>
      <c r="E15" s="66">
        <f>H03_S1_ELECTORAL_CNE!E7</f>
        <v>1</v>
      </c>
      <c r="F15" s="36" t="str">
        <f>H03_S1_ELECTORAL_CNE!F7</f>
        <v>Directa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tr">
        <f>H03_S1_ELECTORAL_CNE!A8</f>
        <v>EC-003</v>
      </c>
      <c r="B16" s="39" t="str">
        <f>H03_S1_ELECTORAL_CNE!B8</f>
        <v>Económico</v>
      </c>
      <c r="C16" s="39" t="str">
        <f>H03_S1_ELECTORAL_CNE!C8</f>
        <v>Gestión para repotenciar y ordenar el mercado municipal</v>
      </c>
      <c r="D16" s="39" t="str">
        <f>H03_S1_ELECTORAL_CNE!D8</f>
        <v>PI-I-G-01</v>
      </c>
      <c r="E16" s="67">
        <f>H03_S1_ELECTORAL_CNE!E8</f>
        <v>0.75</v>
      </c>
      <c r="F16" s="39" t="str">
        <f>H03_S1_ELECTORAL_CNE!F8</f>
        <v>Directa</v>
      </c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tr">
        <f>H03_S1_ELECTORAL_CNE!A9</f>
        <v>EC-004</v>
      </c>
      <c r="B17" s="36" t="str">
        <f>H03_S1_ELECTORAL_CNE!B9</f>
        <v>Económico</v>
      </c>
      <c r="C17" s="36" t="str">
        <f>H03_S1_ELECTORAL_CNE!C9</f>
        <v>Impulsar desarrollo turístico Playa San José e Isla de la Plata; manglar; Paseo Lúdico</v>
      </c>
      <c r="D17" s="36" t="str">
        <f>H03_S1_ELECTORAL_CNE!D9</f>
        <v>EP-L-X-01</v>
      </c>
      <c r="E17" s="66">
        <f>H03_S1_ELECTORAL_CNE!E9</f>
        <v>0.5</v>
      </c>
      <c r="F17" s="36" t="str">
        <f>H03_S1_ELECTORAL_CNE!F9</f>
        <v>Parcial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tr">
        <f>H03_S1_ELECTORAL_CNE!A10</f>
        <v>EC-005</v>
      </c>
      <c r="B18" s="39" t="str">
        <f>H03_S1_ELECTORAL_CNE!B10</f>
        <v>Económico</v>
      </c>
      <c r="C18" s="39" t="str">
        <f>H03_S1_ELECTORAL_CNE!C10</f>
        <v>Generación de ordenanzas para exoneración de tributos a nuevas empresas; alianzas sector privado para atracción de inversión</v>
      </c>
      <c r="D18" s="39" t="str">
        <f>H03_S1_ELECTORAL_CNE!D10</f>
        <v>—</v>
      </c>
      <c r="E18" s="67">
        <f>H03_S1_ELECTORAL_CNE!E10</f>
        <v>0</v>
      </c>
      <c r="F18" s="39" t="str">
        <f>H03_S1_ELECTORAL_CNE!F10</f>
        <v>Sin vínculo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tr">
        <f>H03_S1_ELECTORAL_CNE!A11</f>
        <v>IN-001</v>
      </c>
      <c r="B19" s="36" t="str">
        <f>H03_S1_ELECTORAL_CNE!B11</f>
        <v>Institucional</v>
      </c>
      <c r="C19" s="36" t="str">
        <f>H03_S1_ELECTORAL_CNE!C11</f>
        <v>Elaborar PDOT 2023 con ODS; planificación territorial 30 años; Plan Bicentenario</v>
      </c>
      <c r="D19" s="36" t="str">
        <f>H03_S1_ELECTORAL_CNE!D11</f>
        <v>PI-I-G-02</v>
      </c>
      <c r="E19" s="66">
        <f>H03_S1_ELECTORAL_CNE!E11</f>
        <v>1</v>
      </c>
      <c r="F19" s="36" t="str">
        <f>H03_S1_ELECTORAL_CNE!F11</f>
        <v>Directa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tr">
        <f>H03_S1_ELECTORAL_CNE!A12</f>
        <v>IN-002</v>
      </c>
      <c r="B20" s="39" t="str">
        <f>H03_S1_ELECTORAL_CNE!B12</f>
        <v>Institucional</v>
      </c>
      <c r="C20" s="39" t="str">
        <f>H03_S1_ELECTORAL_CNE!C12</f>
        <v>Actualización catastral urbana y rural; base de datos grupos vulnerables; registro y delimitación comunal</v>
      </c>
      <c r="D20" s="39" t="str">
        <f>H03_S1_ELECTORAL_CNE!D12</f>
        <v>AH-C-X-02</v>
      </c>
      <c r="E20" s="67">
        <f>H03_S1_ELECTORAL_CNE!E12</f>
        <v>1</v>
      </c>
      <c r="F20" s="39" t="str">
        <f>H03_S1_ELECTORAL_CNE!F12</f>
        <v>Directa</v>
      </c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tr">
        <f>H03_S1_ELECTORAL_CNE!A13</f>
        <v>IN-003</v>
      </c>
      <c r="B21" s="36" t="str">
        <f>H03_S1_ELECTORAL_CNE!B13</f>
        <v>Institucional</v>
      </c>
      <c r="C21" s="36" t="str">
        <f>H03_S1_ELECTORAL_CNE!C13</f>
        <v>Transformación digital del GAD; plataforma digital de trámites; gobierno electrónico abierto; mejora equipos informáticos</v>
      </c>
      <c r="D21" s="36" t="str">
        <f>H03_S1_ELECTORAL_CNE!D13</f>
        <v>AH-C-X-02</v>
      </c>
      <c r="E21" s="66">
        <f>H03_S1_ELECTORAL_CNE!E13</f>
        <v>0.75</v>
      </c>
      <c r="F21" s="36" t="str">
        <f>H03_S1_ELECTORAL_CNE!F13</f>
        <v>Directa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H03_S1_ELECTORAL_CNE!A14</f>
        <v>IN-004</v>
      </c>
      <c r="B22" s="39" t="str">
        <f>H03_S1_ELECTORAL_CNE!B14</f>
        <v>Institucional</v>
      </c>
      <c r="C22" s="39" t="str">
        <f>H03_S1_ELECTORAL_CNE!C14</f>
        <v>Acceso a información pública (LOTAIP); rendición de cuentas transparente; convenios interinstitucionales nacionales e internacionales</v>
      </c>
      <c r="D22" s="39" t="str">
        <f>H03_S1_ELECTORAL_CNE!D14</f>
        <v>PI-L-G-01</v>
      </c>
      <c r="E22" s="67">
        <f>H03_S1_ELECTORAL_CNE!E14</f>
        <v>1</v>
      </c>
      <c r="F22" s="39" t="str">
        <f>H03_S1_ELECTORAL_CNE!F14</f>
        <v>Directa</v>
      </c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tr">
        <f>H03_S1_ELECTORAL_CNE!A15</f>
        <v>IN-005</v>
      </c>
      <c r="B23" s="36" t="str">
        <f>H03_S1_ELECTORAL_CNE!B15</f>
        <v>Institucional</v>
      </c>
      <c r="C23" s="36" t="str">
        <f>H03_S1_ELECTORAL_CNE!C15</f>
        <v>Seguridad ciudadana: alarmas comunitarias, habilitación UPC Aníbal San Andrés y Colorado, cuarteles bomberos en zonas estratégicas</v>
      </c>
      <c r="D23" s="36" t="str">
        <f>H03_S1_ELECTORAL_CNE!D15</f>
        <v>PI-I-G-01</v>
      </c>
      <c r="E23" s="66">
        <f>H03_S1_ELECTORAL_CNE!E15</f>
        <v>0.5</v>
      </c>
      <c r="F23" s="36" t="str">
        <f>H03_S1_ELECTORAL_CNE!F15</f>
        <v>Parcial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tr">
        <f>H03_S1_ELECTORAL_CNE!A16</f>
        <v>IN-006</v>
      </c>
      <c r="B24" s="39" t="str">
        <f>H03_S1_ELECTORAL_CNE!B16</f>
        <v>Institucional</v>
      </c>
      <c r="C24" s="39" t="str">
        <f>H03_S1_ELECTORAL_CNE!C16</f>
        <v>Creación y fortalecimiento de marca ciudad Montecristi; posicionamiento nacional como referente de transformación</v>
      </c>
      <c r="D24" s="39" t="str">
        <f>H03_S1_ELECTORAL_CNE!D16</f>
        <v>—</v>
      </c>
      <c r="E24" s="67">
        <f>H03_S1_ELECTORAL_CNE!E16</f>
        <v>0</v>
      </c>
      <c r="F24" s="39" t="str">
        <f>H03_S1_ELECTORAL_CNE!F16</f>
        <v>Sin vínculo</v>
      </c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tr">
        <f>H03_S1_ELECTORAL_CNE!A17</f>
        <v>SC-001</v>
      </c>
      <c r="B25" s="36" t="str">
        <f>H03_S1_ELECTORAL_CNE!B17</f>
        <v>Social</v>
      </c>
      <c r="C25" s="36" t="str">
        <f>H03_S1_ELECTORAL_CNE!C17</f>
        <v>Construcción Centro de Salud Tipo C; construcción Centro Geriátrico; Plan Nacer Aquí; Concejo de Salud Montecristi</v>
      </c>
      <c r="D25" s="36" t="str">
        <f>H03_S1_ELECTORAL_CNE!D17</f>
        <v>AH-I-X-03</v>
      </c>
      <c r="E25" s="66">
        <f>H03_S1_ELECTORAL_CNE!E17</f>
        <v>1</v>
      </c>
      <c r="F25" s="36" t="str">
        <f>H03_S1_ELECTORAL_CNE!F17</f>
        <v>Directa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50" t="str">
        <f>H03_S1_ELECTORAL_CNE!A18</f>
        <v>SC-002</v>
      </c>
      <c r="B26" s="39" t="str">
        <f>H03_S1_ELECTORAL_CNE!B18</f>
        <v>Social</v>
      </c>
      <c r="C26" s="39" t="str">
        <f>H03_S1_ELECTORAL_CNE!C18</f>
        <v>Salud integral gratuita e ininterrumpida; clubes de salud; medicina preventiva; atención puerta a puerta; diagnóstico enfermedades no transmisibles</v>
      </c>
      <c r="D26" s="39" t="str">
        <f>H03_S1_ELECTORAL_CNE!D18</f>
        <v>SC-I-N-01</v>
      </c>
      <c r="E26" s="67">
        <f>H03_S1_ELECTORAL_CNE!E18</f>
        <v>1</v>
      </c>
      <c r="F26" s="39" t="str">
        <f>H03_S1_ELECTORAL_CNE!F18</f>
        <v>Directa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9" t="str">
        <f>H03_S1_ELECTORAL_CNE!A19</f>
        <v>SC-003</v>
      </c>
      <c r="B27" s="36" t="str">
        <f>H03_S1_ELECTORAL_CNE!B19</f>
        <v>Social</v>
      </c>
      <c r="C27" s="36" t="str">
        <f>H03_S1_ELECTORAL_CNE!C19</f>
        <v>Mejorar calidad de vida fauna urbana: albergue gatos y perros, programas de esterilización, ordenanza de protección animal</v>
      </c>
      <c r="D27" s="36" t="str">
        <f>H03_S1_ELECTORAL_CNE!D19</f>
        <v>FA-L-N-01</v>
      </c>
      <c r="E27" s="66">
        <f>H03_S1_ELECTORAL_CNE!E19</f>
        <v>0.75</v>
      </c>
      <c r="F27" s="36" t="str">
        <f>H03_S1_ELECTORAL_CNE!F19</f>
        <v>Directa</v>
      </c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50" t="str">
        <f>H03_S1_ELECTORAL_CNE!A20</f>
        <v>SC-004</v>
      </c>
      <c r="B28" s="39" t="str">
        <f>H03_S1_ELECTORAL_CNE!B20</f>
        <v>Social</v>
      </c>
      <c r="C28" s="39" t="str">
        <f>H03_S1_ELECTORAL_CNE!C20</f>
        <v>Capacitaciones ciudadanas presencial y online con certificación; plataforma digital; Cuna de Emprendedores; becas preparación universitaria</v>
      </c>
      <c r="D28" s="39" t="str">
        <f>H03_S1_ELECTORAL_CNE!D20</f>
        <v>SC-L-N-02</v>
      </c>
      <c r="E28" s="67">
        <f>H03_S1_ELECTORAL_CNE!E20</f>
        <v>0.75</v>
      </c>
      <c r="F28" s="39" t="str">
        <f>H03_S1_ELECTORAL_CNE!F20</f>
        <v>Directa</v>
      </c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1:26" x14ac:dyDescent="0.3">
      <c r="A29" s="49" t="str">
        <f>H03_S1_ELECTORAL_CNE!A21</f>
        <v>SC-005</v>
      </c>
      <c r="B29" s="36" t="str">
        <f>H03_S1_ELECTORAL_CNE!B21</f>
        <v>Social</v>
      </c>
      <c r="C29" s="36" t="str">
        <f>H03_S1_ELECTORAL_CNE!C21</f>
        <v>Participación ciudadana activa; instancias participativas barriales; liderazgo juvenil en política cantonal</v>
      </c>
      <c r="D29" s="36" t="str">
        <f>H03_S1_ELECTORAL_CNE!D21</f>
        <v>PI-L-G-01</v>
      </c>
      <c r="E29" s="66">
        <f>H03_S1_ELECTORAL_CNE!E21</f>
        <v>1</v>
      </c>
      <c r="F29" s="36" t="str">
        <f>H03_S1_ELECTORAL_CNE!F21</f>
        <v>Directa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8"/>
    </row>
    <row r="30" spans="1:26" x14ac:dyDescent="0.3">
      <c r="A30" s="50" t="str">
        <f>H03_S1_ELECTORAL_CNE!A22</f>
        <v>SC-006</v>
      </c>
      <c r="B30" s="39" t="str">
        <f>H03_S1_ELECTORAL_CNE!B22</f>
        <v>Social</v>
      </c>
      <c r="C30" s="39" t="str">
        <f>H03_S1_ELECTORAL_CNE!C22</f>
        <v>Espacios de recreación deportivos, culturales y sociales; wifi en parques y plazas públicas en distintos sectores del cantón</v>
      </c>
      <c r="D30" s="39" t="str">
        <f>H03_S1_ELECTORAL_CNE!D22</f>
        <v>AH-I-N-01</v>
      </c>
      <c r="E30" s="67">
        <f>H03_S1_ELECTORAL_CNE!E22</f>
        <v>0.75</v>
      </c>
      <c r="F30" s="39" t="str">
        <f>H03_S1_ELECTORAL_CNE!F22</f>
        <v>Directa</v>
      </c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1:26" x14ac:dyDescent="0.3">
      <c r="A31" s="49" t="str">
        <f>H03_S1_ELECTORAL_CNE!A23</f>
        <v>AM-001</v>
      </c>
      <c r="B31" s="36" t="str">
        <f>H03_S1_ELECTORAL_CNE!B23</f>
        <v>Ambiental</v>
      </c>
      <c r="C31" s="36" t="str">
        <f>H03_S1_ELECTORAL_CNE!C23</f>
        <v>Mitigar impacto ambiental: control contaminantes aire/suelo, remediación, gestión desechos sólidos desde la fuente, planta oxidación aguas residuales</v>
      </c>
      <c r="D31" s="36" t="str">
        <f>H03_S1_ELECTORAL_CNE!D23</f>
        <v>FA-C-X-01</v>
      </c>
      <c r="E31" s="66">
        <f>H03_S1_ELECTORAL_CNE!E23</f>
        <v>1</v>
      </c>
      <c r="F31" s="36" t="str">
        <f>H03_S1_ELECTORAL_CNE!F23</f>
        <v>Directa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</row>
    <row r="32" spans="1:26" x14ac:dyDescent="0.3">
      <c r="A32" s="62" t="str">
        <f>H03_S1_ELECTORAL_CNE!A24</f>
        <v>AM-002</v>
      </c>
      <c r="B32" s="63" t="str">
        <f>H03_S1_ELECTORAL_CNE!B24</f>
        <v>Ambiental</v>
      </c>
      <c r="C32" s="63" t="str">
        <f>H03_S1_ELECTORAL_CNE!C24</f>
        <v>Planificación y desarrollo de áreas verdes; arborización urbana y rural; protección cerro Montecristi y biodiversidad</v>
      </c>
      <c r="D32" s="63" t="str">
        <f>H03_S1_ELECTORAL_CNE!D24</f>
        <v>FA-I-X-02</v>
      </c>
      <c r="E32" s="90">
        <f>H03_S1_ELECTORAL_CNE!E24</f>
        <v>1</v>
      </c>
      <c r="F32" s="63" t="str">
        <f>H03_S1_ELECTORAL_CNE!F24</f>
        <v>Directa</v>
      </c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4"/>
    </row>
  </sheetData>
  <conditionalFormatting sqref="B7">
    <cfRule type="cellIs" dxfId="59" priority="1" operator="greaterThanOrEqual">
      <formula>90</formula>
    </cfRule>
    <cfRule type="cellIs" dxfId="58" priority="2" operator="greaterThanOrEqual">
      <formula>70</formula>
    </cfRule>
    <cfRule type="cellIs" dxfId="57" priority="3" operator="greaterThanOrEqual">
      <formula>40</formula>
    </cfRule>
    <cfRule type="cellIs" dxfId="56" priority="4" operator="greaterThanOrEqual">
      <formula>20</formula>
    </cfRule>
    <cfRule type="cellIs" dxfId="55" priority="5" operator="lessThan">
      <formula>20</formula>
    </cfRule>
  </conditionalFormatting>
  <hyperlinks>
    <hyperlink ref="B1" location="'H00_ÍNDICE'!A1" display="⬅️ ÍNDICE GENERAL" xr:uid="{23160241-A0E0-43F1-9BD0-5C461A2F8A7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0BF8-0918-498E-9978-DD058DF6A968}">
  <sheetPr>
    <tabColor rgb="FF6B46C1"/>
  </sheetPr>
  <dimension ref="A1:Z26"/>
  <sheetViews>
    <sheetView topLeftCell="B1" workbookViewId="0">
      <pane ySplit="2" topLeftCell="A11" activePane="bottomLeft" state="frozen"/>
      <selection pane="bottomLeft" activeCell="B26" sqref="B26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25.6640625" bestFit="1" customWidth="1"/>
    <col min="4" max="4" width="23" bestFit="1" customWidth="1"/>
    <col min="5" max="5" width="14.21875" bestFit="1" customWidth="1"/>
    <col min="6" max="6" width="1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1145</v>
      </c>
      <c r="E1" s="212" t="str">
        <f ca="1">TEXT(TODAY(),"DD/MM/YYYY")</f>
        <v>05/04/2026</v>
      </c>
    </row>
    <row r="2" spans="1:26" ht="25.05" customHeight="1" x14ac:dyDescent="0.35">
      <c r="A2" s="16" t="s">
        <v>1173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05" customHeight="1" x14ac:dyDescent="0.3">
      <c r="A3" s="224" t="s">
        <v>1174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x14ac:dyDescent="0.3">
      <c r="A5" s="4" t="s">
        <v>526</v>
      </c>
    </row>
    <row r="6" spans="1:26" x14ac:dyDescent="0.3">
      <c r="A6" s="123" t="s">
        <v>527</v>
      </c>
      <c r="B6" s="33" t="s">
        <v>528</v>
      </c>
      <c r="C6" s="33" t="s">
        <v>529</v>
      </c>
      <c r="D6" s="33" t="s">
        <v>530</v>
      </c>
      <c r="E6" s="33" t="s">
        <v>531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5"/>
    </row>
    <row r="7" spans="1:26" x14ac:dyDescent="0.3">
      <c r="A7" s="49" t="s">
        <v>369</v>
      </c>
      <c r="B7" s="36">
        <f>COUNTIF(H04_S2_PLANIFICACIÓN_PDOT!I6:I25,"Gobernanza")</f>
        <v>7</v>
      </c>
      <c r="C7" s="66" cm="1">
        <f t="array" ref="C7">IFERROR(SUMPRODUCT((H04_S2_PLANIFICACIÓN_PDOT!I6:I25="Gobernanza")*H12_MOTOR_ICPI_CANÓNICO!H6:H25)/SUMPRODUCT((H04_S2_PLANIFICACIÓN_PDOT!I6:I25="Gobernanza")*H12_MOTOR_ICPI_CANÓNICO!I6:I25)*100,0)</f>
        <v>75.735167022581891</v>
      </c>
      <c r="D7" s="36" t="str">
        <f>IF(C7&gt;=90,"🔵 Excelencia en Gobernanza",IF(C7&gt;=70,"🟢 Gestión por Mandato",IF(C7&gt;=40,"🟡 Transición Crítica",IF(C7&gt;=20,"🟠 Gestión por Ocurrencia","🔴 Ruptura Sistémica"))))</f>
        <v>🟢 Gestión por Mandato</v>
      </c>
      <c r="E7" s="36" t="str">
        <f>IF(C7&gt;=95,"⭐ Excelente",IF(C7&gt;=85,"✅ Muy Bueno",IF(C7&gt;=75,"✔️ Satisfactorio",IF(C7&gt;=60,"🟡 Regular","🔴 Insuficiente"))))</f>
        <v>✔️ Satisfactorio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8"/>
    </row>
    <row r="8" spans="1:26" x14ac:dyDescent="0.3">
      <c r="A8" s="50" t="s">
        <v>371</v>
      </c>
      <c r="B8" s="39">
        <f>COUNTIF(H04_S2_PLANIFICACIÓN_PDOT!I6:I25,"Infraestructura")</f>
        <v>10</v>
      </c>
      <c r="C8" s="67" cm="1">
        <f t="array" ref="C8">IFERROR(SUMPRODUCT((H04_S2_PLANIFICACIÓN_PDOT!I6:I25="Infraestructura")*H12_MOTOR_ICPI_CANÓNICO!H6:H25)/SUMPRODUCT((H04_S2_PLANIFICACIÓN_PDOT!I6:I25="Infraestructura")*H12_MOTOR_ICPI_CANÓNICO!I6:I25)*100,0)</f>
        <v>71.274658627993574</v>
      </c>
      <c r="D8" s="39" t="str">
        <f>IF(C8&gt;=90,"🔵 Excelencia en Gobernanza",IF(C8&gt;=70,"🟢 Gestión por Mandato",IF(C8&gt;=40,"🟡 Transición Crítica",IF(C8&gt;=20,"🟠 Gestión por Ocurrencia","🔴 Ruptura Sistémica"))))</f>
        <v>🟢 Gestión por Mandato</v>
      </c>
      <c r="E8" s="39" t="str">
        <f>IF(C8&gt;=95,"⭐ Excelente",IF(C8&gt;=85,"✅ Muy Bueno",IF(C8&gt;=75,"✔️ Satisfactorio",IF(C8&gt;=60,"🟡 Regular","🔴 Insuficiente"))))</f>
        <v>🟡 Regular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40"/>
    </row>
    <row r="9" spans="1:26" x14ac:dyDescent="0.3">
      <c r="A9" s="49" t="s">
        <v>373</v>
      </c>
      <c r="B9" s="36">
        <f>COUNTIF(H04_S2_PLANIFICACIÓN_PDOT!I6:I25,"Inclusion")</f>
        <v>3</v>
      </c>
      <c r="C9" s="66" cm="1">
        <f t="array" ref="C9">IFERROR(SUMPRODUCT((H04_S2_PLANIFICACIÓN_PDOT!I6:I25="Inclusion")*H12_MOTOR_ICPI_CANÓNICO!H6:H25)/SUMPRODUCT((H04_S2_PLANIFICACIÓN_PDOT!I6:I25="Inclusion")*H12_MOTOR_ICPI_CANÓNICO!I6:I25)*100,0)</f>
        <v>63.510333371762016</v>
      </c>
      <c r="D9" s="36" t="str">
        <f>IF(C9&gt;=90,"🔵 Excelencia en Gobernanza",IF(C9&gt;=70,"🟢 Gestión por Mandato",IF(C9&gt;=40,"🟡 Transición Crítica",IF(C9&gt;=20,"🟠 Gestión por Ocurrencia","🔴 Ruptura Sistémica"))))</f>
        <v>🟡 Transición Crítica</v>
      </c>
      <c r="E9" s="36" t="str">
        <f>IF(C9&gt;=95,"⭐ Excelente",IF(C9&gt;=85,"✅ Muy Bueno",IF(C9&gt;=75,"✔️ Satisfactorio",IF(C9&gt;=60,"🟡 Regular","🔴 Insuficiente"))))</f>
        <v>🟡 Regular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42" t="s">
        <v>532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4" t="s">
        <v>533</v>
      </c>
      <c r="B13" s="121" t="s">
        <v>528</v>
      </c>
      <c r="C13" s="121" t="s">
        <v>529</v>
      </c>
      <c r="D13" s="121" t="s">
        <v>530</v>
      </c>
      <c r="E13" s="121" t="s">
        <v>531</v>
      </c>
      <c r="F13" s="121" t="s">
        <v>534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">
        <v>208</v>
      </c>
      <c r="B14" s="39">
        <f>COUNTIF(H04_S2_PLANIFICACIÓN_PDOT!R6:R25,"Dirección Económica")</f>
        <v>1</v>
      </c>
      <c r="C14" s="67" cm="1">
        <f t="array" ref="C14">IFERROR(SUMPRODUCT((H04_S2_PLANIFICACIÓN_PDOT!R6:R25="Dirección Económica")*H12_MOTOR_ICPI_CANÓNICO!H6:H25)/SUMPRODUCT((H04_S2_PLANIFICACIÓN_PDOT!R6:R25="Dirección Económica")*H12_MOTOR_ICPI_CANÓNICO!I6:I25)*100,0)</f>
        <v>94.999999999999986</v>
      </c>
      <c r="D14" s="39" t="str">
        <f t="shared" ref="D14:D24" si="0">IF(C14&gt;=90,"🔵 Excelencia en Gobernanza",IF(C14&gt;=70,"🟢 Gestión por Mandato",IF(C14&gt;=40,"🟡 Transición Crítica",IF(C14&gt;=20,"🟠 Gestión por Ocurrencia","🔴 Ruptura Sistémica"))))</f>
        <v>🔵 Excelencia en Gobernanza</v>
      </c>
      <c r="E14" s="39" t="str">
        <f t="shared" ref="E14:E24" si="1">IF(C14&gt;=95,"⭐ Excelente",IF(C14&gt;=85,"✅ Muy Bueno",IF(C14&gt;=75,"✔️ Satisfactorio",IF(C14&gt;=60,"🟡 Regular","🔴 Insuficiente"))))</f>
        <v>⭐ Excelente</v>
      </c>
      <c r="F14" s="39" cm="1">
        <f t="array" ref="F14">SUMPRODUCT((H04_S2_PLANIFICACIÓN_PDOT!R6:R25="Dirección Económica")*( H12_MOTOR_ICPI_CANÓNICO!J6:J25&lt;40))</f>
        <v>0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">
        <v>210</v>
      </c>
      <c r="B15" s="36">
        <f>COUNTIF(H04_S2_PLANIFICACIÓN_PDOT!R6:R25,"Dirección de Obras Públicas")</f>
        <v>4</v>
      </c>
      <c r="C15" s="66" cm="1">
        <f t="array" ref="C15">IFERROR(SUMPRODUCT((H04_S2_PLANIFICACIÓN_PDOT!R6:R25="Dirección de Obras Públicas")*H12_MOTOR_ICPI_CANÓNICO!H6:H25)/SUMPRODUCT((H04_S2_PLANIFICACIÓN_PDOT!R6:R25="Dirección de Obras Públicas")*H12_MOTOR_ICPI_CANÓNICO!I6:I25)*100,0)</f>
        <v>34.70694307450745</v>
      </c>
      <c r="D15" s="36" t="str">
        <f t="shared" si="0"/>
        <v>🟠 Gestión por Ocurrencia</v>
      </c>
      <c r="E15" s="36" t="str">
        <f t="shared" si="1"/>
        <v>🔴 Insuficiente</v>
      </c>
      <c r="F15" s="36" cm="1">
        <f t="array" ref="F15">SUMPRODUCT((H04_S2_PLANIFICACIÓN_PDOT!R6:R25="Dirección de Obras Públicas")*( H12_MOTOR_ICPI_CANÓNICO!J6:J25&lt;40))</f>
        <v>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">
        <v>212</v>
      </c>
      <c r="B16" s="39">
        <f>COUNTIF(H04_S2_PLANIFICACIÓN_PDOT!R6:R25,"Dirección TIC")</f>
        <v>1</v>
      </c>
      <c r="C16" s="67" cm="1">
        <f t="array" ref="C16">IFERROR(SUMPRODUCT((H04_S2_PLANIFICACIÓN_PDOT!R6:R25="Dirección TIC")*H12_MOTOR_ICPI_CANÓNICO!H6:H25)/SUMPRODUCT((H04_S2_PLANIFICACIÓN_PDOT!R6:R25="Dirección TIC")*H12_MOTOR_ICPI_CANÓNICO!I6:I25)*100,0)</f>
        <v>85</v>
      </c>
      <c r="D16" s="39" t="str">
        <f t="shared" si="0"/>
        <v>🟢 Gestión por Mandato</v>
      </c>
      <c r="E16" s="39" t="str">
        <f t="shared" si="1"/>
        <v>✅ Muy Bueno</v>
      </c>
      <c r="F16" s="39" cm="1">
        <f t="array" ref="F16">SUMPRODUCT((H04_S2_PLANIFICACIÓN_PDOT!R6:R25="Dirección TIC")*( H12_MOTOR_ICPI_CANÓNICO!J6:J25&lt;40))</f>
        <v>0</v>
      </c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">
        <v>215</v>
      </c>
      <c r="B17" s="36">
        <f>COUNTIF(H04_S2_PLANIFICACIÓN_PDOT!R6:R25,"Dirección de Salud")</f>
        <v>0</v>
      </c>
      <c r="C17" s="66" cm="1">
        <f t="array" ref="C17">IFERROR(SUMPRODUCT((H04_S2_PLANIFICACIÓN_PDOT!R6:R25="Dirección de Salud")*H12_MOTOR_ICPI_CANÓNICO!H6:H25)/SUMPRODUCT((H04_S2_PLANIFICACIÓN_PDOT!R6:R25="Dirección de Salud")*H12_MOTOR_ICPI_CANÓNICO!I6:I25)*100,0)</f>
        <v>0</v>
      </c>
      <c r="D17" s="36" t="str">
        <f t="shared" si="0"/>
        <v>🔴 Ruptura Sistémica</v>
      </c>
      <c r="E17" s="36" t="str">
        <f t="shared" si="1"/>
        <v>🔴 Insuficiente</v>
      </c>
      <c r="F17" s="36" cm="1">
        <f t="array" ref="F17">SUMPRODUCT((H04_S2_PLANIFICACIÓN_PDOT!R6:R25="Dirección de Salud")*( H12_MOTOR_ICPI_CANÓNICO!J6:J25&lt;40))</f>
        <v>0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">
        <v>216</v>
      </c>
      <c r="B18" s="39">
        <f>COUNTIF(H04_S2_PLANIFICACIÓN_PDOT!R6:R25,"Dirección de Educación")</f>
        <v>0</v>
      </c>
      <c r="C18" s="67" cm="1">
        <f t="array" ref="C18">IFERROR(SUMPRODUCT((H04_S2_PLANIFICACIÓN_PDOT!R6:R25="Dirección de Educación")*H12_MOTOR_ICPI_CANÓNICO!H6:H25)/SUMPRODUCT((H04_S2_PLANIFICACIÓN_PDOT!R6:R25="Dirección de Educación")*H12_MOTOR_ICPI_CANÓNICO!I6:I25)*100,0)</f>
        <v>0</v>
      </c>
      <c r="D18" s="39" t="str">
        <f t="shared" si="0"/>
        <v>🔴 Ruptura Sistémica</v>
      </c>
      <c r="E18" s="39" t="str">
        <f t="shared" si="1"/>
        <v>🔴 Insuficiente</v>
      </c>
      <c r="F18" s="39" cm="1">
        <f t="array" ref="F18">SUMPRODUCT((H04_S2_PLANIFICACIÓN_PDOT!R6:R25="Dirección de Educación")*( H12_MOTOR_ICPI_CANÓNICO!J6:J25&lt;40))</f>
        <v>0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">
        <v>217</v>
      </c>
      <c r="B19" s="36">
        <f>COUNTIF(H04_S2_PLANIFICACIÓN_PDOT!R6:R25,"Patronato Municipal")</f>
        <v>2</v>
      </c>
      <c r="C19" s="66" cm="1">
        <f t="array" ref="C19">IFERROR(SUMPRODUCT((H04_S2_PLANIFICACIÓN_PDOT!R6:R25="Patronato Municipal")*H12_MOTOR_ICPI_CANÓNICO!H6:H25)/SUMPRODUCT((H04_S2_PLANIFICACIÓN_PDOT!R6:R25="Patronato Municipal")*H12_MOTOR_ICPI_CANÓNICO!I6:I25)*100,0)</f>
        <v>94.918697051547369</v>
      </c>
      <c r="D19" s="36" t="str">
        <f t="shared" si="0"/>
        <v>🔵 Excelencia en Gobernanza</v>
      </c>
      <c r="E19" s="36" t="str">
        <f t="shared" si="1"/>
        <v>✅ Muy Bueno</v>
      </c>
      <c r="F19" s="36" cm="1">
        <f t="array" ref="F19">SUMPRODUCT((H04_S2_PLANIFICACIÓN_PDOT!R6:R25="Patronato Municipal")*( H12_MOTOR_ICPI_CANÓNICO!J6:J25&lt;40))</f>
        <v>0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">
        <v>225</v>
      </c>
      <c r="B20" s="39">
        <f>COUNTIF(H04_S2_PLANIFICACIÓN_PDOT!R6:R25,"Dirección Ambiental")</f>
        <v>3</v>
      </c>
      <c r="C20" s="67" cm="1">
        <f t="array" ref="C20">IFERROR(SUMPRODUCT((H04_S2_PLANIFICACIÓN_PDOT!R6:R25="Dirección Ambiental")*H12_MOTOR_ICPI_CANÓNICO!H6:H25)/SUMPRODUCT((H04_S2_PLANIFICACIÓN_PDOT!R6:R25="Dirección Ambiental")*H12_MOTOR_ICPI_CANÓNICO!I6:I25)*100,0)</f>
        <v>68.824412490262262</v>
      </c>
      <c r="D20" s="39" t="str">
        <f t="shared" si="0"/>
        <v>🟡 Transición Crítica</v>
      </c>
      <c r="E20" s="39" t="str">
        <f t="shared" si="1"/>
        <v>🟡 Regular</v>
      </c>
      <c r="F20" s="39" cm="1">
        <f t="array" ref="F20">SUMPRODUCT((H04_S2_PLANIFICACIÓN_PDOT!R6:R25="Dirección Ambiental")*( H12_MOTOR_ICPI_CANÓNICO!J6:J25&lt;40))</f>
        <v>0</v>
      </c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">
        <v>226</v>
      </c>
      <c r="B21" s="36">
        <f>COUNTIF(H04_S2_PLANIFICACIÓN_PDOT!R6:R25,"Dirección Administrativa")</f>
        <v>1</v>
      </c>
      <c r="C21" s="66" cm="1">
        <f t="array" ref="C21">IFERROR(SUMPRODUCT((H04_S2_PLANIFICACIÓN_PDOT!R6:R25="Dirección Administrativa")*H12_MOTOR_ICPI_CANÓNICO!H6:H25)/SUMPRODUCT((H04_S2_PLANIFICACIÓN_PDOT!R6:R25="Dirección Administrativa")*H12_MOTOR_ICPI_CANÓNICO!I6:I25)*100,0)</f>
        <v>85.000000000000014</v>
      </c>
      <c r="D21" s="36" t="str">
        <f t="shared" si="0"/>
        <v>🟢 Gestión por Mandato</v>
      </c>
      <c r="E21" s="36" t="str">
        <f t="shared" si="1"/>
        <v>✅ Muy Bueno</v>
      </c>
      <c r="F21" s="36" cm="1">
        <f t="array" ref="F21">SUMPRODUCT((H04_S2_PLANIFICACIÓN_PDOT!R6:R25="Dirección Administrativa")*( H12_MOTOR_ICPI_CANÓNICO!J6:J25&lt;40))</f>
        <v>0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">
        <v>228</v>
      </c>
      <c r="B22" s="39">
        <f>COUNTIF(H04_S2_PLANIFICACIÓN_PDOT!R6:R25,"Secretaría General")</f>
        <v>0</v>
      </c>
      <c r="C22" s="67" cm="1">
        <f t="array" ref="C22">IFERROR(SUMPRODUCT((H04_S2_PLANIFICACIÓN_PDOT!R6:R25="Secretaría General")*H12_MOTOR_ICPI_CANÓNICO!H6:H25)/SUMPRODUCT((H04_S2_PLANIFICACIÓN_PDOT!R6:R25="Secretaría General")*H12_MOTOR_ICPI_CANÓNICO!I6:I25)*100,0)</f>
        <v>0</v>
      </c>
      <c r="D22" s="39" t="str">
        <f t="shared" si="0"/>
        <v>🔴 Ruptura Sistémica</v>
      </c>
      <c r="E22" s="39" t="str">
        <f t="shared" si="1"/>
        <v>🔴 Insuficiente</v>
      </c>
      <c r="F22" s="39" cm="1">
        <f t="array" ref="F22">SUMPRODUCT((H04_S2_PLANIFICACIÓN_PDOT!R6:R25="Secretaría General")*( H12_MOTOR_ICPI_CANÓNICO!J6:J25&lt;40))</f>
        <v>0</v>
      </c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">
        <v>229</v>
      </c>
      <c r="B23" s="36">
        <f>COUNTIF(H04_S2_PLANIFICACIÓN_PDOT!R6:R25,"Dirección de Cultura y Deporte")</f>
        <v>1</v>
      </c>
      <c r="C23" s="66" cm="1">
        <f t="array" ref="C23">IFERROR(SUMPRODUCT((H04_S2_PLANIFICACIÓN_PDOT!R6:R25="Dirección de Cultura y Deporte")*H12_MOTOR_ICPI_CANÓNICO!H6:H25)/SUMPRODUCT((H04_S2_PLANIFICACIÓN_PDOT!R6:R25="Dirección de Cultura y Deporte")*H12_MOTOR_ICPI_CANÓNICO!I6:I25)*100,0)</f>
        <v>47.8125</v>
      </c>
      <c r="D23" s="36" t="str">
        <f t="shared" si="0"/>
        <v>🟡 Transición Crítica</v>
      </c>
      <c r="E23" s="36" t="str">
        <f t="shared" si="1"/>
        <v>🔴 Insuficiente</v>
      </c>
      <c r="F23" s="36" cm="1">
        <f t="array" ref="F23">SUMPRODUCT((H04_S2_PLANIFICACIÓN_PDOT!R6:R25="Dirección de Cultura y Deporte")*( H12_MOTOR_ICPI_CANÓNICO!J6:J25&lt;40))</f>
        <v>0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">
        <v>223</v>
      </c>
      <c r="B24" s="39">
        <f>COUNTIF(H04_S2_PLANIFICACIÓN_PDOT!R6:R25,"Dirección de Agua y Saneamiento")</f>
        <v>2</v>
      </c>
      <c r="C24" s="67" cm="1">
        <f t="array" ref="C24">IFERROR(SUMPRODUCT((H04_S2_PLANIFICACIÓN_PDOT!R6:R25="Dirección de Agua y Saneamiento")*H12_MOTOR_ICPI_CANÓNICO!H6:H25)/SUMPRODUCT((H04_S2_PLANIFICACIÓN_PDOT!R6:R25="Dirección de Agua y Saneamiento")*H12_MOTOR_ICPI_CANÓNICO!I6:I25)*100,0)</f>
        <v>72.000000000000014</v>
      </c>
      <c r="D24" s="39" t="str">
        <f t="shared" si="0"/>
        <v>🟢 Gestión por Mandato</v>
      </c>
      <c r="E24" s="39" t="str">
        <f t="shared" si="1"/>
        <v>🟡 Regular</v>
      </c>
      <c r="F24" s="39" cm="1">
        <f t="array" ref="F24">SUMPRODUCT((H04_S2_PLANIFICACIÓN_PDOT!R6:R25="Dirección de Agua y Saneamiento")*( H12_MOTOR_ICPI_CANÓNICO!J6:J25&lt;40))</f>
        <v>0</v>
      </c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96" t="s">
        <v>535</v>
      </c>
      <c r="B26" s="90">
        <f>IFERROR(AVERAGE(C14:C24),0)</f>
        <v>53.023868419665185</v>
      </c>
      <c r="C26" s="97" t="s">
        <v>536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4"/>
    </row>
  </sheetData>
  <conditionalFormatting sqref="B26">
    <cfRule type="cellIs" dxfId="54" priority="6" operator="greaterThanOrEqual">
      <formula>90</formula>
    </cfRule>
    <cfRule type="cellIs" dxfId="53" priority="7" operator="greaterThanOrEqual">
      <formula>70</formula>
    </cfRule>
    <cfRule type="cellIs" dxfId="52" priority="8" operator="greaterThanOrEqual">
      <formula>40</formula>
    </cfRule>
    <cfRule type="cellIs" dxfId="51" priority="9" operator="greaterThanOrEqual">
      <formula>20</formula>
    </cfRule>
    <cfRule type="cellIs" dxfId="50" priority="10" operator="lessThan">
      <formula>20</formula>
    </cfRule>
  </conditionalFormatting>
  <conditionalFormatting sqref="C14:C24">
    <cfRule type="cellIs" dxfId="49" priority="1" operator="greaterThanOrEqual">
      <formula>90</formula>
    </cfRule>
    <cfRule type="cellIs" dxfId="48" priority="2" operator="greaterThanOrEqual">
      <formula>70</formula>
    </cfRule>
    <cfRule type="cellIs" dxfId="47" priority="3" operator="greaterThanOrEqual">
      <formula>40</formula>
    </cfRule>
    <cfRule type="cellIs" dxfId="46" priority="4" operator="greaterThanOrEqual">
      <formula>20</formula>
    </cfRule>
    <cfRule type="cellIs" dxfId="45" priority="5" operator="lessThan">
      <formula>20</formula>
    </cfRule>
  </conditionalFormatting>
  <hyperlinks>
    <hyperlink ref="B1" location="'H00_ÍNDICE'!A1" display="⬅️ ÍNDICE GENERAL" xr:uid="{C0076222-FF49-4BC0-9F3E-F824A4CA439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7DBE-F813-451F-831A-E9F3F229ACDC}">
  <sheetPr>
    <tabColor rgb="FF6B46C1"/>
  </sheetPr>
  <dimension ref="A1:Z41"/>
  <sheetViews>
    <sheetView workbookViewId="0">
      <pane ySplit="2" topLeftCell="A3" activePane="bottomLeft" state="frozen"/>
      <selection pane="bottomLeft" activeCell="B7" sqref="B7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47.77734375" bestFit="1" customWidth="1"/>
    <col min="4" max="4" width="14" bestFit="1" customWidth="1"/>
    <col min="5" max="5" width="8.7773437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1146</v>
      </c>
      <c r="E1" s="212" t="str">
        <f ca="1">TEXT(TODAY(),"DD/MM/YYYY")</f>
        <v>05/04/2026</v>
      </c>
    </row>
    <row r="2" spans="1:26" ht="30" customHeight="1" x14ac:dyDescent="0.35">
      <c r="A2" s="1" t="s">
        <v>537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538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30" t="s">
        <v>539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7.399999999999999" x14ac:dyDescent="0.35">
      <c r="A6" s="3" t="s">
        <v>540</v>
      </c>
      <c r="B6" s="289">
        <f>H09_S7_TRANSPARENCIA_LOTAIP!B28</f>
        <v>70</v>
      </c>
      <c r="C6" s="15" t="s">
        <v>544</v>
      </c>
    </row>
    <row r="7" spans="1:26" x14ac:dyDescent="0.3">
      <c r="A7" s="3" t="s">
        <v>541</v>
      </c>
      <c r="B7" s="285" t="str">
        <f>IF(B6&gt;=85,"✅ Alta Transparencia — LOTAIP cumplida",IF(B6&gt;=60,"⚠️ Transparencia Media — revisar literales",IF(B6&gt;=40,"🟠 Transparencia Baja — incumplimiento parcial","🔴 Opacidad institucional — incumplimiento grave")))</f>
        <v>⚠️ Transparencia Media — revisar literales</v>
      </c>
    </row>
    <row r="8" spans="1:26" x14ac:dyDescent="0.3">
      <c r="A8" s="120" t="s">
        <v>542</v>
      </c>
      <c r="B8" s="34">
        <f>COUNTIF(H09_S7_TRANSPARENCIA_LOTAIP!G7:G26,"SÍ")</f>
        <v>18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1" t="s">
        <v>543</v>
      </c>
      <c r="B9" s="36">
        <f>COUNTIF(H09_S7_TRANSPARENCIA_LOTAIP!G7:G26,"NO")</f>
        <v>2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1" t="s">
        <v>545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45" t="s">
        <v>301</v>
      </c>
      <c r="B12" s="106" t="s">
        <v>546</v>
      </c>
      <c r="C12" s="106" t="s">
        <v>547</v>
      </c>
      <c r="D12" s="106" t="s">
        <v>548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 t="s">
        <v>318</v>
      </c>
      <c r="B13" s="36">
        <f>COUNTIF(H09_S7_TRANSPARENCIA_LOTAIP!C7:C26,"a1")</f>
        <v>3</v>
      </c>
      <c r="C13" s="36">
        <f>COUNTIFS(H09_S7_TRANSPARENCIA_LOTAIP!C7:C26,"a1",H09_S7_TRANSPARENCIA_LOTAIP!G7:G26,"SÍ")</f>
        <v>3</v>
      </c>
      <c r="D13" s="51">
        <f>IFERROR(AVERAGEIF(H09_S7_TRANSPARENCIA_LOTAIP!C7:C26,"a1",H09_S7_TRANSPARENCIA_LOTAIP!H7:H26),0)</f>
        <v>0.66666666666666663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">
        <v>313</v>
      </c>
      <c r="B14" s="39">
        <f>COUNTIF(H09_S7_TRANSPARENCIA_LOTAIP!C7:C26,"a4")</f>
        <v>5</v>
      </c>
      <c r="C14" s="39">
        <f>COUNTIFS(H09_S7_TRANSPARENCIA_LOTAIP!C7:C26,"a4",H09_S7_TRANSPARENCIA_LOTAIP!G7:G26,"SÍ")</f>
        <v>5</v>
      </c>
      <c r="D14" s="61">
        <f>IFERROR(AVERAGEIF(H09_S7_TRANSPARENCIA_LOTAIP!C7:C26,"a4",H09_S7_TRANSPARENCIA_LOTAIP!H7:H26),0)</f>
        <v>1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">
        <v>307</v>
      </c>
      <c r="B15" s="36">
        <f>COUNTIF(H09_S7_TRANSPARENCIA_LOTAIP!C7:C26,"k")</f>
        <v>7</v>
      </c>
      <c r="C15" s="36">
        <f>COUNTIFS(H09_S7_TRANSPARENCIA_LOTAIP!C7:C26,"k",H09_S7_TRANSPARENCIA_LOTAIP!G7:G26,"SÍ")</f>
        <v>7</v>
      </c>
      <c r="D15" s="51">
        <f>IFERROR(AVERAGEIF(H09_S7_TRANSPARENCIA_LOTAIP!C7:C26,"k",H09_S7_TRANSPARENCIA_LOTAIP!H7:H26),0)</f>
        <v>0.6428571428571429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">
        <v>321</v>
      </c>
      <c r="B16" s="39">
        <f>COUNTIF(H09_S7_TRANSPARENCIA_LOTAIP!C7:C26,"m")</f>
        <v>5</v>
      </c>
      <c r="C16" s="39">
        <f>COUNTIFS(H09_S7_TRANSPARENCIA_LOTAIP!C7:C26,"m",H09_S7_TRANSPARENCIA_LOTAIP!G7:G26,"SÍ")</f>
        <v>3</v>
      </c>
      <c r="D16" s="61">
        <f>IFERROR(AVERAGEIF(H09_S7_TRANSPARENCIA_LOTAIP!C7:C26,"m",H09_S7_TRANSPARENCIA_LOTAIP!H7:H26),0)</f>
        <v>0.5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">
        <v>549</v>
      </c>
      <c r="B17" s="36">
        <f>COUNTIF(H09_S7_TRANSPARENCIA_LOTAIP!C7:C26,"otro")</f>
        <v>0</v>
      </c>
      <c r="C17" s="36">
        <f>COUNTIFS(H09_S7_TRANSPARENCIA_LOTAIP!C7:C26,"otro",H09_S7_TRANSPARENCIA_LOTAIP!G7:G26,"SÍ")</f>
        <v>0</v>
      </c>
      <c r="D17" s="51">
        <f>IFERROR(AVERAGEIF(H09_S7_TRANSPARENCIA_LOTAIP!C7:C26,"otro",H09_S7_TRANSPARENCIA_LOTAIP!H7:H26),0)</f>
        <v>0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42" t="s">
        <v>550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4" t="s">
        <v>192</v>
      </c>
      <c r="B21" s="121" t="s">
        <v>551</v>
      </c>
      <c r="C21" s="121" t="s">
        <v>303</v>
      </c>
      <c r="D21" s="121" t="s">
        <v>305</v>
      </c>
      <c r="E21" s="121" t="s">
        <v>306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H09_S7_TRANSPARENCIA_LOTAIP!A7</f>
        <v>SC-I-N-01</v>
      </c>
      <c r="B22" s="39" t="str">
        <f>H09_S7_TRANSPARENCIA_LOTAIP!C7</f>
        <v>k</v>
      </c>
      <c r="C22" s="39" t="str">
        <f>H09_S7_TRANSPARENCIA_LOTAIP!E7</f>
        <v>https://montecristi.gob.ec/transparencia/k/pdot001</v>
      </c>
      <c r="D22" s="39" t="str">
        <f>H09_S7_TRANSPARENCIA_LOTAIP!G7</f>
        <v>SÍ</v>
      </c>
      <c r="E22" s="67">
        <f>H09_S7_TRANSPARENCIA_LOTAIP!H7</f>
        <v>0.5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tr">
        <f>H09_S7_TRANSPARENCIA_LOTAIP!A8</f>
        <v>SC-L-N-02</v>
      </c>
      <c r="B23" s="36" t="str">
        <f>H09_S7_TRANSPARENCIA_LOTAIP!C8</f>
        <v>k</v>
      </c>
      <c r="C23" s="36" t="str">
        <f>H09_S7_TRANSPARENCIA_LOTAIP!E8</f>
        <v>https://montecristi.gob.ec/transparencia/k/pdot002</v>
      </c>
      <c r="D23" s="36" t="str">
        <f>H09_S7_TRANSPARENCIA_LOTAIP!G8</f>
        <v>SÍ</v>
      </c>
      <c r="E23" s="66">
        <f>H09_S7_TRANSPARENCIA_LOTAIP!H8</f>
        <v>0.5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tr">
        <f>H09_S7_TRANSPARENCIA_LOTAIP!A9</f>
        <v>AH-I-X-01</v>
      </c>
      <c r="B24" s="39" t="str">
        <f>H09_S7_TRANSPARENCIA_LOTAIP!C9</f>
        <v>a4</v>
      </c>
      <c r="C24" s="39" t="str">
        <f>H09_S7_TRANSPARENCIA_LOTAIP!E9</f>
        <v>https://montecristi.gob.ec/transparencia/a4/pdot003</v>
      </c>
      <c r="D24" s="39" t="str">
        <f>H09_S7_TRANSPARENCIA_LOTAIP!G9</f>
        <v>SÍ</v>
      </c>
      <c r="E24" s="67">
        <f>H09_S7_TRANSPARENCIA_LOTAIP!H9</f>
        <v>1</v>
      </c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tr">
        <f>H09_S7_TRANSPARENCIA_LOTAIP!A10</f>
        <v>AH-I-X-02</v>
      </c>
      <c r="B25" s="36" t="str">
        <f>H09_S7_TRANSPARENCIA_LOTAIP!C10</f>
        <v>k</v>
      </c>
      <c r="C25" s="36" t="str">
        <f>H09_S7_TRANSPARENCIA_LOTAIP!E10</f>
        <v>https://montecristi.gob.ec/transparencia/k/pdot004</v>
      </c>
      <c r="D25" s="36" t="str">
        <f>H09_S7_TRANSPARENCIA_LOTAIP!G10</f>
        <v>SÍ</v>
      </c>
      <c r="E25" s="66">
        <f>H09_S7_TRANSPARENCIA_LOTAIP!H10</f>
        <v>0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50" t="str">
        <f>H09_S7_TRANSPARENCIA_LOTAIP!A11</f>
        <v>AH-I-X-03</v>
      </c>
      <c r="B26" s="39" t="str">
        <f>H09_S7_TRANSPARENCIA_LOTAIP!C11</f>
        <v>a1</v>
      </c>
      <c r="C26" s="39" t="str">
        <f>H09_S7_TRANSPARENCIA_LOTAIP!E11</f>
        <v>https://montecristi.gob.ec/transparencia/a1/pdot005</v>
      </c>
      <c r="D26" s="39" t="str">
        <f>H09_S7_TRANSPARENCIA_LOTAIP!G11</f>
        <v>SÍ</v>
      </c>
      <c r="E26" s="67">
        <f>H09_S7_TRANSPARENCIA_LOTAIP!H11</f>
        <v>1</v>
      </c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9" t="str">
        <f>H09_S7_TRANSPARENCIA_LOTAIP!A12</f>
        <v>AH-I-N-01</v>
      </c>
      <c r="B27" s="36" t="str">
        <f>H09_S7_TRANSPARENCIA_LOTAIP!C12</f>
        <v>m</v>
      </c>
      <c r="C27" s="36" t="str">
        <f>H09_S7_TRANSPARENCIA_LOTAIP!E12</f>
        <v>https://montecristi.gob.ec/transparencia/m/pdot006</v>
      </c>
      <c r="D27" s="36" t="str">
        <f>H09_S7_TRANSPARENCIA_LOTAIP!G12</f>
        <v>SÍ</v>
      </c>
      <c r="E27" s="66">
        <f>H09_S7_TRANSPARENCIA_LOTAIP!H12</f>
        <v>0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50" t="str">
        <f>H09_S7_TRANSPARENCIA_LOTAIP!A13</f>
        <v>SC-L-G-01</v>
      </c>
      <c r="B28" s="39" t="str">
        <f>H09_S7_TRANSPARENCIA_LOTAIP!C13</f>
        <v>m</v>
      </c>
      <c r="C28" s="39" t="str">
        <f>H09_S7_TRANSPARENCIA_LOTAIP!E13</f>
        <v>https://montecristi.gob.ec/transparencia/m/pdot007</v>
      </c>
      <c r="D28" s="39" t="str">
        <f>H09_S7_TRANSPARENCIA_LOTAIP!G13</f>
        <v>SÍ</v>
      </c>
      <c r="E28" s="67">
        <f>H09_S7_TRANSPARENCIA_LOTAIP!H13</f>
        <v>0.5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1:26" x14ac:dyDescent="0.3">
      <c r="A29" s="49" t="str">
        <f>H09_S7_TRANSPARENCIA_LOTAIP!A14</f>
        <v>AH-I-X-04</v>
      </c>
      <c r="B29" s="36" t="str">
        <f>H09_S7_TRANSPARENCIA_LOTAIP!C14</f>
        <v>k</v>
      </c>
      <c r="C29" s="36" t="str">
        <f>H09_S7_TRANSPARENCIA_LOTAIP!E14</f>
        <v>https://montecristi.gob.ec/transparencia/k/pdot008</v>
      </c>
      <c r="D29" s="36" t="str">
        <f>H09_S7_TRANSPARENCIA_LOTAIP!G14</f>
        <v>SÍ</v>
      </c>
      <c r="E29" s="66">
        <f>H09_S7_TRANSPARENCIA_LOTAIP!H14</f>
        <v>1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8"/>
    </row>
    <row r="30" spans="1:26" x14ac:dyDescent="0.3">
      <c r="A30" s="50" t="str">
        <f>H09_S7_TRANSPARENCIA_LOTAIP!A15</f>
        <v>PI-I-G-01</v>
      </c>
      <c r="B30" s="39" t="str">
        <f>H09_S7_TRANSPARENCIA_LOTAIP!C15</f>
        <v>a4</v>
      </c>
      <c r="C30" s="39" t="str">
        <f>H09_S7_TRANSPARENCIA_LOTAIP!E15</f>
        <v>https://montecristi.gob.ec/transparencia/a4/pdot009</v>
      </c>
      <c r="D30" s="39" t="str">
        <f>H09_S7_TRANSPARENCIA_LOTAIP!G15</f>
        <v>SÍ</v>
      </c>
      <c r="E30" s="67">
        <f>H09_S7_TRANSPARENCIA_LOTAIP!H15</f>
        <v>1</v>
      </c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1:26" x14ac:dyDescent="0.3">
      <c r="A31" s="49" t="str">
        <f>H09_S7_TRANSPARENCIA_LOTAIP!A16</f>
        <v>AH-C-X-01</v>
      </c>
      <c r="B31" s="36" t="str">
        <f>H09_S7_TRANSPARENCIA_LOTAIP!C16</f>
        <v>a4</v>
      </c>
      <c r="C31" s="36" t="str">
        <f>H09_S7_TRANSPARENCIA_LOTAIP!E16</f>
        <v>https://montecristi.gob.ec/transparencia/a4/pdot010</v>
      </c>
      <c r="D31" s="36" t="str">
        <f>H09_S7_TRANSPARENCIA_LOTAIP!G16</f>
        <v>SÍ</v>
      </c>
      <c r="E31" s="66">
        <f>H09_S7_TRANSPARENCIA_LOTAIP!H16</f>
        <v>1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</row>
    <row r="32" spans="1:26" x14ac:dyDescent="0.3">
      <c r="A32" s="50" t="str">
        <f>H09_S7_TRANSPARENCIA_LOTAIP!A17</f>
        <v>AH-C-X-02</v>
      </c>
      <c r="B32" s="39" t="str">
        <f>H09_S7_TRANSPARENCIA_LOTAIP!C17</f>
        <v>a4</v>
      </c>
      <c r="C32" s="39" t="str">
        <f>H09_S7_TRANSPARENCIA_LOTAIP!E17</f>
        <v>https://montecristi.gob.ec/transparencia/a4/pdot011</v>
      </c>
      <c r="D32" s="39" t="str">
        <f>H09_S7_TRANSPARENCIA_LOTAIP!G17</f>
        <v>SÍ</v>
      </c>
      <c r="E32" s="67">
        <f>H09_S7_TRANSPARENCIA_LOTAIP!H17</f>
        <v>1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40"/>
    </row>
    <row r="33" spans="1:26" x14ac:dyDescent="0.3">
      <c r="A33" s="49" t="str">
        <f>H09_S7_TRANSPARENCIA_LOTAIP!A18</f>
        <v>SC-I-N-03</v>
      </c>
      <c r="B33" s="36" t="str">
        <f>H09_S7_TRANSPARENCIA_LOTAIP!C18</f>
        <v>m</v>
      </c>
      <c r="C33" s="235">
        <f>H09_S7_TRANSPARENCIA_LOTAIP!E18</f>
        <v>0</v>
      </c>
      <c r="D33" s="36" t="str">
        <f>H09_S7_TRANSPARENCIA_LOTAIP!G18</f>
        <v>NO</v>
      </c>
      <c r="E33" s="66">
        <f>H09_S7_TRANSPARENCIA_LOTAIP!H18</f>
        <v>0.5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8"/>
    </row>
    <row r="34" spans="1:26" x14ac:dyDescent="0.3">
      <c r="A34" s="50" t="str">
        <f>H09_S7_TRANSPARENCIA_LOTAIP!A19</f>
        <v>FA-I-X-01</v>
      </c>
      <c r="B34" s="39" t="str">
        <f>H09_S7_TRANSPARENCIA_LOTAIP!C19</f>
        <v>k</v>
      </c>
      <c r="C34" s="236" t="str">
        <f>H09_S7_TRANSPARENCIA_LOTAIP!E19</f>
        <v>https://montecristi.gob.ec/transparencia/k/pdot013</v>
      </c>
      <c r="D34" s="39" t="str">
        <f>H09_S7_TRANSPARENCIA_LOTAIP!G19</f>
        <v>SÍ</v>
      </c>
      <c r="E34" s="67">
        <f>H09_S7_TRANSPARENCIA_LOTAIP!H19</f>
        <v>1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40"/>
    </row>
    <row r="35" spans="1:26" x14ac:dyDescent="0.3">
      <c r="A35" s="49" t="str">
        <f>H09_S7_TRANSPARENCIA_LOTAIP!A20</f>
        <v>FA-C-X-01</v>
      </c>
      <c r="B35" s="36" t="str">
        <f>H09_S7_TRANSPARENCIA_LOTAIP!C20</f>
        <v>a4</v>
      </c>
      <c r="C35" s="235" t="str">
        <f>H09_S7_TRANSPARENCIA_LOTAIP!E20</f>
        <v>https://montecristi.gob.ec/transparencia/a4/pdot014</v>
      </c>
      <c r="D35" s="36" t="str">
        <f>H09_S7_TRANSPARENCIA_LOTAIP!G20</f>
        <v>SÍ</v>
      </c>
      <c r="E35" s="66">
        <f>H09_S7_TRANSPARENCIA_LOTAIP!H20</f>
        <v>1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8"/>
    </row>
    <row r="36" spans="1:26" x14ac:dyDescent="0.3">
      <c r="A36" s="50" t="str">
        <f>H09_S7_TRANSPARENCIA_LOTAIP!A21</f>
        <v>FA-I-X-02</v>
      </c>
      <c r="B36" s="39" t="str">
        <f>H09_S7_TRANSPARENCIA_LOTAIP!C21</f>
        <v>m</v>
      </c>
      <c r="C36" s="236">
        <f>H09_S7_TRANSPARENCIA_LOTAIP!E21</f>
        <v>0</v>
      </c>
      <c r="D36" s="39" t="str">
        <f>H09_S7_TRANSPARENCIA_LOTAIP!G21</f>
        <v>NO</v>
      </c>
      <c r="E36" s="67">
        <f>H09_S7_TRANSPARENCIA_LOTAIP!H21</f>
        <v>1</v>
      </c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40"/>
    </row>
    <row r="37" spans="1:26" x14ac:dyDescent="0.3">
      <c r="A37" s="49" t="str">
        <f>H09_S7_TRANSPARENCIA_LOTAIP!A22</f>
        <v>FA-L-N-01</v>
      </c>
      <c r="B37" s="36" t="str">
        <f>H09_S7_TRANSPARENCIA_LOTAIP!C22</f>
        <v>a1</v>
      </c>
      <c r="C37" s="36" t="str">
        <f>H09_S7_TRANSPARENCIA_LOTAIP!E22</f>
        <v>https://montecristi.gob.ec/transparencia/a1/pdot016</v>
      </c>
      <c r="D37" s="36" t="str">
        <f>H09_S7_TRANSPARENCIA_LOTAIP!G22</f>
        <v>SÍ</v>
      </c>
      <c r="E37" s="66">
        <f>H09_S7_TRANSPARENCIA_LOTAIP!H22</f>
        <v>0.5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8"/>
    </row>
    <row r="38" spans="1:26" x14ac:dyDescent="0.3">
      <c r="A38" s="50" t="str">
        <f>H09_S7_TRANSPARENCIA_LOTAIP!A23</f>
        <v>PI-I-G-02</v>
      </c>
      <c r="B38" s="39" t="str">
        <f>H09_S7_TRANSPARENCIA_LOTAIP!C23</f>
        <v>k</v>
      </c>
      <c r="C38" s="39" t="str">
        <f>H09_S7_TRANSPARENCIA_LOTAIP!E23</f>
        <v>https://montecristi.gob.ec/transparencia/k/pdot017</v>
      </c>
      <c r="D38" s="39" t="str">
        <f>H09_S7_TRANSPARENCIA_LOTAIP!G23</f>
        <v>SÍ</v>
      </c>
      <c r="E38" s="67">
        <f>H09_S7_TRANSPARENCIA_LOTAIP!H23</f>
        <v>1</v>
      </c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 spans="1:26" x14ac:dyDescent="0.3">
      <c r="A39" s="49" t="str">
        <f>H09_S7_TRANSPARENCIA_LOTAIP!A24</f>
        <v>PI-L-G-01</v>
      </c>
      <c r="B39" s="36" t="str">
        <f>H09_S7_TRANSPARENCIA_LOTAIP!C24</f>
        <v>m</v>
      </c>
      <c r="C39" s="36" t="str">
        <f>H09_S7_TRANSPARENCIA_LOTAIP!E24</f>
        <v>https://montecristi.gob.ec/transparencia/m/pdot018</v>
      </c>
      <c r="D39" s="36" t="str">
        <f>H09_S7_TRANSPARENCIA_LOTAIP!G24</f>
        <v>SÍ</v>
      </c>
      <c r="E39" s="66">
        <f>H09_S7_TRANSPARENCIA_LOTAIP!H24</f>
        <v>0.5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8"/>
    </row>
    <row r="40" spans="1:26" x14ac:dyDescent="0.3">
      <c r="A40" s="50" t="str">
        <f>H09_S7_TRANSPARENCIA_LOTAIP!A25</f>
        <v>EP-L-N-01</v>
      </c>
      <c r="B40" s="39" t="str">
        <f>H09_S7_TRANSPARENCIA_LOTAIP!C25</f>
        <v>a1</v>
      </c>
      <c r="C40" s="39" t="str">
        <f>H09_S7_TRANSPARENCIA_LOTAIP!E25</f>
        <v>https://montecristi.gob.ec/transparencia/a1/pdot019</v>
      </c>
      <c r="D40" s="39" t="str">
        <f>H09_S7_TRANSPARENCIA_LOTAIP!G25</f>
        <v>SÍ</v>
      </c>
      <c r="E40" s="67">
        <f>H09_S7_TRANSPARENCIA_LOTAIP!H25</f>
        <v>0.5</v>
      </c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40"/>
    </row>
    <row r="41" spans="1:26" x14ac:dyDescent="0.3">
      <c r="A41" s="72" t="str">
        <f>H09_S7_TRANSPARENCIA_LOTAIP!A26</f>
        <v>EP-L-X-01</v>
      </c>
      <c r="B41" s="46" t="str">
        <f>H09_S7_TRANSPARENCIA_LOTAIP!C26</f>
        <v>k</v>
      </c>
      <c r="C41" s="46" t="str">
        <f>H09_S7_TRANSPARENCIA_LOTAIP!E26</f>
        <v>https://montecristi.gob.ec/transparencia/k/pdot020</v>
      </c>
      <c r="D41" s="46" t="str">
        <f>H09_S7_TRANSPARENCIA_LOTAIP!G26</f>
        <v>SÍ</v>
      </c>
      <c r="E41" s="122">
        <f>H09_S7_TRANSPARENCIA_LOTAIP!H26</f>
        <v>0.5</v>
      </c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7"/>
    </row>
  </sheetData>
  <conditionalFormatting sqref="B6">
    <cfRule type="cellIs" dxfId="44" priority="1" operator="greaterThanOrEqual">
      <formula>90</formula>
    </cfRule>
    <cfRule type="cellIs" dxfId="43" priority="2" operator="greaterThanOrEqual">
      <formula>70</formula>
    </cfRule>
    <cfRule type="cellIs" dxfId="42" priority="3" operator="greaterThanOrEqual">
      <formula>40</formula>
    </cfRule>
    <cfRule type="cellIs" dxfId="41" priority="4" operator="greaterThanOrEqual">
      <formula>20</formula>
    </cfRule>
    <cfRule type="cellIs" dxfId="40" priority="5" operator="lessThan">
      <formula>20</formula>
    </cfRule>
  </conditionalFormatting>
  <hyperlinks>
    <hyperlink ref="B1" location="'H00_ÍNDICE'!A1" display="⬅️ ÍNDICE GENERAL" xr:uid="{6E84AA20-0DDC-4D24-86FB-DD98E800631A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E318-9ABD-418F-BEEC-C45F26F7B45E}">
  <sheetPr>
    <tabColor rgb="FF6B46C1"/>
  </sheetPr>
  <dimension ref="A1:Z23"/>
  <sheetViews>
    <sheetView zoomScale="58" zoomScaleNormal="58" workbookViewId="0">
      <pane ySplit="2" topLeftCell="A3" activePane="bottomLeft" state="frozen"/>
      <selection pane="bottomLeft" activeCell="B6" sqref="B6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58" bestFit="1" customWidth="1"/>
    <col min="4" max="4" width="13.88671875" bestFit="1" customWidth="1"/>
    <col min="5" max="5" width="16.4414062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1147</v>
      </c>
      <c r="E1" s="212" t="str">
        <f ca="1">TEXT(TODAY(),"DD/MM/YYYY")</f>
        <v>05/04/2026</v>
      </c>
    </row>
    <row r="2" spans="1:26" ht="30" customHeight="1" x14ac:dyDescent="0.35">
      <c r="A2" s="1" t="s">
        <v>552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553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30" t="s">
        <v>554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7.399999999999999" x14ac:dyDescent="0.35">
      <c r="A6" s="3" t="s">
        <v>555</v>
      </c>
      <c r="B6" s="18" cm="1">
        <f t="array" ref="B6">IFERROR(SUMPRODUCT((H04_S2_PLANIFICACIÓN_PDOT!I6:I25="Inclusion")*H12_MOTOR_ICPI_CANÓNICO!H6:H25)/SUMPRODUCT((H04_S2_PLANIFICACIÓN_PDOT!I6:I25="Inclusion")*H12_MOTOR_ICPI_CANÓNICO!I6:I25)*100,0)</f>
        <v>63.510333371762016</v>
      </c>
    </row>
    <row r="7" spans="1:26" x14ac:dyDescent="0.3">
      <c r="A7" s="3" t="s">
        <v>556</v>
      </c>
      <c r="B7" t="str">
        <f>IF(B6&gt;=90,"🔵 Excelencia en Gobernanza",IF(B6&gt;=70,"🟢 Gestión por Mandato",IF(B6&gt;=40,"🟡 Transición Crítica",IF(B6&gt;=20,"🟠 Gestión por Ocurrencia","🔴 Ruptura Sistémica"))))</f>
        <v>🟡 Transición Crítica</v>
      </c>
    </row>
    <row r="8" spans="1:26" x14ac:dyDescent="0.3">
      <c r="A8" s="120" t="s">
        <v>557</v>
      </c>
      <c r="B8" s="34">
        <f>COUNTIF(H04_S2_PLANIFICACIÓN_PDOT!I6:I25,"Inclusion")</f>
        <v>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9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42" t="s">
        <v>558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1" t="s">
        <v>559</v>
      </c>
      <c r="B11" s="124">
        <v>0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42" t="s">
        <v>560</v>
      </c>
      <c r="B12" s="56">
        <f>H01_PARÁMETROS!B29</f>
        <v>2668914.7000000002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1" t="s">
        <v>561</v>
      </c>
      <c r="B13" s="66" t="str">
        <f>IF(B11&gt;0,B11/B12*100,"N/A — Sin Patronato")</f>
        <v>N/A — Sin Patronato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42" t="s">
        <v>562</v>
      </c>
      <c r="B14" s="125">
        <f>IF(B13="N/A — Sin Patronato",B6,B6*0.7+B13*0.3)</f>
        <v>63.510333371762016</v>
      </c>
      <c r="C14" s="126" t="s">
        <v>563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42" t="s">
        <v>564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4" t="s">
        <v>192</v>
      </c>
      <c r="B17" s="121" t="s">
        <v>381</v>
      </c>
      <c r="C17" s="121" t="s">
        <v>196</v>
      </c>
      <c r="D17" s="121" t="s">
        <v>516</v>
      </c>
      <c r="E17" s="121" t="s">
        <v>408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tr">
        <f>H12_MOTOR_ICPI_CANÓNICO!A11</f>
        <v>AH-I-N-01</v>
      </c>
      <c r="B18" s="39" t="str">
        <f>H04_S2_PLANIFICACIÓN_PDOT!B11</f>
        <v>Gestión integral desechos sólidos: 20,118→23,086 Tn/año; relleno sanitario; capacidad disposición 0%→20%</v>
      </c>
      <c r="C18" s="39" t="str">
        <f>H04_S2_PLANIFICACIÓN_PDOT!J11</f>
        <v>11,13,3</v>
      </c>
      <c r="D18" s="67">
        <f>H12_MOTOR_ICPI_CANÓNICO!J11</f>
        <v>22.5</v>
      </c>
      <c r="E18" s="39" t="str">
        <f>H12_MOTOR_ICPI_CANÓNICO!K11</f>
        <v>🟠 Por Ocurrencia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tr">
        <f>H12_MOTOR_ICPI_CANÓNICO!A12</f>
        <v>SC-L-G-01</v>
      </c>
      <c r="B19" s="36" t="str">
        <f>H04_S2_PLANIFICACIÓN_PDOT!B12</f>
        <v>Alcantarillado sanitario: cobertura 19.77%→24.32%; PTAR 0%→75%; estaciones bombeo 36%→72%</v>
      </c>
      <c r="C19" s="36" t="str">
        <f>H04_S2_PLANIFICACIÓN_PDOT!J12</f>
        <v>6,3,11</v>
      </c>
      <c r="D19" s="66">
        <f>H12_MOTOR_ICPI_CANÓNICO!J12</f>
        <v>47.8125</v>
      </c>
      <c r="E19" s="36" t="str">
        <f>H12_MOTOR_ICPI_CANÓNICO!K12</f>
        <v>🟡 Transición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tr">
        <f>H12_MOTOR_ICPI_CANÓNICO!A13</f>
        <v>AH-I-X-04</v>
      </c>
      <c r="B20" s="39" t="str">
        <f>H04_S2_PLANIFICACIÓN_PDOT!B13</f>
        <v>Modernización recursos administrativos: parque automotor, tecnología e infraestructura municipal</v>
      </c>
      <c r="C20" s="39">
        <f>H04_S2_PLANIFICACIÓN_PDOT!J13</f>
        <v>16</v>
      </c>
      <c r="D20" s="67">
        <f>H12_MOTOR_ICPI_CANÓNICO!J13</f>
        <v>40.5</v>
      </c>
      <c r="E20" s="39" t="str">
        <f>H12_MOTOR_ICPI_CANÓNICO!K13</f>
        <v>🟡 Transición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tr">
        <f>H12_MOTOR_ICPI_CANÓNICO!A17</f>
        <v>SC-I-N-03</v>
      </c>
      <c r="B21" s="36" t="str">
        <f>H04_S2_PLANIFICACIÓN_PDOT!B17</f>
        <v>Participación ciudadana: 50→100 Unidades Territoriales participativas; 2→4 instancias efectivas (COPFP Art.115)</v>
      </c>
      <c r="C21" s="36" t="str">
        <f>H04_S2_PLANIFICACIÓN_PDOT!J17</f>
        <v>16,17</v>
      </c>
      <c r="D21" s="66">
        <f>H12_MOTOR_ICPI_CANÓNICO!J17</f>
        <v>53.437499999999993</v>
      </c>
      <c r="E21" s="36" t="str">
        <f>H12_MOTOR_ICPI_CANÓNICO!K17</f>
        <v>🟡 Transición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H12_MOTOR_ICPI_CANÓNICO!A23</f>
        <v>PI-L-G-01</v>
      </c>
      <c r="B22" s="39" t="str">
        <f>H04_S2_PLANIFICACIÓN_PDOT!B23</f>
        <v>Señalización vial 0→10,000 m²; 0→8 semáforos; revisiones técnicas 4,000→20,000; educación vial 40 instituciones</v>
      </c>
      <c r="C22" s="39" t="str">
        <f>H04_S2_PLANIFICACIÓN_PDOT!J23</f>
        <v>11,3</v>
      </c>
      <c r="D22" s="67">
        <f>H12_MOTOR_ICPI_CANÓNICO!J23</f>
        <v>53.437499999999993</v>
      </c>
      <c r="E22" s="39" t="str">
        <f>H12_MOTOR_ICPI_CANÓNICO!K23</f>
        <v>🟡 Transición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72" t="str">
        <f>H12_MOTOR_ICPI_CANÓNICO!A25</f>
        <v>EP-L-X-01</v>
      </c>
      <c r="B23" s="46" t="str">
        <f>H04_S2_PLANIFICACIÓN_PDOT!B25</f>
        <v>Fortalecimiento productivo: beneficiarios artesanos, mipymes, emprendedores, huertos comunitarios y cadenas de valor</v>
      </c>
      <c r="C23" s="46" t="str">
        <f>H04_S2_PLANIFICACIÓN_PDOT!J25</f>
        <v>1,8,10</v>
      </c>
      <c r="D23" s="122">
        <f>H12_MOTOR_ICPI_CANÓNICO!J25</f>
        <v>85</v>
      </c>
      <c r="E23" s="46" t="str">
        <f>H12_MOTOR_ICPI_CANÓNICO!K25</f>
        <v>🟢 Por Mandato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7"/>
    </row>
  </sheetData>
  <conditionalFormatting sqref="B6">
    <cfRule type="cellIs" dxfId="39" priority="1" operator="greaterThanOrEqual">
      <formula>90</formula>
    </cfRule>
    <cfRule type="cellIs" dxfId="38" priority="2" operator="greaterThanOrEqual">
      <formula>70</formula>
    </cfRule>
    <cfRule type="cellIs" dxfId="37" priority="3" operator="greaterThanOrEqual">
      <formula>40</formula>
    </cfRule>
    <cfRule type="cellIs" dxfId="36" priority="4" operator="greaterThanOrEqual">
      <formula>20</formula>
    </cfRule>
    <cfRule type="cellIs" dxfId="35" priority="5" operator="lessThan">
      <formula>20</formula>
    </cfRule>
  </conditionalFormatting>
  <hyperlinks>
    <hyperlink ref="B1" location="'H00_ÍNDICE'!A1" display="⬅️ ÍNDICE GENERAL" xr:uid="{19FAABB8-926C-47A5-9F60-6BEE1BA1BF7E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2A7E-FF1A-444F-A199-7DA35B8E253A}">
  <sheetPr>
    <tabColor rgb="FF6B46C1"/>
  </sheetPr>
  <dimension ref="A1:Z29"/>
  <sheetViews>
    <sheetView zoomScale="45" zoomScaleNormal="45" workbookViewId="0">
      <pane ySplit="2" topLeftCell="A3" activePane="bottomLeft" state="frozen"/>
      <selection pane="bottomLeft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8.88671875" bestFit="1" customWidth="1"/>
    <col min="4" max="4" width="14.44140625" bestFit="1" customWidth="1"/>
    <col min="5" max="5" width="23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1148</v>
      </c>
      <c r="E1" s="212" t="str">
        <f ca="1">TEXT(TODAY(),"DD/MM/YYYY")</f>
        <v>05/04/2026</v>
      </c>
    </row>
    <row r="2" spans="1:26" ht="30" customHeight="1" x14ac:dyDescent="0.35">
      <c r="A2" s="1" t="s">
        <v>565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566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 t="s">
        <v>362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4" t="s">
        <v>567</v>
      </c>
    </row>
    <row r="7" spans="1:26" x14ac:dyDescent="0.3">
      <c r="A7" s="2" t="s">
        <v>364</v>
      </c>
      <c r="B7" s="2" t="s">
        <v>365</v>
      </c>
      <c r="C7" s="2" t="s">
        <v>528</v>
      </c>
      <c r="D7" s="2" t="s">
        <v>568</v>
      </c>
      <c r="E7" s="2" t="s">
        <v>530</v>
      </c>
    </row>
    <row r="8" spans="1:26" x14ac:dyDescent="0.3">
      <c r="A8" s="48" t="s">
        <v>206</v>
      </c>
      <c r="B8" s="34" t="s">
        <v>370</v>
      </c>
      <c r="C8" s="34">
        <f>H11_S9_AGENDA_GLOBAL_ODS!C8</f>
        <v>7</v>
      </c>
      <c r="D8" s="65">
        <f>H11_S9_AGENDA_GLOBAL_ODS!D8</f>
        <v>75.735167022581891</v>
      </c>
      <c r="E8" s="34" t="str">
        <f>H11_S9_AGENDA_GLOBAL_ODS!E8</f>
        <v>🟢 Gestión por Mandato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9" t="s">
        <v>219</v>
      </c>
      <c r="B9" s="36" t="s">
        <v>372</v>
      </c>
      <c r="C9" s="36">
        <f>H11_S9_AGENDA_GLOBAL_ODS!C9</f>
        <v>10</v>
      </c>
      <c r="D9" s="66">
        <f>H11_S9_AGENDA_GLOBAL_ODS!D9</f>
        <v>71.274658627993574</v>
      </c>
      <c r="E9" s="36" t="str">
        <f>H11_S9_AGENDA_GLOBAL_ODS!E9</f>
        <v>🟢 Gestión por Mandato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 t="s">
        <v>569</v>
      </c>
      <c r="B10" s="39" t="s">
        <v>374</v>
      </c>
      <c r="C10" s="39">
        <f>H11_S9_AGENDA_GLOBAL_ODS!C10</f>
        <v>3</v>
      </c>
      <c r="D10" s="67">
        <f>H11_S9_AGENDA_GLOBAL_ODS!D10</f>
        <v>63.510333371762016</v>
      </c>
      <c r="E10" s="39" t="str">
        <f>H11_S9_AGENDA_GLOBAL_ODS!E10</f>
        <v>🟡 Transición Crítica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42" t="s">
        <v>570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 t="s">
        <v>571</v>
      </c>
      <c r="B13" s="36">
        <f>H11_S9_AGENDA_GLOBAL_ODS!B15</f>
        <v>2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">
        <v>572</v>
      </c>
      <c r="B14" s="125" cm="1">
        <f t="array" ref="B14">IFERROR(SUMPRODUCT(ISNUMBER(SEARCH("5",H04_S2_PLANIFICACIÓN_PDOT!J6:J25))*H12_MOTOR_ICPI_CANÓNICO!H6:H25)/SUMPRODUCT(ISNUMBER(SEARCH("5",H04_S2_PLANIFICACIÓN_PDOT!J6:J25))*H12_MOTOR_ICPI_CANÓNICO!I6:I25)*100,0)</f>
        <v>75.577876127377436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">
        <v>573</v>
      </c>
      <c r="B15" s="36" t="str">
        <f>IF(B14&gt;=90,"🔵 Excelencia",IF(B14&gt;=70,"🟢 Por Mandato",IF(B14&gt;=40,"🟡 Transición",IF(B14&gt;=20,"🟠 Por Ocurrencia","🔴 Ruptura"))))</f>
        <v>🟢 Por Mandato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1" t="s">
        <v>574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">
        <v>575</v>
      </c>
      <c r="B18" s="125" cm="1">
        <f t="array" ref="B18">IFERROR(SUMPRODUCT((ISNUMBER(SEARCH("3",H04_S2_PLANIFICACIÓN_PDOT!J6:J25))+ISNUMBER(SEARCH("4",H04_S2_PLANIFICACIÓN_PDOT!J6:J25))+ISNUMBER(SEARCH("10",H04_S2_PLANIFICACIÓN_PDOT!J6:J25))&gt;0)*H12_MOTOR_ICPI_CANÓNICO!H6:H25)/SUMPRODUCT((ISNUMBER(SEARCH("3",H04_S2_PLANIFICACIÓN_PDOT!J6:J25))+ISNUMBER(SEARCH("4",H04_S2_PLANIFICACIÓN_PDOT!J6:J25))+ISNUMBER(SEARCH("10",H04_S2_PLANIFICACIÓN_PDOT!J6:J25))&gt;0)*H12_MOTOR_ICPI_CANÓNICO!I6:I25)*100,0)</f>
        <v>83.717668250534118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">
        <v>576</v>
      </c>
      <c r="B19" s="36" t="str">
        <f>IF(B18&gt;=90,"🔵 Excelencia",IF(B18&gt;=70,"🟢 Por Mandato",IF(B18&gt;=40,"🟡 Transición",IF(B18&gt;=20,"🟠 Por Ocurrencia","🔴 Ruptura"))))</f>
        <v>🟢 Por Mandato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1" t="s">
        <v>577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">
        <v>578</v>
      </c>
      <c r="B22" s="39">
        <f>H11_S9_AGENDA_GLOBAL_ODS!B16</f>
        <v>3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">
        <v>579</v>
      </c>
      <c r="B23" s="127" cm="1">
        <f t="array" ref="B23">IFERROR(SUMPRODUCT(ISNUMBER(SEARCH("13",H04_S2_PLANIFICACIÓN_PDOT!J6:J25))*H12_MOTOR_ICPI_CANÓNICO!H6:H25)/SUMPRODUCT(ISNUMBER(SEARCH("13",H04_S2_PLANIFICACIÓN_PDOT!J6:J25))*H12_MOTOR_ICPI_CANÓNICO!I6:I25)*100,0)</f>
        <v>30.394136134572079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1" t="s">
        <v>580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42" t="s">
        <v>581</v>
      </c>
      <c r="B26" s="39" t="str">
        <f>H11_S9_AGENDA_GLOBAL_ODS!B26</f>
        <v>ICPI Gobernanza: 76% — Certifica base institucional elegible para financiamiento CAF bajo marco Gobernanza Anticipatoria ODS 16-17.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1" t="s">
        <v>582</v>
      </c>
      <c r="B27" s="36" t="str">
        <f>H11_S9_AGENDA_GLOBAL_ODS!B27</f>
        <v>ICPI Inclusión: 64% — Evidencia que inversión en grupos vulnerables requiere fortalecimiento de trazabilidad. Argumento BID Social.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42" t="s">
        <v>583</v>
      </c>
      <c r="B28" s="39" t="str">
        <f>"ICPI Género: "&amp;TEXT(B14,"0.0")&amp;"% — "&amp;B15&amp;". "&amp;TEXT(B13,"0")&amp;" metas con enfoque ODS 5 verificadas en 9 silos. Bono discriminación positiva 1.15 activo (H01!B37)."</f>
        <v>ICPI Género: 76% — 🟢 Por Mandato. 2 metas con enfoque ODS 5 verificadas en 9 silos. Bono discriminación positiva 1.15 activo (H01!B37).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1:26" x14ac:dyDescent="0.3">
      <c r="A29" s="118" t="s">
        <v>584</v>
      </c>
      <c r="B29" s="46" t="s">
        <v>585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7"/>
    </row>
  </sheetData>
  <conditionalFormatting sqref="D8:D10">
    <cfRule type="cellIs" dxfId="34" priority="1" operator="greaterThanOrEqual">
      <formula>90</formula>
    </cfRule>
    <cfRule type="cellIs" dxfId="33" priority="2" operator="greaterThanOrEqual">
      <formula>70</formula>
    </cfRule>
    <cfRule type="cellIs" dxfId="32" priority="3" operator="greaterThanOrEqual">
      <formula>40</formula>
    </cfRule>
    <cfRule type="cellIs" dxfId="31" priority="4" operator="greaterThanOrEqual">
      <formula>20</formula>
    </cfRule>
    <cfRule type="cellIs" dxfId="30" priority="5" operator="lessThan">
      <formula>20</formula>
    </cfRule>
  </conditionalFormatting>
  <hyperlinks>
    <hyperlink ref="B1" location="'H00_ÍNDICE'!A1" display="⬅️ ÍNDICE GENERAL" xr:uid="{4493EE3A-AB40-4B13-84CB-4BEAE9CAF9A2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4509-2CC4-4448-A75E-82A4E14E1DD9}">
  <sheetPr>
    <tabColor rgb="FFE53E3E"/>
  </sheetPr>
  <dimension ref="A1:Z24"/>
  <sheetViews>
    <sheetView workbookViewId="0">
      <pane ySplit="2" topLeftCell="A3" activePane="bottomLeft" state="frozen"/>
      <selection pane="bottomLeft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48.77734375" bestFit="1" customWidth="1"/>
    <col min="4" max="4" width="8.77734375" bestFit="1" customWidth="1"/>
    <col min="5" max="5" width="8.10937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1149</v>
      </c>
      <c r="E1" s="212" t="str">
        <f ca="1">TEXT(TODAY(),"DD/MM/YYYY")</f>
        <v>05/04/2026</v>
      </c>
    </row>
    <row r="2" spans="1:26" ht="30" customHeight="1" x14ac:dyDescent="0.35">
      <c r="A2" s="1" t="s">
        <v>586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587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 t="s">
        <v>588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4" t="s">
        <v>589</v>
      </c>
    </row>
    <row r="7" spans="1:26" x14ac:dyDescent="0.3">
      <c r="A7" s="3" t="s">
        <v>69</v>
      </c>
      <c r="B7" s="5">
        <f>H01_PARÁMETROS!B41</f>
        <v>0.8</v>
      </c>
      <c r="C7" s="9" t="s">
        <v>590</v>
      </c>
    </row>
    <row r="8" spans="1:26" x14ac:dyDescent="0.3">
      <c r="A8" s="120" t="s">
        <v>70</v>
      </c>
      <c r="B8" s="75">
        <f>H01_PARÁMETROS!B42</f>
        <v>0.1</v>
      </c>
      <c r="C8" s="128" t="s">
        <v>591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1" t="s">
        <v>592</v>
      </c>
      <c r="B9" s="51">
        <f>H08_S6_AUTOREPORTE_SIGAD!C27</f>
        <v>100</v>
      </c>
      <c r="C9" s="68" t="s">
        <v>593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42" t="s">
        <v>594</v>
      </c>
      <c r="B10" s="61">
        <f>H08_S6_AUTOREPORTE_SIGAD!C28/20</f>
        <v>1</v>
      </c>
      <c r="C10" s="69" t="s">
        <v>595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42" t="s">
        <v>596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ht="15.6" x14ac:dyDescent="0.3">
      <c r="A13" s="41" t="s">
        <v>597</v>
      </c>
      <c r="B13" s="129" t="str">
        <f>IF(AND(H08_S6_AUTOREPORTE_SIGAD!C27&gt;=H01_PARÁMETROS!B41,H08_S6_AUTOREPORTE_SIGAD!C28/20&lt;=H01_PARÁMETROS!B42),"⚠️ SAT-I ACTIVA — Fragmentación Selectiva","✅ Sin señal SAT-I")</f>
        <v>✅ Sin señal SAT-I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1" t="s">
        <v>598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42" t="s">
        <v>599</v>
      </c>
      <c r="B16" s="67">
        <f>H08_S6_AUTOREPORTE_SIGAD!C27</f>
        <v>100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1" t="s">
        <v>600</v>
      </c>
      <c r="B17" s="83">
        <f>H08_S6_AUTOREPORTE_SIGAD!C28</f>
        <v>20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42" t="s">
        <v>601</v>
      </c>
      <c r="B18" s="85">
        <f>20</f>
        <v>20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1" t="s">
        <v>602</v>
      </c>
      <c r="B19" s="55">
        <f>IFERROR((20-H08_S6_AUTOREPORTE_SIGAD!C28)/20*H01_PARÁMETROS!B28,0)</f>
        <v>0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1" t="s">
        <v>603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42" t="s">
        <v>605</v>
      </c>
      <c r="B22" s="105" t="s">
        <v>604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96" t="s">
        <v>606</v>
      </c>
      <c r="B24" s="130" t="str">
        <f>B13</f>
        <v>✅ Sin señal SAT-I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/>
    </row>
  </sheetData>
  <hyperlinks>
    <hyperlink ref="B1" location="'H00_ÍNDICE'!A1" display="⬅️ ÍNDICE GENERAL" xr:uid="{65306F5C-D82F-4B4D-A1D7-519AFB2E20ED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D27A-7FC6-45F7-8318-40425646FA9F}">
  <sheetPr>
    <tabColor rgb="FFE53E3E"/>
  </sheetPr>
  <dimension ref="A1:Z38"/>
  <sheetViews>
    <sheetView workbookViewId="0">
      <pane ySplit="2" topLeftCell="A3" activePane="bottomLeft" state="frozen"/>
      <selection pane="bottomLeft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34.6640625" bestFit="1" customWidth="1"/>
    <col min="4" max="4" width="28" bestFit="1" customWidth="1"/>
    <col min="5" max="5" width="8.10937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1150</v>
      </c>
      <c r="E1" s="212" t="str">
        <f ca="1">TEXT(TODAY(),"DD/MM/YYYY")</f>
        <v>05/04/2026</v>
      </c>
    </row>
    <row r="2" spans="1:26" ht="30" customHeight="1" x14ac:dyDescent="0.35">
      <c r="A2" s="1" t="s">
        <v>607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608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 t="s">
        <v>609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4" t="s">
        <v>610</v>
      </c>
    </row>
    <row r="7" spans="1:26" x14ac:dyDescent="0.3">
      <c r="A7" s="3" t="s">
        <v>611</v>
      </c>
      <c r="B7" s="13">
        <f>COUNTIF(H08_S6_AUTOREPORTE_SIGAD!G7:G26,"⚠️*")</f>
        <v>0</v>
      </c>
      <c r="C7" s="9" t="s">
        <v>612</v>
      </c>
    </row>
    <row r="8" spans="1:26" x14ac:dyDescent="0.3">
      <c r="A8" s="48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1" t="s">
        <v>613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ht="15.6" x14ac:dyDescent="0.3">
      <c r="A10" s="42" t="s">
        <v>597</v>
      </c>
      <c r="B10" s="131" t="str">
        <f>IF(COUNTIF(H08_S6_AUTOREPORTE_SIGAD!G7:G26,"⚠️*")&gt;0,"⚠️ SAT-II ACTIVA — Sustitución Estratégica","✅ Sin señal SAT-II")</f>
        <v>✅ Sin señal SAT-II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42" t="s">
        <v>614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4" t="s">
        <v>192</v>
      </c>
      <c r="B13" s="121" t="s">
        <v>615</v>
      </c>
      <c r="C13" s="121" t="s">
        <v>616</v>
      </c>
      <c r="D13" s="121" t="s">
        <v>617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tr">
        <f>H08_S6_AUTOREPORTE_SIGAD!A7</f>
        <v>SC-I-N-01</v>
      </c>
      <c r="B14" s="39" t="str">
        <f>H04_S2_PLANIFICACIÓN_PDOT!O6</f>
        <v>% cobertura agua potable</v>
      </c>
      <c r="C14" s="39" t="str">
        <f>H08_S6_AUTOREPORTE_SIGAD!D7</f>
        <v>% cobertura agua potable</v>
      </c>
      <c r="D14" s="39" t="str">
        <f>H08_S6_AUTOREPORTE_SIGAD!G7</f>
        <v>✅ Unidad consistente con PDOT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tr">
        <f>H08_S6_AUTOREPORTE_SIGAD!A8</f>
        <v>SC-L-N-02</v>
      </c>
      <c r="B15" s="36" t="str">
        <f>H04_S2_PLANIFICACIÓN_PDOT!O7</f>
        <v>% nivel desempeño personal</v>
      </c>
      <c r="C15" s="36" t="str">
        <f>H08_S6_AUTOREPORTE_SIGAD!D8</f>
        <v>% nivel desempeño personal</v>
      </c>
      <c r="D15" s="36" t="str">
        <f>H08_S6_AUTOREPORTE_SIGAD!G8</f>
        <v>✅ Unidad consistente con PDOT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tr">
        <f>H08_S6_AUTOREPORTE_SIGAD!A9</f>
        <v>AH-I-X-01</v>
      </c>
      <c r="B16" s="39" t="str">
        <f>H04_S2_PLANIFICACIÓN_PDOT!O8</f>
        <v>% autonomía financiera</v>
      </c>
      <c r="C16" s="39" t="str">
        <f>H08_S6_AUTOREPORTE_SIGAD!D9</f>
        <v>% autonomía financiera</v>
      </c>
      <c r="D16" s="39" t="str">
        <f>H08_S6_AUTOREPORTE_SIGAD!G9</f>
        <v>✅ Unidad consistente con PDOT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tr">
        <f>H08_S6_AUTOREPORTE_SIGAD!A10</f>
        <v>AH-I-X-02</v>
      </c>
      <c r="B17" s="36" t="str">
        <f>H04_S2_PLANIFICACIÓN_PDOT!O9</f>
        <v>Km vías mantenidas CUP acumulado</v>
      </c>
      <c r="C17" s="36" t="str">
        <f>H08_S6_AUTOREPORTE_SIGAD!D10</f>
        <v>Km vías mantenidas CUP acumulado</v>
      </c>
      <c r="D17" s="36" t="str">
        <f>H08_S6_AUTOREPORTE_SIGAD!G10</f>
        <v>✅ Unidad consistente con PDOT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tr">
        <f>H08_S6_AUTOREPORTE_SIGAD!A11</f>
        <v>AH-I-X-03</v>
      </c>
      <c r="B18" s="39" t="str">
        <f>H04_S2_PLANIFICACIÓN_PDOT!O10</f>
        <v>Personas atendidas salud municipal</v>
      </c>
      <c r="C18" s="39" t="str">
        <f>H08_S6_AUTOREPORTE_SIGAD!D11</f>
        <v>Personas atendidas salud municipal</v>
      </c>
      <c r="D18" s="39" t="str">
        <f>H08_S6_AUTOREPORTE_SIGAD!G11</f>
        <v>✅ Unidad consistente con PDOT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tr">
        <f>H08_S6_AUTOREPORTE_SIGAD!A12</f>
        <v>AH-I-N-01</v>
      </c>
      <c r="B19" s="36" t="str">
        <f>H04_S2_PLANIFICACIÓN_PDOT!O11</f>
        <v>Toneladas de desechos gestionadas/año</v>
      </c>
      <c r="C19" s="36" t="str">
        <f>H08_S6_AUTOREPORTE_SIGAD!D12</f>
        <v>Toneladas de desechos gestionadas/año</v>
      </c>
      <c r="D19" s="36" t="str">
        <f>H08_S6_AUTOREPORTE_SIGAD!G12</f>
        <v>✅ Unidad consistente con PDOT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tr">
        <f>H08_S6_AUTOREPORTE_SIGAD!A13</f>
        <v>SC-L-G-01</v>
      </c>
      <c r="B20" s="39" t="str">
        <f>H04_S2_PLANIFICACIÓN_PDOT!O12</f>
        <v>% cobertura alcantarillado sanitario</v>
      </c>
      <c r="C20" s="39" t="str">
        <f>H08_S6_AUTOREPORTE_SIGAD!D13</f>
        <v>% cobertura alcantarillado sanitario</v>
      </c>
      <c r="D20" s="39" t="str">
        <f>H08_S6_AUTOREPORTE_SIGAD!G13</f>
        <v>✅ Unidad consistente con PDOT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tr">
        <f>H08_S6_AUTOREPORTE_SIGAD!A14</f>
        <v>AH-I-X-04</v>
      </c>
      <c r="B21" s="36" t="str">
        <f>H04_S2_PLANIFICACIÓN_PDOT!O13</f>
        <v>Parque automotor y tecnología renovados</v>
      </c>
      <c r="C21" s="36" t="str">
        <f>H08_S6_AUTOREPORTE_SIGAD!D14</f>
        <v>Parque automotor y tecnología renovados</v>
      </c>
      <c r="D21" s="36" t="str">
        <f>H08_S6_AUTOREPORTE_SIGAD!G14</f>
        <v>✅ Unidad consistente con PDOT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H08_S6_AUTOREPORTE_SIGAD!A15</f>
        <v>PI-I-G-01</v>
      </c>
      <c r="B22" s="39" t="str">
        <f>H04_S2_PLANIFICACIÓN_PDOT!O14</f>
        <v>m² / hab índice equipamiento urbano CUP</v>
      </c>
      <c r="C22" s="39" t="str">
        <f>H08_S6_AUTOREPORTE_SIGAD!D15</f>
        <v>m² / hab índice equipamiento urbano CUP</v>
      </c>
      <c r="D22" s="39" t="str">
        <f>H08_S6_AUTOREPORTE_SIGAD!G15</f>
        <v>✅ Unidad consistente con PDOT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tr">
        <f>H08_S6_AUTOREPORTE_SIGAD!A16</f>
        <v>AH-C-X-01</v>
      </c>
      <c r="B23" s="36" t="str">
        <f>H04_S2_PLANIFICACIÓN_PDOT!O15</f>
        <v>Atenciones en programas grupos prioritarios</v>
      </c>
      <c r="C23" s="36" t="str">
        <f>H08_S6_AUTOREPORTE_SIGAD!D16</f>
        <v>Atenciones en programas grupos prioritarios</v>
      </c>
      <c r="D23" s="36" t="str">
        <f>H08_S6_AUTOREPORTE_SIGAD!G16</f>
        <v>✅ Unidad consistente con PDOT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tr">
        <f>H08_S6_AUTOREPORTE_SIGAD!A17</f>
        <v>AH-C-X-02</v>
      </c>
      <c r="B24" s="39" t="str">
        <f>H04_S2_PLANIFICACIÓN_PDOT!O16</f>
        <v>% levantamiento SIL catastro urbano-rural</v>
      </c>
      <c r="C24" s="39" t="str">
        <f>H08_S6_AUTOREPORTE_SIGAD!D17</f>
        <v>% levantamiento SIL catastro urbano-rural</v>
      </c>
      <c r="D24" s="39" t="str">
        <f>H08_S6_AUTOREPORTE_SIGAD!G17</f>
        <v>✅ Unidad consistente con PDOT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tr">
        <f>H08_S6_AUTOREPORTE_SIGAD!A18</f>
        <v>SC-I-N-03</v>
      </c>
      <c r="B25" s="36" t="str">
        <f>H04_S2_PLANIFICACIÓN_PDOT!O17</f>
        <v>Unidades Territoriales participativas activas</v>
      </c>
      <c r="C25" s="36" t="str">
        <f>H08_S6_AUTOREPORTE_SIGAD!D18</f>
        <v>Unidades Territoriales participativas activas</v>
      </c>
      <c r="D25" s="36" t="str">
        <f>H08_S6_AUTOREPORTE_SIGAD!G18</f>
        <v>✅ Unidad consistente con PDOT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50" t="str">
        <f>H08_S6_AUTOREPORTE_SIGAD!A19</f>
        <v>FA-I-X-01</v>
      </c>
      <c r="B26" s="39" t="str">
        <f>H04_S2_PLANIFICACIÓN_PDOT!O18</f>
        <v>Unidades infraestructura susceptible (meta reducción)</v>
      </c>
      <c r="C26" s="39" t="str">
        <f>H08_S6_AUTOREPORTE_SIGAD!D19</f>
        <v>Unidades infraestructura susceptible (meta reducción)</v>
      </c>
      <c r="D26" s="39" t="str">
        <f>H08_S6_AUTOREPORTE_SIGAD!G19</f>
        <v>✅ Unidad consistente con PDOT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9" t="str">
        <f>H08_S6_AUTOREPORTE_SIGAD!A20</f>
        <v>FA-C-X-01</v>
      </c>
      <c r="B27" s="36" t="str">
        <f>H04_S2_PLANIFICACIÓN_PDOT!O19</f>
        <v>m²/hab índice verde urbano</v>
      </c>
      <c r="C27" s="36" t="str">
        <f>H08_S6_AUTOREPORTE_SIGAD!D20</f>
        <v>m²/hab índice verde urbano</v>
      </c>
      <c r="D27" s="36" t="str">
        <f>H08_S6_AUTOREPORTE_SIGAD!G20</f>
        <v>✅ Unidad consistente con PDOT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50" t="str">
        <f>H08_S6_AUTOREPORTE_SIGAD!A21</f>
        <v>FA-I-X-02</v>
      </c>
      <c r="B28" s="39" t="str">
        <f>H04_S2_PLANIFICACIÓN_PDOT!O20</f>
        <v>% cobertura recolección desechos</v>
      </c>
      <c r="C28" s="39" t="str">
        <f>H08_S6_AUTOREPORTE_SIGAD!D21</f>
        <v>% cobertura recolección desechos</v>
      </c>
      <c r="D28" s="39" t="str">
        <f>H08_S6_AUTOREPORTE_SIGAD!G21</f>
        <v>✅ Unidad consistente con PDOT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1:26" x14ac:dyDescent="0.3">
      <c r="A29" s="49" t="str">
        <f>H08_S6_AUTOREPORTE_SIGAD!A22</f>
        <v>FA-L-N-01</v>
      </c>
      <c r="B29" s="36" t="str">
        <f>H04_S2_PLANIFICACIÓN_PDOT!O21</f>
        <v>Participantes anuales en eventos culturales</v>
      </c>
      <c r="C29" s="36" t="str">
        <f>H08_S6_AUTOREPORTE_SIGAD!D22</f>
        <v>Participantes anuales en eventos culturales</v>
      </c>
      <c r="D29" s="36" t="str">
        <f>H08_S6_AUTOREPORTE_SIGAD!G22</f>
        <v>✅ Unidad consistente con PDOT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8"/>
    </row>
    <row r="30" spans="1:26" x14ac:dyDescent="0.3">
      <c r="A30" s="50" t="str">
        <f>H08_S6_AUTOREPORTE_SIGAD!A23</f>
        <v>PI-I-G-02</v>
      </c>
      <c r="B30" s="39" t="str">
        <f>H04_S2_PLANIFICACIÓN_PDOT!O22</f>
        <v>% cumplimiento PDOT/PUGS</v>
      </c>
      <c r="C30" s="39" t="str">
        <f>H08_S6_AUTOREPORTE_SIGAD!D23</f>
        <v>% cumplimiento PDOT/PUGS</v>
      </c>
      <c r="D30" s="39" t="str">
        <f>H08_S6_AUTOREPORTE_SIGAD!G23</f>
        <v>✅ Unidad consistente con PDOT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1:26" x14ac:dyDescent="0.3">
      <c r="A31" s="49" t="str">
        <f>H08_S6_AUTOREPORTE_SIGAD!A24</f>
        <v>PI-L-G-01</v>
      </c>
      <c r="B31" s="36" t="str">
        <f>H04_S2_PLANIFICACIÓN_PDOT!O23</f>
        <v>Revisiones técnicas vehiculares anuales</v>
      </c>
      <c r="C31" s="36" t="str">
        <f>H08_S6_AUTOREPORTE_SIGAD!D24</f>
        <v>Revisiones técnicas vehiculares anuales</v>
      </c>
      <c r="D31" s="36" t="str">
        <f>H08_S6_AUTOREPORTE_SIGAD!G24</f>
        <v>✅ Unidad consistente con PDOT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</row>
    <row r="32" spans="1:26" x14ac:dyDescent="0.3">
      <c r="A32" s="50" t="str">
        <f>H08_S6_AUTOREPORTE_SIGAD!A25</f>
        <v>EP-L-N-01</v>
      </c>
      <c r="B32" s="39" t="str">
        <f>H04_S2_PLANIFICACIÓN_PDOT!O24</f>
        <v>Viviendas de interés social ofertadas</v>
      </c>
      <c r="C32" s="39" t="str">
        <f>H08_S6_AUTOREPORTE_SIGAD!D25</f>
        <v>Viviendas de interés social ofertadas</v>
      </c>
      <c r="D32" s="39" t="str">
        <f>H08_S6_AUTOREPORTE_SIGAD!G25</f>
        <v>✅ Unidad consistente con PDOT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40"/>
    </row>
    <row r="33" spans="1:26" x14ac:dyDescent="0.3">
      <c r="A33" s="49" t="str">
        <f>H08_S6_AUTOREPORTE_SIGAD!A26</f>
        <v>EP-L-X-01</v>
      </c>
      <c r="B33" s="36" t="str">
        <f>H04_S2_PLANIFICACIÓN_PDOT!O25</f>
        <v>Beneficiarios programas fortalecimiento productivo</v>
      </c>
      <c r="C33" s="36" t="str">
        <f>H08_S6_AUTOREPORTE_SIGAD!D26</f>
        <v>Beneficiarios programas fortalecimiento productivo</v>
      </c>
      <c r="D33" s="36" t="str">
        <f>H08_S6_AUTOREPORTE_SIGAD!G26</f>
        <v>✅ Unidad consistente con PDOT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8"/>
    </row>
    <row r="34" spans="1:26" x14ac:dyDescent="0.3">
      <c r="A34" s="50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40"/>
    </row>
    <row r="35" spans="1:26" x14ac:dyDescent="0.3">
      <c r="A35" s="41" t="s">
        <v>603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8"/>
    </row>
    <row r="36" spans="1:26" x14ac:dyDescent="0.3">
      <c r="A36" s="42" t="s">
        <v>605</v>
      </c>
      <c r="B36" s="105" t="s">
        <v>618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40"/>
    </row>
    <row r="37" spans="1:26" x14ac:dyDescent="0.3">
      <c r="A37" s="49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8"/>
    </row>
    <row r="38" spans="1:26" x14ac:dyDescent="0.3">
      <c r="A38" s="96" t="s">
        <v>619</v>
      </c>
      <c r="B38" s="130" t="str">
        <f>B10</f>
        <v>✅ Sin señal SAT-II</v>
      </c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4"/>
    </row>
  </sheetData>
  <hyperlinks>
    <hyperlink ref="B1" location="'H00_ÍNDICE'!A1" display="⬅️ ÍNDICE GENERAL" xr:uid="{AC71FDCD-0DB2-4A32-8828-6D3A211CA645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2765-BC10-4EA1-8690-06ABF349089A}">
  <sheetPr>
    <tabColor rgb="FFE53E3E"/>
  </sheetPr>
  <dimension ref="A1:Z24"/>
  <sheetViews>
    <sheetView workbookViewId="0">
      <pane ySplit="2" topLeftCell="A3" activePane="bottomLeft" state="frozen"/>
      <selection pane="bottomLeft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40.21875" bestFit="1" customWidth="1"/>
    <col min="4" max="4" width="9.6640625" bestFit="1" customWidth="1"/>
    <col min="5" max="5" width="8.10937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1151</v>
      </c>
      <c r="E1" s="212" t="str">
        <f ca="1">TEXT(TODAY(),"DD/MM/YYYY")</f>
        <v>05/04/2026</v>
      </c>
    </row>
    <row r="2" spans="1:26" ht="30" customHeight="1" x14ac:dyDescent="0.35">
      <c r="A2" s="1" t="s">
        <v>620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621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 t="s">
        <v>622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4" t="s">
        <v>589</v>
      </c>
    </row>
    <row r="7" spans="1:26" x14ac:dyDescent="0.3">
      <c r="A7" s="3" t="s">
        <v>623</v>
      </c>
      <c r="B7" s="5">
        <f>H01_PARÁMETROS!B44</f>
        <v>5</v>
      </c>
      <c r="C7" s="9" t="s">
        <v>624</v>
      </c>
    </row>
    <row r="8" spans="1:26" x14ac:dyDescent="0.3">
      <c r="A8" s="120" t="s">
        <v>625</v>
      </c>
      <c r="B8" s="75">
        <f>H01_PARÁMETROS!B45</f>
        <v>0.1</v>
      </c>
      <c r="C8" s="128" t="s">
        <v>626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1" t="s">
        <v>592</v>
      </c>
      <c r="B9" s="51">
        <f>H08_S6_AUTOREPORTE_SIGAD!C27</f>
        <v>100</v>
      </c>
      <c r="C9" s="68" t="s">
        <v>627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42" t="s">
        <v>628</v>
      </c>
      <c r="B10" s="61">
        <f>H07_S5_FINANCIERO_eSIGEF!B28</f>
        <v>0.78499999999999981</v>
      </c>
      <c r="C10" s="69" t="s">
        <v>629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1" t="s">
        <v>630</v>
      </c>
      <c r="B11" s="51">
        <f>COUNTIF(H08_S6_AUTOREPORTE_SIGAD!G7:G26,"⚠️*")</f>
        <v>0</v>
      </c>
      <c r="C11" s="68" t="s">
        <v>631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50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1" t="s">
        <v>632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ht="15.6" x14ac:dyDescent="0.3">
      <c r="A14" s="42" t="s">
        <v>597</v>
      </c>
      <c r="B14" s="131" t="str">
        <f>IF(AND(H08_S6_AUTOREPORTE_SIGAD!C27&gt;H01_PARÁMETROS!B44,H07_S5_FINANCIERO_eSIGEF!B28&lt;H01_PARÁMETROS!B45,COUNTIF(H08_S6_AUTOREPORTE_SIGAD!G7:G26,"⚠️*")&gt;0),"⚠️ SAT-III ACTIVA — Inflación de Unidades","✅ Sin señal SAT-III")</f>
        <v>✅ Sin señal SAT-III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42" t="s">
        <v>633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1" t="s">
        <v>634</v>
      </c>
      <c r="B17" s="36" t="str">
        <f>IF(H08_S6_AUTOREPORTE_SIGAD!C27&gt;H01_PARÁMETROS!B44,"🔴 ACTIVA","✅ No activada")</f>
        <v>🔴 ACTIVA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42" t="s">
        <v>635</v>
      </c>
      <c r="B18" s="39" t="str">
        <f>IF(H07_S5_FINANCIERO_eSIGEF!B28&lt;H01_PARÁMETROS!B45,"🔴 ACTIVA","✅ No activada")</f>
        <v>✅ No activada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1" t="s">
        <v>636</v>
      </c>
      <c r="B19" s="36" t="str">
        <f>IF(COUNTIF(H08_S6_AUTOREPORTE_SIGAD!G7:G26,"⚠️*")&gt;0,"🔴 ACTIVA","✅ No activada")</f>
        <v>✅ No activada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1" t="s">
        <v>603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42" t="s">
        <v>605</v>
      </c>
      <c r="B22" s="105" t="s">
        <v>637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96" t="s">
        <v>638</v>
      </c>
      <c r="B24" s="130" t="str">
        <f>B14</f>
        <v>✅ Sin señal SAT-III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/>
    </row>
  </sheetData>
  <hyperlinks>
    <hyperlink ref="B1" location="'H00_ÍNDICE'!A1" display="⬅️ ÍNDICE GENERAL" xr:uid="{41CE95EA-520F-4C95-8AE7-4694574CD271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BA26-C84B-45E5-96A6-021CA501FE60}">
  <sheetPr>
    <tabColor rgb="FFE53E3E"/>
  </sheetPr>
  <dimension ref="A1:Z45"/>
  <sheetViews>
    <sheetView workbookViewId="0">
      <pane ySplit="2" topLeftCell="A3" activePane="bottomLeft" state="frozen"/>
      <selection pane="bottomLeft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42.109375" bestFit="1" customWidth="1"/>
    <col min="4" max="4" width="9.6640625" bestFit="1" customWidth="1"/>
    <col min="5" max="5" width="10.7773437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1152</v>
      </c>
      <c r="E1" s="212" t="str">
        <f ca="1">TEXT(TODAY(),"DD/MM/YYYY")</f>
        <v>05/04/2026</v>
      </c>
    </row>
    <row r="2" spans="1:26" ht="30" customHeight="1" x14ac:dyDescent="0.35">
      <c r="A2" s="1" t="s">
        <v>639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640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30" t="s">
        <v>641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4" t="s">
        <v>642</v>
      </c>
    </row>
    <row r="7" spans="1:26" x14ac:dyDescent="0.3">
      <c r="A7" s="3" t="s">
        <v>643</v>
      </c>
      <c r="B7" t="str">
        <f>H01_PARÁMETROS!B34</f>
        <v>NO</v>
      </c>
      <c r="C7" s="9" t="s">
        <v>644</v>
      </c>
    </row>
    <row r="8" spans="1:26" x14ac:dyDescent="0.3">
      <c r="A8" s="120" t="s">
        <v>645</v>
      </c>
      <c r="B8" s="132" t="str">
        <f>H01_PARÁMETROS!B31</f>
        <v>2026-06-01T05:00:00.000Z</v>
      </c>
      <c r="C8" s="128" t="s">
        <v>646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1" t="s">
        <v>647</v>
      </c>
      <c r="B9" s="57" t="str">
        <f>H01_PARÁMETROS!B13</f>
        <v>2024-12-31T05:00:00.000Z</v>
      </c>
      <c r="C9" s="68" t="s">
        <v>648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42" t="s">
        <v>649</v>
      </c>
      <c r="B10" s="39">
        <f>COUNTIF(H07_S5_FINANCIERO_eSIGEF!I7:I26,"⚠️*")</f>
        <v>0</v>
      </c>
      <c r="C10" s="69" t="s">
        <v>650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42" t="s">
        <v>651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ht="15.6" x14ac:dyDescent="0.3">
      <c r="A13" s="41" t="s">
        <v>597</v>
      </c>
      <c r="B13" s="129" t="str">
        <f>IF(H01_PARÁMETROS!B34="SÍ",IF(COUNTIF(H07_S5_FINANCIERO_eSIGEF!I7:I26,"⚠️*")&gt;0,"⚠️ SAT-IV ACTIVA — Tensión Normativa Programática [Reforma COOTAD 2026]","✅ Sin metas afectadas [reforma vigente]"),"✅ SAT-IV no aplica — Reforma no vigente o derogada por Corte Constitucional")</f>
        <v>✅ SAT-IV no aplica — Reforma no vigente o derogada por Corte Constitucional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1" t="s">
        <v>652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42" t="s">
        <v>653</v>
      </c>
      <c r="B16" s="39" t="s">
        <v>654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1" t="s">
        <v>655</v>
      </c>
      <c r="B17" s="36" t="s">
        <v>656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1" t="s">
        <v>657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45" t="s">
        <v>192</v>
      </c>
      <c r="B20" s="106" t="s">
        <v>279</v>
      </c>
      <c r="C20" s="106" t="s">
        <v>281</v>
      </c>
      <c r="D20" s="106" t="s">
        <v>658</v>
      </c>
      <c r="E20" s="106" t="s">
        <v>284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tr">
        <f>H07_S5_FINANCIERO_eSIGEF!A7</f>
        <v>SC-I-N-01</v>
      </c>
      <c r="B21" s="36">
        <f>H07_S5_FINANCIERO_eSIGEF!D7</f>
        <v>73</v>
      </c>
      <c r="C21" s="55">
        <f>H07_S5_FINANCIERO_eSIGEF!F7</f>
        <v>42750</v>
      </c>
      <c r="D21" s="92">
        <f>H07_S5_FINANCIERO_eSIGEF!G7</f>
        <v>0.95</v>
      </c>
      <c r="E21" s="36" t="str">
        <f>H07_S5_FINANCIERO_eSIGEF!I7</f>
        <v>✅ OK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H07_S5_FINANCIERO_eSIGEF!A8</f>
        <v>SC-L-N-02</v>
      </c>
      <c r="B22" s="39">
        <f>H07_S5_FINANCIERO_eSIGEF!D8</f>
        <v>53</v>
      </c>
      <c r="C22" s="56">
        <f>H07_S5_FINANCIERO_eSIGEF!F8</f>
        <v>7565</v>
      </c>
      <c r="D22" s="93">
        <f>H07_S5_FINANCIERO_eSIGEF!G8</f>
        <v>0.85</v>
      </c>
      <c r="E22" s="39" t="str">
        <f>H07_S5_FINANCIERO_eSIGEF!I8</f>
        <v>✅ OK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tr">
        <f>H07_S5_FINANCIERO_eSIGEF!A9</f>
        <v>AH-I-X-01</v>
      </c>
      <c r="B23" s="36">
        <f>H07_S5_FINANCIERO_eSIGEF!D9</f>
        <v>75</v>
      </c>
      <c r="C23" s="55">
        <f>H07_S5_FINANCIERO_eSIGEF!F9</f>
        <v>1588720.3199999998</v>
      </c>
      <c r="D23" s="92">
        <f>H07_S5_FINANCIERO_eSIGEF!G9</f>
        <v>0.72</v>
      </c>
      <c r="E23" s="36" t="str">
        <f>H07_S5_FINANCIERO_eSIGEF!I9</f>
        <v>✅ OK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tr">
        <f>H07_S5_FINANCIERO_eSIGEF!A10</f>
        <v>AH-I-X-02</v>
      </c>
      <c r="B24" s="39">
        <f>H07_S5_FINANCIERO_eSIGEF!D10</f>
        <v>0</v>
      </c>
      <c r="C24" s="56">
        <f>H07_S5_FINANCIERO_eSIGEF!F10</f>
        <v>0</v>
      </c>
      <c r="D24" s="93">
        <f>H07_S5_FINANCIERO_eSIGEF!G10</f>
        <v>0</v>
      </c>
      <c r="E24" s="39" t="str">
        <f>H07_S5_FINANCIERO_eSIGEF!I10</f>
        <v>✅ OK</v>
      </c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tr">
        <f>H07_S5_FINANCIERO_eSIGEF!A11</f>
        <v>AH-I-X-03</v>
      </c>
      <c r="B25" s="36">
        <f>H07_S5_FINANCIERO_eSIGEF!D11</f>
        <v>75</v>
      </c>
      <c r="C25" s="55">
        <f>H07_S5_FINANCIERO_eSIGEF!F11</f>
        <v>486604.79999999999</v>
      </c>
      <c r="D25" s="92">
        <f>H07_S5_FINANCIERO_eSIGEF!G11</f>
        <v>0.72</v>
      </c>
      <c r="E25" s="36" t="str">
        <f>H07_S5_FINANCIERO_eSIGEF!I11</f>
        <v>✅ OK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50" t="str">
        <f>H07_S5_FINANCIERO_eSIGEF!A12</f>
        <v>AH-I-N-01</v>
      </c>
      <c r="B26" s="39">
        <f>H07_S5_FINANCIERO_eSIGEF!D12</f>
        <v>78</v>
      </c>
      <c r="C26" s="56">
        <f>H07_S5_FINANCIERO_eSIGEF!F12</f>
        <v>40320</v>
      </c>
      <c r="D26" s="93">
        <f>H07_S5_FINANCIERO_eSIGEF!G12</f>
        <v>0.8</v>
      </c>
      <c r="E26" s="39" t="str">
        <f>H07_S5_FINANCIERO_eSIGEF!I12</f>
        <v>✅ OK</v>
      </c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9" t="str">
        <f>H07_S5_FINANCIERO_eSIGEF!A13</f>
        <v>SC-L-G-01</v>
      </c>
      <c r="B27" s="36">
        <f>H07_S5_FINANCIERO_eSIGEF!D13</f>
        <v>73</v>
      </c>
      <c r="C27" s="55">
        <f>H07_S5_FINANCIERO_eSIGEF!F13</f>
        <v>254380.35</v>
      </c>
      <c r="D27" s="92">
        <f>H07_S5_FINANCIERO_eSIGEF!G13</f>
        <v>0.85</v>
      </c>
      <c r="E27" s="36" t="str">
        <f>H07_S5_FINANCIERO_eSIGEF!I13</f>
        <v>✅ OK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50" t="str">
        <f>H07_S5_FINANCIERO_eSIGEF!A14</f>
        <v>AH-I-X-04</v>
      </c>
      <c r="B28" s="39">
        <f>H07_S5_FINANCIERO_eSIGEF!D14</f>
        <v>75</v>
      </c>
      <c r="C28" s="56">
        <f>H07_S5_FINANCIERO_eSIGEF!F14</f>
        <v>304096.32</v>
      </c>
      <c r="D28" s="93">
        <f>H07_S5_FINANCIERO_eSIGEF!G14</f>
        <v>0.72</v>
      </c>
      <c r="E28" s="39" t="str">
        <f>H07_S5_FINANCIERO_eSIGEF!I14</f>
        <v>✅ OK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1:26" x14ac:dyDescent="0.3">
      <c r="A29" s="49" t="str">
        <f>H07_S5_FINANCIERO_eSIGEF!A15</f>
        <v>PI-I-G-01</v>
      </c>
      <c r="B29" s="36">
        <f>H07_S5_FINANCIERO_eSIGEF!D15</f>
        <v>84</v>
      </c>
      <c r="C29" s="55">
        <f>H07_S5_FINANCIERO_eSIGEF!F15</f>
        <v>1855733.5999999999</v>
      </c>
      <c r="D29" s="92">
        <f>H07_S5_FINANCIERO_eSIGEF!G15</f>
        <v>0.85</v>
      </c>
      <c r="E29" s="36" t="str">
        <f>H07_S5_FINANCIERO_eSIGEF!I15</f>
        <v>✅ OK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8"/>
    </row>
    <row r="30" spans="1:26" x14ac:dyDescent="0.3">
      <c r="A30" s="50" t="str">
        <f>H07_S5_FINANCIERO_eSIGEF!A16</f>
        <v>AH-C-X-01</v>
      </c>
      <c r="B30" s="39">
        <f>H07_S5_FINANCIERO_eSIGEF!D16</f>
        <v>75</v>
      </c>
      <c r="C30" s="56">
        <f>H07_S5_FINANCIERO_eSIGEF!F16</f>
        <v>401835.6</v>
      </c>
      <c r="D30" s="93">
        <f>H07_S5_FINANCIERO_eSIGEF!G16</f>
        <v>0.72</v>
      </c>
      <c r="E30" s="39" t="str">
        <f>H07_S5_FINANCIERO_eSIGEF!I16</f>
        <v>✅ OK</v>
      </c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1:26" x14ac:dyDescent="0.3">
      <c r="A31" s="49" t="str">
        <f>H07_S5_FINANCIERO_eSIGEF!A17</f>
        <v>AH-C-X-02</v>
      </c>
      <c r="B31" s="36">
        <f>H07_S5_FINANCIERO_eSIGEF!D17</f>
        <v>75</v>
      </c>
      <c r="C31" s="55">
        <f>H07_S5_FINANCIERO_eSIGEF!F17</f>
        <v>450618.48</v>
      </c>
      <c r="D31" s="92">
        <f>H07_S5_FINANCIERO_eSIGEF!G17</f>
        <v>0.72</v>
      </c>
      <c r="E31" s="36" t="str">
        <f>H07_S5_FINANCIERO_eSIGEF!I17</f>
        <v>✅ OK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</row>
    <row r="32" spans="1:26" x14ac:dyDescent="0.3">
      <c r="A32" s="50" t="str">
        <f>H07_S5_FINANCIERO_eSIGEF!A18</f>
        <v>SC-I-N-03</v>
      </c>
      <c r="B32" s="39">
        <f>H07_S5_FINANCIERO_eSIGEF!D18</f>
        <v>71</v>
      </c>
      <c r="C32" s="56">
        <f>H07_S5_FINANCIERO_eSIGEF!F18</f>
        <v>35150</v>
      </c>
      <c r="D32" s="93">
        <f>H07_S5_FINANCIERO_eSIGEF!G18</f>
        <v>0.95</v>
      </c>
      <c r="E32" s="39" t="str">
        <f>H07_S5_FINANCIERO_eSIGEF!I18</f>
        <v>✅ OK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40"/>
    </row>
    <row r="33" spans="1:26" x14ac:dyDescent="0.3">
      <c r="A33" s="49" t="str">
        <f>H07_S5_FINANCIERO_eSIGEF!A19</f>
        <v>FA-I-X-01</v>
      </c>
      <c r="B33" s="36">
        <f>H07_S5_FINANCIERO_eSIGEF!D19</f>
        <v>75</v>
      </c>
      <c r="C33" s="55">
        <f>H07_S5_FINANCIERO_eSIGEF!F19</f>
        <v>51025</v>
      </c>
      <c r="D33" s="92">
        <f>H07_S5_FINANCIERO_eSIGEF!G19</f>
        <v>0.65</v>
      </c>
      <c r="E33" s="36" t="str">
        <f>H07_S5_FINANCIERO_eSIGEF!I19</f>
        <v>✅ OK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8"/>
    </row>
    <row r="34" spans="1:26" x14ac:dyDescent="0.3">
      <c r="A34" s="50" t="str">
        <f>H07_S5_FINANCIERO_eSIGEF!A20</f>
        <v>FA-C-X-01</v>
      </c>
      <c r="B34" s="39">
        <f>H07_S5_FINANCIERO_eSIGEF!D20</f>
        <v>78</v>
      </c>
      <c r="C34" s="56">
        <f>H07_S5_FINANCIERO_eSIGEF!F20</f>
        <v>4000</v>
      </c>
      <c r="D34" s="93">
        <f>H07_S5_FINANCIERO_eSIGEF!G20</f>
        <v>0.8</v>
      </c>
      <c r="E34" s="39" t="str">
        <f>H07_S5_FINANCIERO_eSIGEF!I20</f>
        <v>✅ OK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40"/>
    </row>
    <row r="35" spans="1:26" x14ac:dyDescent="0.3">
      <c r="A35" s="49" t="str">
        <f>H07_S5_FINANCIERO_eSIGEF!A21</f>
        <v>FA-I-X-02</v>
      </c>
      <c r="B35" s="36">
        <f>H07_S5_FINANCIERO_eSIGEF!D21</f>
        <v>73</v>
      </c>
      <c r="C35" s="55">
        <f>H07_S5_FINANCIERO_eSIGEF!F21</f>
        <v>31960</v>
      </c>
      <c r="D35" s="92">
        <f>H07_S5_FINANCIERO_eSIGEF!G21</f>
        <v>0.85</v>
      </c>
      <c r="E35" s="36" t="str">
        <f>H07_S5_FINANCIERO_eSIGEF!I21</f>
        <v>✅ OK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8"/>
    </row>
    <row r="36" spans="1:26" x14ac:dyDescent="0.3">
      <c r="A36" s="50" t="str">
        <f>H07_S5_FINANCIERO_eSIGEF!A22</f>
        <v>FA-L-N-01</v>
      </c>
      <c r="B36" s="39">
        <f>H07_S5_FINANCIERO_eSIGEF!D22</f>
        <v>71</v>
      </c>
      <c r="C36" s="56">
        <f>H07_S5_FINANCIERO_eSIGEF!F22</f>
        <v>4750</v>
      </c>
      <c r="D36" s="93">
        <f>H07_S5_FINANCIERO_eSIGEF!G22</f>
        <v>0.95</v>
      </c>
      <c r="E36" s="39" t="str">
        <f>H07_S5_FINANCIERO_eSIGEF!I22</f>
        <v>✅ OK</v>
      </c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40"/>
    </row>
    <row r="37" spans="1:26" x14ac:dyDescent="0.3">
      <c r="A37" s="49" t="str">
        <f>H07_S5_FINANCIERO_eSIGEF!A23</f>
        <v>PI-I-G-02</v>
      </c>
      <c r="B37" s="36">
        <f>H07_S5_FINANCIERO_eSIGEF!D23</f>
        <v>84</v>
      </c>
      <c r="C37" s="55">
        <f>H07_S5_FINANCIERO_eSIGEF!F23</f>
        <v>358785</v>
      </c>
      <c r="D37" s="92">
        <f>H07_S5_FINANCIERO_eSIGEF!G23</f>
        <v>0.85</v>
      </c>
      <c r="E37" s="36" t="str">
        <f>H07_S5_FINANCIERO_eSIGEF!I23</f>
        <v>✅ OK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8"/>
    </row>
    <row r="38" spans="1:26" x14ac:dyDescent="0.3">
      <c r="A38" s="50" t="str">
        <f>H07_S5_FINANCIERO_eSIGEF!A24</f>
        <v>PI-L-G-01</v>
      </c>
      <c r="B38" s="39">
        <f>H07_S5_FINANCIERO_eSIGEF!D24</f>
        <v>71</v>
      </c>
      <c r="C38" s="56">
        <f>H07_S5_FINANCIERO_eSIGEF!F24</f>
        <v>19210.899999999998</v>
      </c>
      <c r="D38" s="93">
        <f>H07_S5_FINANCIERO_eSIGEF!G24</f>
        <v>0.94999999999999984</v>
      </c>
      <c r="E38" s="39" t="str">
        <f>H07_S5_FINANCIERO_eSIGEF!I24</f>
        <v>✅ OK</v>
      </c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 spans="1:26" x14ac:dyDescent="0.3">
      <c r="A39" s="49" t="str">
        <f>H07_S5_FINANCIERO_eSIGEF!A25</f>
        <v>EP-L-N-01</v>
      </c>
      <c r="B39" s="36">
        <f>H07_S5_FINANCIERO_eSIGEF!D25</f>
        <v>71</v>
      </c>
      <c r="C39" s="55">
        <f>H07_S5_FINANCIERO_eSIGEF!F25</f>
        <v>29070</v>
      </c>
      <c r="D39" s="92">
        <f>H07_S5_FINANCIERO_eSIGEF!G25</f>
        <v>0.95</v>
      </c>
      <c r="E39" s="36" t="str">
        <f>H07_S5_FINANCIERO_eSIGEF!I25</f>
        <v>✅ OK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8"/>
    </row>
    <row r="40" spans="1:26" x14ac:dyDescent="0.3">
      <c r="A40" s="50" t="str">
        <f>H07_S5_FINANCIERO_eSIGEF!A26</f>
        <v>EP-L-X-01</v>
      </c>
      <c r="B40" s="39">
        <f>H07_S5_FINANCIERO_eSIGEF!D26</f>
        <v>73</v>
      </c>
      <c r="C40" s="56">
        <f>H07_S5_FINANCIERO_eSIGEF!F26</f>
        <v>138890</v>
      </c>
      <c r="D40" s="93">
        <f>H07_S5_FINANCIERO_eSIGEF!G26</f>
        <v>0.85</v>
      </c>
      <c r="E40" s="39" t="str">
        <f>H07_S5_FINANCIERO_eSIGEF!I26</f>
        <v>✅ OK</v>
      </c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40"/>
    </row>
    <row r="41" spans="1:26" x14ac:dyDescent="0.3">
      <c r="A41" s="49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8"/>
    </row>
    <row r="42" spans="1:26" x14ac:dyDescent="0.3">
      <c r="A42" s="42" t="s">
        <v>659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40"/>
    </row>
    <row r="43" spans="1:26" x14ac:dyDescent="0.3">
      <c r="A43" s="41" t="s">
        <v>605</v>
      </c>
      <c r="B43" s="37" t="s">
        <v>660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8"/>
    </row>
    <row r="44" spans="1:26" x14ac:dyDescent="0.3">
      <c r="A44" s="50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40"/>
    </row>
    <row r="45" spans="1:26" x14ac:dyDescent="0.3">
      <c r="A45" s="118" t="s">
        <v>661</v>
      </c>
      <c r="B45" s="133" t="str">
        <f>B13</f>
        <v>✅ SAT-IV no aplica — Reforma no vigente o derogada por Corte Constitucional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7"/>
    </row>
  </sheetData>
  <hyperlinks>
    <hyperlink ref="B1" location="'H00_ÍNDICE'!A1" display="⬅️ ÍNDICE GENERAL" xr:uid="{ED309081-236E-4F13-A1E7-ADEF913FED2A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5557-8666-4BB9-B292-2064F91DB1DA}">
  <sheetPr>
    <tabColor rgb="FFD69E2E"/>
  </sheetPr>
  <dimension ref="A1:BV26"/>
  <sheetViews>
    <sheetView workbookViewId="0">
      <pane ySplit="3" topLeftCell="A4" activePane="bottomLeft" state="frozen"/>
      <selection pane="bottomLeft"/>
    </sheetView>
  </sheetViews>
  <sheetFormatPr baseColWidth="10" defaultRowHeight="14.4" x14ac:dyDescent="0.3"/>
  <cols>
    <col min="1" max="1" width="18.5546875" customWidth="1"/>
    <col min="2" max="2" width="48.109375" customWidth="1"/>
    <col min="3" max="74" width="15.77734375" customWidth="1"/>
  </cols>
  <sheetData>
    <row r="1" spans="1:74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1153</v>
      </c>
      <c r="E1" s="212" t="str">
        <f ca="1">TEXT(TODAY(),"DD/MM/YYYY")</f>
        <v>05/04/2026</v>
      </c>
    </row>
    <row r="2" spans="1:74" ht="25.05" customHeight="1" x14ac:dyDescent="0.35">
      <c r="A2" s="16" t="s">
        <v>662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74" ht="16.05" customHeight="1" x14ac:dyDescent="0.3">
      <c r="A3" s="224" t="s">
        <v>1175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74" x14ac:dyDescent="0.3">
      <c r="A5" s="2" t="s">
        <v>192</v>
      </c>
      <c r="B5" s="2" t="s">
        <v>233</v>
      </c>
      <c r="C5" s="2" t="s">
        <v>203</v>
      </c>
      <c r="D5" s="2" t="s">
        <v>663</v>
      </c>
      <c r="E5" s="2" t="s">
        <v>234</v>
      </c>
      <c r="F5" s="2" t="s">
        <v>664</v>
      </c>
      <c r="G5" s="2" t="s">
        <v>665</v>
      </c>
      <c r="H5" s="2" t="s">
        <v>666</v>
      </c>
      <c r="I5" s="2" t="s">
        <v>667</v>
      </c>
      <c r="J5" s="2" t="s">
        <v>668</v>
      </c>
      <c r="K5" s="2" t="s">
        <v>669</v>
      </c>
      <c r="L5" s="2" t="s">
        <v>670</v>
      </c>
      <c r="M5" s="2" t="s">
        <v>671</v>
      </c>
      <c r="N5" s="2" t="s">
        <v>672</v>
      </c>
      <c r="O5" s="2" t="s">
        <v>673</v>
      </c>
      <c r="P5" s="2" t="s">
        <v>674</v>
      </c>
      <c r="Q5" s="2" t="s">
        <v>675</v>
      </c>
      <c r="R5" s="2" t="s">
        <v>676</v>
      </c>
      <c r="S5" s="2" t="s">
        <v>677</v>
      </c>
      <c r="T5" s="2" t="s">
        <v>678</v>
      </c>
      <c r="U5" s="2" t="s">
        <v>679</v>
      </c>
      <c r="V5" s="2" t="s">
        <v>680</v>
      </c>
      <c r="W5" s="2" t="s">
        <v>681</v>
      </c>
      <c r="X5" s="2" t="s">
        <v>682</v>
      </c>
      <c r="Y5" s="2" t="s">
        <v>683</v>
      </c>
      <c r="Z5" s="2" t="s">
        <v>684</v>
      </c>
      <c r="AA5" s="2" t="s">
        <v>685</v>
      </c>
      <c r="AB5" s="2" t="s">
        <v>686</v>
      </c>
      <c r="AC5" s="2" t="s">
        <v>687</v>
      </c>
      <c r="AD5" s="2" t="s">
        <v>688</v>
      </c>
      <c r="AE5" s="2" t="s">
        <v>689</v>
      </c>
      <c r="AF5" s="2" t="s">
        <v>690</v>
      </c>
      <c r="AG5" s="2" t="s">
        <v>691</v>
      </c>
      <c r="AH5" s="2" t="s">
        <v>692</v>
      </c>
      <c r="AI5" s="2" t="s">
        <v>693</v>
      </c>
      <c r="AJ5" s="2" t="s">
        <v>694</v>
      </c>
      <c r="AK5" s="2" t="s">
        <v>695</v>
      </c>
      <c r="AL5" s="2" t="s">
        <v>696</v>
      </c>
      <c r="AM5" s="2" t="s">
        <v>697</v>
      </c>
      <c r="AN5" s="2" t="s">
        <v>698</v>
      </c>
      <c r="AO5" s="2" t="s">
        <v>699</v>
      </c>
      <c r="AP5" s="2" t="s">
        <v>700</v>
      </c>
      <c r="AQ5" s="2" t="s">
        <v>701</v>
      </c>
      <c r="AR5" s="2" t="s">
        <v>702</v>
      </c>
      <c r="AS5" s="2" t="s">
        <v>703</v>
      </c>
      <c r="AT5" s="2" t="s">
        <v>704</v>
      </c>
      <c r="AU5" s="2" t="s">
        <v>705</v>
      </c>
      <c r="AV5" s="2" t="s">
        <v>706</v>
      </c>
      <c r="AW5" s="2" t="s">
        <v>707</v>
      </c>
      <c r="AX5" s="2" t="s">
        <v>708</v>
      </c>
      <c r="AY5" s="2" t="s">
        <v>709</v>
      </c>
      <c r="AZ5" s="2" t="s">
        <v>710</v>
      </c>
      <c r="BA5" s="2" t="s">
        <v>711</v>
      </c>
      <c r="BB5" s="2" t="s">
        <v>712</v>
      </c>
      <c r="BC5" s="2" t="s">
        <v>713</v>
      </c>
      <c r="BD5" s="2" t="s">
        <v>714</v>
      </c>
      <c r="BE5" s="2" t="s">
        <v>715</v>
      </c>
      <c r="BF5" s="2" t="s">
        <v>716</v>
      </c>
      <c r="BG5" s="2" t="s">
        <v>717</v>
      </c>
      <c r="BH5" s="2" t="s">
        <v>718</v>
      </c>
      <c r="BI5" s="2" t="s">
        <v>719</v>
      </c>
      <c r="BJ5" s="2" t="s">
        <v>720</v>
      </c>
      <c r="BK5" s="2" t="s">
        <v>721</v>
      </c>
      <c r="BL5" s="2" t="s">
        <v>722</v>
      </c>
      <c r="BM5" s="2" t="s">
        <v>723</v>
      </c>
      <c r="BN5" s="2" t="s">
        <v>724</v>
      </c>
      <c r="BO5" s="2" t="s">
        <v>725</v>
      </c>
      <c r="BP5" s="2" t="s">
        <v>726</v>
      </c>
      <c r="BQ5" s="2" t="s">
        <v>727</v>
      </c>
      <c r="BR5" s="2" t="s">
        <v>728</v>
      </c>
      <c r="BS5" s="2" t="s">
        <v>729</v>
      </c>
      <c r="BT5" s="2" t="s">
        <v>730</v>
      </c>
      <c r="BU5" s="2" t="s">
        <v>731</v>
      </c>
      <c r="BV5" s="2" t="s">
        <v>732</v>
      </c>
    </row>
    <row r="6" spans="1:74" x14ac:dyDescent="0.3">
      <c r="A6" s="48" t="str">
        <f>H04_S2_PLANIFICACIÓN_PDOT!A6</f>
        <v>SC-I-N-01</v>
      </c>
      <c r="B6" s="34" t="str">
        <f>H04_S2_PLANIFICACIÓN_PDOT!B6</f>
        <v>Agua potable: cobertura 39.25%→42.38%; calidad 100% INEN 1108; infraestructura BUENA 22.74%→41.64%</v>
      </c>
      <c r="C6" s="34" t="str">
        <f>H04_S2_PLANIFICACIÓN_PDOT!R6</f>
        <v>Patronato Municipal</v>
      </c>
      <c r="D6" s="34">
        <f>H04_S2_PLANIFICACIÓN_PDOT!N6</f>
        <v>42.38</v>
      </c>
      <c r="E6" s="34" t="str">
        <f>H04_S2_PLANIFICACIÓN_PDOT!O6</f>
        <v>% cobertura agua potable</v>
      </c>
      <c r="F6" s="73">
        <f>H04_S2_PLANIFICACIÓN_PDOT!G6</f>
        <v>11726219</v>
      </c>
      <c r="G6" s="74">
        <f>H04_S2_PLANIFICACIÓN_PDOT!H6</f>
        <v>0.28912002443494439</v>
      </c>
      <c r="H6" s="34">
        <v>5</v>
      </c>
      <c r="I6" s="34">
        <v>0</v>
      </c>
      <c r="J6" s="73">
        <v>0</v>
      </c>
      <c r="K6" s="34" t="str">
        <f t="shared" ref="K6:K25" si="0">IF(H6=0,"⏸️",IF(I6/H6&gt;=0.9,"🟢",IF(I6/H6&gt;=0.7,"🟡","🔴")))</f>
        <v>🔴</v>
      </c>
      <c r="L6" s="34" t="s">
        <v>733</v>
      </c>
      <c r="M6" s="34">
        <v>10</v>
      </c>
      <c r="N6" s="34">
        <v>0</v>
      </c>
      <c r="O6" s="73">
        <v>0</v>
      </c>
      <c r="P6" s="34" t="str">
        <f t="shared" ref="P6:P25" si="1">IF(M6=0,"⏸️",IF(N6/M6&gt;=0.9,"🟢",IF(N6/M6&gt;=0.7,"🟡","🔴")))</f>
        <v>🔴</v>
      </c>
      <c r="Q6" s="34" t="s">
        <v>733</v>
      </c>
      <c r="R6" s="34">
        <v>15</v>
      </c>
      <c r="S6" s="34">
        <v>0</v>
      </c>
      <c r="T6" s="73">
        <v>0</v>
      </c>
      <c r="U6" s="34" t="str">
        <f t="shared" ref="U6:U25" si="2">IF(R6=0,"⏸️",IF(S6/R6&gt;=0.9,"🟢",IF(S6/R6&gt;=0.7,"🟡","🔴")))</f>
        <v>🔴</v>
      </c>
      <c r="V6" s="34" t="s">
        <v>733</v>
      </c>
      <c r="W6" s="34">
        <v>25</v>
      </c>
      <c r="X6" s="34">
        <v>0</v>
      </c>
      <c r="Y6" s="73">
        <v>0</v>
      </c>
      <c r="Z6" s="35" t="str">
        <f t="shared" ref="Z6:Z25" si="3">IF(W6=0,"⏸️",IF(X6/W6&gt;=0.9,"🟢",IF(X6/W6&gt;=0.7,"🟡","🔴")))</f>
        <v>🔴</v>
      </c>
      <c r="AA6" t="s">
        <v>733</v>
      </c>
      <c r="AB6">
        <v>35</v>
      </c>
      <c r="AC6">
        <v>0</v>
      </c>
      <c r="AD6" s="6">
        <v>0</v>
      </c>
      <c r="AE6" t="str">
        <f t="shared" ref="AE6:AE25" si="4">IF(AB6=0,"⏸️",IF(AC6/AB6&gt;=0.9,"🟢",IF(AC6/AB6&gt;=0.7,"🟡","🔴")))</f>
        <v>🔴</v>
      </c>
      <c r="AF6" t="s">
        <v>733</v>
      </c>
      <c r="AG6">
        <v>45</v>
      </c>
      <c r="AH6">
        <v>0</v>
      </c>
      <c r="AI6" s="6">
        <v>0</v>
      </c>
      <c r="AJ6" t="str">
        <f t="shared" ref="AJ6:AJ25" si="5">IF(AG6=0,"⏸️",IF(AH6/AG6&gt;=0.9,"🟢",IF(AH6/AG6&gt;=0.7,"🟡","🔴")))</f>
        <v>🔴</v>
      </c>
      <c r="AK6" t="s">
        <v>733</v>
      </c>
      <c r="AL6">
        <v>55</v>
      </c>
      <c r="AM6">
        <v>0</v>
      </c>
      <c r="AN6" s="6">
        <v>0</v>
      </c>
      <c r="AO6" t="str">
        <f t="shared" ref="AO6:AO25" si="6">IF(AL6=0,"⏸️",IF(AM6/AL6&gt;=0.9,"🟢",IF(AM6/AL6&gt;=0.7,"🟡","🔴")))</f>
        <v>🔴</v>
      </c>
      <c r="AP6" t="s">
        <v>733</v>
      </c>
      <c r="AQ6">
        <v>65</v>
      </c>
      <c r="AR6">
        <v>0</v>
      </c>
      <c r="AS6" s="6">
        <v>0</v>
      </c>
      <c r="AT6" t="str">
        <f t="shared" ref="AT6:AT25" si="7">IF(AQ6=0,"⏸️",IF(AR6/AQ6&gt;=0.9,"🟢",IF(AR6/AQ6&gt;=0.7,"🟡","🔴")))</f>
        <v>🔴</v>
      </c>
      <c r="AU6" t="s">
        <v>733</v>
      </c>
      <c r="AV6">
        <v>75</v>
      </c>
      <c r="AW6">
        <v>0</v>
      </c>
      <c r="AX6" s="6">
        <v>0</v>
      </c>
      <c r="AY6" t="str">
        <f t="shared" ref="AY6:AY25" si="8">IF(AV6=0,"⏸️",IF(AW6/AV6&gt;=0.9,"🟢",IF(AW6/AV6&gt;=0.7,"🟡","🔴")))</f>
        <v>🔴</v>
      </c>
      <c r="AZ6" t="s">
        <v>733</v>
      </c>
      <c r="BA6">
        <v>85</v>
      </c>
      <c r="BB6">
        <v>0</v>
      </c>
      <c r="BC6" s="6">
        <v>0</v>
      </c>
      <c r="BD6" t="str">
        <f t="shared" ref="BD6:BD25" si="9">IF(BA6=0,"⏸️",IF(BB6/BA6&gt;=0.9,"🟢",IF(BB6/BA6&gt;=0.7,"🟡","🔴")))</f>
        <v>🔴</v>
      </c>
      <c r="BE6" t="s">
        <v>733</v>
      </c>
      <c r="BF6">
        <v>92</v>
      </c>
      <c r="BG6">
        <v>0</v>
      </c>
      <c r="BH6" s="6">
        <v>0</v>
      </c>
      <c r="BI6" t="str">
        <f t="shared" ref="BI6:BI25" si="10">IF(BF6=0,"⏸️",IF(BG6/BF6&gt;=0.9,"🟢",IF(BG6/BF6&gt;=0.7,"🟡","🔴")))</f>
        <v>🔴</v>
      </c>
      <c r="BJ6" t="s">
        <v>733</v>
      </c>
      <c r="BK6">
        <v>100</v>
      </c>
      <c r="BL6">
        <v>0</v>
      </c>
      <c r="BM6" s="6">
        <v>0</v>
      </c>
      <c r="BN6" t="str">
        <f t="shared" ref="BN6:BN25" si="11">IF(BK6=0,"⏸️",IF(BL6/BK6&gt;=0.9,"🟢",IF(BL6/BK6&gt;=0.7,"🟡","🔴")))</f>
        <v>🔴</v>
      </c>
      <c r="BO6" t="s">
        <v>733</v>
      </c>
      <c r="BP6" s="10">
        <f t="shared" ref="BP6:BP25" si="12">IFERROR(AVERAGE(I6,N6,S6,X6,AC6,AH6,AM6,AR6,AW6,BB6,BG6,BL6),"N/D")</f>
        <v>0</v>
      </c>
      <c r="BQ6" t="str">
        <f t="shared" ref="BQ6:BQ25" si="13">IF(ISNUMBER(BP6),IF(BP6&gt;=90,"🔵 Excelencia en Gobernanza",IF(BP6&gt;=70,"🟢 Gestión por Mandato",IF(BP6&gt;=40,"🟡 Transición Crítica",IF(BP6&gt;=20,"🟠 Gestión por Ocurrencia","🔴 Ruptura Sistémica")))),"Sin datos")</f>
        <v>🔴 Ruptura Sistémica</v>
      </c>
      <c r="BR6" t="str">
        <f t="shared" ref="BR6:BR25" si="14">IF(BQ6="🔴 Ruptura Sistémica","⚠️ Revisar — riesgo incumplimiento","✅ En seguimiento")</f>
        <v>⚠️ Revisar — riesgo incumplimiento</v>
      </c>
      <c r="BS6" t="str">
        <f>IF(IFERROR(SUM(J6,O6,T6,Y6,AD6,AI6,AN6,AS6,AX6,BC6,BH6,BM6),0)/F6&lt;H01_PARÁMETROS!$B$46,"🚨 ELEGIBLE COOPERACIÓN EXTERNA","✅ Financiamiento suficiente")</f>
        <v>🚨 ELEGIBLE COOPERACIÓN EXTERNA</v>
      </c>
      <c r="BT6" t="s">
        <v>734</v>
      </c>
      <c r="BV6" t="s">
        <v>735</v>
      </c>
    </row>
    <row r="7" spans="1:74" x14ac:dyDescent="0.3">
      <c r="A7" s="49" t="str">
        <f>H04_S2_PLANIFICACIÓN_PDOT!A7</f>
        <v>SC-L-N-02</v>
      </c>
      <c r="B7" s="36" t="str">
        <f>H04_S2_PLANIFICACIÓN_PDOT!B7</f>
        <v>Gestión del talento humano municipal: desempeño 80%→90%; plan capacitación 90% anual</v>
      </c>
      <c r="C7" s="36" t="str">
        <f>H04_S2_PLANIFICACIÓN_PDOT!R7</f>
        <v>Dirección TIC</v>
      </c>
      <c r="D7" s="36">
        <f>H04_S2_PLANIFICACIÓN_PDOT!N7</f>
        <v>90</v>
      </c>
      <c r="E7" s="36" t="str">
        <f>H04_S2_PLANIFICACIÓN_PDOT!O7</f>
        <v>% nivel desempeño personal</v>
      </c>
      <c r="F7" s="55">
        <f>H04_S2_PLANIFICACIÓN_PDOT!G7</f>
        <v>13194220</v>
      </c>
      <c r="G7" s="76">
        <f>H04_S2_PLANIFICACIÓN_PDOT!H7</f>
        <v>0.32531485287798495</v>
      </c>
      <c r="H7" s="36">
        <v>5</v>
      </c>
      <c r="I7" s="36">
        <v>0</v>
      </c>
      <c r="J7" s="55">
        <v>0</v>
      </c>
      <c r="K7" s="36" t="str">
        <f t="shared" si="0"/>
        <v>🔴</v>
      </c>
      <c r="L7" s="36" t="s">
        <v>733</v>
      </c>
      <c r="M7" s="36">
        <v>10</v>
      </c>
      <c r="N7" s="36">
        <v>0</v>
      </c>
      <c r="O7" s="55">
        <v>0</v>
      </c>
      <c r="P7" s="36" t="str">
        <f t="shared" si="1"/>
        <v>🔴</v>
      </c>
      <c r="Q7" s="36" t="s">
        <v>733</v>
      </c>
      <c r="R7" s="36">
        <v>15</v>
      </c>
      <c r="S7" s="36">
        <v>0</v>
      </c>
      <c r="T7" s="55">
        <v>0</v>
      </c>
      <c r="U7" s="36" t="str">
        <f t="shared" si="2"/>
        <v>🔴</v>
      </c>
      <c r="V7" s="36" t="s">
        <v>733</v>
      </c>
      <c r="W7" s="36">
        <v>25</v>
      </c>
      <c r="X7" s="36">
        <v>0</v>
      </c>
      <c r="Y7" s="55">
        <v>0</v>
      </c>
      <c r="Z7" s="38" t="str">
        <f t="shared" si="3"/>
        <v>🔴</v>
      </c>
      <c r="AA7" t="s">
        <v>733</v>
      </c>
      <c r="AB7">
        <v>35</v>
      </c>
      <c r="AC7">
        <v>0</v>
      </c>
      <c r="AD7" s="6">
        <v>0</v>
      </c>
      <c r="AE7" t="str">
        <f t="shared" si="4"/>
        <v>🔴</v>
      </c>
      <c r="AF7" t="s">
        <v>733</v>
      </c>
      <c r="AG7">
        <v>45</v>
      </c>
      <c r="AH7">
        <v>0</v>
      </c>
      <c r="AI7" s="6">
        <v>0</v>
      </c>
      <c r="AJ7" t="str">
        <f t="shared" si="5"/>
        <v>🔴</v>
      </c>
      <c r="AK7" t="s">
        <v>733</v>
      </c>
      <c r="AL7">
        <v>55</v>
      </c>
      <c r="AM7">
        <v>0</v>
      </c>
      <c r="AN7" s="6">
        <v>0</v>
      </c>
      <c r="AO7" t="str">
        <f t="shared" si="6"/>
        <v>🔴</v>
      </c>
      <c r="AP7" t="s">
        <v>733</v>
      </c>
      <c r="AQ7">
        <v>65</v>
      </c>
      <c r="AR7">
        <v>0</v>
      </c>
      <c r="AS7" s="6">
        <v>0</v>
      </c>
      <c r="AT7" t="str">
        <f t="shared" si="7"/>
        <v>🔴</v>
      </c>
      <c r="AU7" t="s">
        <v>733</v>
      </c>
      <c r="AV7">
        <v>75</v>
      </c>
      <c r="AW7">
        <v>0</v>
      </c>
      <c r="AX7" s="6">
        <v>0</v>
      </c>
      <c r="AY7" t="str">
        <f t="shared" si="8"/>
        <v>🔴</v>
      </c>
      <c r="AZ7" t="s">
        <v>733</v>
      </c>
      <c r="BA7">
        <v>85</v>
      </c>
      <c r="BB7">
        <v>0</v>
      </c>
      <c r="BC7" s="6">
        <v>0</v>
      </c>
      <c r="BD7" t="str">
        <f t="shared" si="9"/>
        <v>🔴</v>
      </c>
      <c r="BE7" t="s">
        <v>733</v>
      </c>
      <c r="BF7">
        <v>92</v>
      </c>
      <c r="BG7">
        <v>0</v>
      </c>
      <c r="BH7" s="6">
        <v>0</v>
      </c>
      <c r="BI7" t="str">
        <f t="shared" si="10"/>
        <v>🔴</v>
      </c>
      <c r="BJ7" t="s">
        <v>733</v>
      </c>
      <c r="BK7">
        <v>100</v>
      </c>
      <c r="BL7">
        <v>0</v>
      </c>
      <c r="BM7" s="6">
        <v>0</v>
      </c>
      <c r="BN7" t="str">
        <f t="shared" si="11"/>
        <v>🔴</v>
      </c>
      <c r="BO7" t="s">
        <v>733</v>
      </c>
      <c r="BP7" s="10">
        <f t="shared" si="12"/>
        <v>0</v>
      </c>
      <c r="BQ7" t="str">
        <f t="shared" si="13"/>
        <v>🔴 Ruptura Sistémica</v>
      </c>
      <c r="BR7" t="str">
        <f t="shared" si="14"/>
        <v>⚠️ Revisar — riesgo incumplimiento</v>
      </c>
      <c r="BS7" t="str">
        <f>IF(IFERROR(SUM(J7,O7,T7,Y7,AD7,AI7,AN7,AS7,AX7,BC7,BH7,BM7),0)/F7&lt;H01_PARÁMETROS!$B$46,"🚨 ELEGIBLE COOPERACIÓN EXTERNA","✅ Financiamiento suficiente")</f>
        <v>🚨 ELEGIBLE COOPERACIÓN EXTERNA</v>
      </c>
      <c r="BT7" t="s">
        <v>734</v>
      </c>
      <c r="BV7" t="s">
        <v>735</v>
      </c>
    </row>
    <row r="8" spans="1:74" x14ac:dyDescent="0.3">
      <c r="A8" s="50" t="str">
        <f>H04_S2_PLANIFICACIÓN_PDOT!A8</f>
        <v>AH-I-X-01</v>
      </c>
      <c r="B8" s="39" t="str">
        <f>H04_S2_PLANIFICACIÓN_PDOT!B8</f>
        <v>Sostenibilidad financiera: autonomía 43.35%→45.30%; gestión cobros y coactivas</v>
      </c>
      <c r="C8" s="39" t="str">
        <f>H04_S2_PLANIFICACIÓN_PDOT!R8</f>
        <v>Dirección de Obras Públicas</v>
      </c>
      <c r="D8" s="39">
        <f>H04_S2_PLANIFICACIÓN_PDOT!N8</f>
        <v>45.3</v>
      </c>
      <c r="E8" s="39" t="str">
        <f>H04_S2_PLANIFICACIÓN_PDOT!O8</f>
        <v>% autonomía financiera</v>
      </c>
      <c r="F8" s="56">
        <f>H04_S2_PLANIFICACIÓN_PDOT!G8</f>
        <v>5051427</v>
      </c>
      <c r="G8" s="77">
        <f>H04_S2_PLANIFICACIÓN_PDOT!H8</f>
        <v>0.12454728141026002</v>
      </c>
      <c r="H8" s="39">
        <v>5</v>
      </c>
      <c r="I8" s="39">
        <v>0</v>
      </c>
      <c r="J8" s="56">
        <v>0</v>
      </c>
      <c r="K8" s="39" t="str">
        <f t="shared" si="0"/>
        <v>🔴</v>
      </c>
      <c r="L8" s="39" t="s">
        <v>733</v>
      </c>
      <c r="M8" s="39">
        <v>10</v>
      </c>
      <c r="N8" s="39">
        <v>0</v>
      </c>
      <c r="O8" s="56">
        <v>0</v>
      </c>
      <c r="P8" s="39" t="str">
        <f t="shared" si="1"/>
        <v>🔴</v>
      </c>
      <c r="Q8" s="39" t="s">
        <v>733</v>
      </c>
      <c r="R8" s="39">
        <v>15</v>
      </c>
      <c r="S8" s="39">
        <v>0</v>
      </c>
      <c r="T8" s="56">
        <v>0</v>
      </c>
      <c r="U8" s="39" t="str">
        <f t="shared" si="2"/>
        <v>🔴</v>
      </c>
      <c r="V8" s="39" t="s">
        <v>733</v>
      </c>
      <c r="W8" s="39">
        <v>25</v>
      </c>
      <c r="X8" s="39">
        <v>0</v>
      </c>
      <c r="Y8" s="56">
        <v>0</v>
      </c>
      <c r="Z8" s="40" t="str">
        <f t="shared" si="3"/>
        <v>🔴</v>
      </c>
      <c r="AA8" t="s">
        <v>733</v>
      </c>
      <c r="AB8">
        <v>35</v>
      </c>
      <c r="AC8">
        <v>0</v>
      </c>
      <c r="AD8" s="6">
        <v>0</v>
      </c>
      <c r="AE8" t="str">
        <f t="shared" si="4"/>
        <v>🔴</v>
      </c>
      <c r="AF8" t="s">
        <v>733</v>
      </c>
      <c r="AG8">
        <v>45</v>
      </c>
      <c r="AH8">
        <v>0</v>
      </c>
      <c r="AI8" s="6">
        <v>0</v>
      </c>
      <c r="AJ8" t="str">
        <f t="shared" si="5"/>
        <v>🔴</v>
      </c>
      <c r="AK8" t="s">
        <v>733</v>
      </c>
      <c r="AL8">
        <v>55</v>
      </c>
      <c r="AM8">
        <v>0</v>
      </c>
      <c r="AN8" s="6">
        <v>0</v>
      </c>
      <c r="AO8" t="str">
        <f t="shared" si="6"/>
        <v>🔴</v>
      </c>
      <c r="AP8" t="s">
        <v>733</v>
      </c>
      <c r="AQ8">
        <v>65</v>
      </c>
      <c r="AR8">
        <v>0</v>
      </c>
      <c r="AS8" s="6">
        <v>0</v>
      </c>
      <c r="AT8" t="str">
        <f t="shared" si="7"/>
        <v>🔴</v>
      </c>
      <c r="AU8" t="s">
        <v>733</v>
      </c>
      <c r="AV8">
        <v>75</v>
      </c>
      <c r="AW8">
        <v>0</v>
      </c>
      <c r="AX8" s="6">
        <v>0</v>
      </c>
      <c r="AY8" t="str">
        <f t="shared" si="8"/>
        <v>🔴</v>
      </c>
      <c r="AZ8" t="s">
        <v>733</v>
      </c>
      <c r="BA8">
        <v>85</v>
      </c>
      <c r="BB8">
        <v>0</v>
      </c>
      <c r="BC8" s="6">
        <v>0</v>
      </c>
      <c r="BD8" t="str">
        <f t="shared" si="9"/>
        <v>🔴</v>
      </c>
      <c r="BE8" t="s">
        <v>733</v>
      </c>
      <c r="BF8">
        <v>92</v>
      </c>
      <c r="BG8">
        <v>0</v>
      </c>
      <c r="BH8" s="6">
        <v>0</v>
      </c>
      <c r="BI8" t="str">
        <f t="shared" si="10"/>
        <v>🔴</v>
      </c>
      <c r="BJ8" t="s">
        <v>733</v>
      </c>
      <c r="BK8">
        <v>100</v>
      </c>
      <c r="BL8">
        <v>0</v>
      </c>
      <c r="BM8" s="6">
        <v>0</v>
      </c>
      <c r="BN8" t="str">
        <f t="shared" si="11"/>
        <v>🔴</v>
      </c>
      <c r="BO8" t="s">
        <v>733</v>
      </c>
      <c r="BP8" s="10">
        <f t="shared" si="12"/>
        <v>0</v>
      </c>
      <c r="BQ8" t="str">
        <f t="shared" si="13"/>
        <v>🔴 Ruptura Sistémica</v>
      </c>
      <c r="BR8" t="str">
        <f t="shared" si="14"/>
        <v>⚠️ Revisar — riesgo incumplimiento</v>
      </c>
      <c r="BS8" t="str">
        <f>IF(IFERROR(SUM(J8,O8,T8,Y8,AD8,AI8,AN8,AS8,AX8,BC8,BH8,BM8),0)/F8&lt;H01_PARÁMETROS!$B$46,"🚨 ELEGIBLE COOPERACIÓN EXTERNA","✅ Financiamiento suficiente")</f>
        <v>🚨 ELEGIBLE COOPERACIÓN EXTERNA</v>
      </c>
      <c r="BT8" t="s">
        <v>734</v>
      </c>
      <c r="BV8" t="s">
        <v>735</v>
      </c>
    </row>
    <row r="9" spans="1:74" x14ac:dyDescent="0.3">
      <c r="A9" s="49" t="str">
        <f>H04_S2_PLANIFICACIÓN_PDOT!A9</f>
        <v>AH-I-X-02</v>
      </c>
      <c r="B9" s="36" t="str">
        <f>H04_S2_PLANIFICACIÓN_PDOT!B9</f>
        <v>Vialidad cantonal: mantenimiento 43.8 km vías CUP + 57.22 km rurales; 23.77 km tratamiento medio</v>
      </c>
      <c r="C9" s="36" t="str">
        <f>H04_S2_PLANIFICACIÓN_PDOT!R9</f>
        <v>Dirección de Obras Públicas</v>
      </c>
      <c r="D9" s="36">
        <f>H04_S2_PLANIFICACIÓN_PDOT!N9</f>
        <v>130.21</v>
      </c>
      <c r="E9" s="36" t="str">
        <f>H04_S2_PLANIFICACIÓN_PDOT!O9</f>
        <v>Km vías mantenidas CUP acumulado</v>
      </c>
      <c r="F9" s="55">
        <f>H04_S2_PLANIFICACIÓN_PDOT!G9</f>
        <v>2729440</v>
      </c>
      <c r="G9" s="76">
        <f>H04_S2_PLANIFICACIÓN_PDOT!H9</f>
        <v>6.7296692948828146E-2</v>
      </c>
      <c r="H9" s="36">
        <v>5</v>
      </c>
      <c r="I9" s="36">
        <v>0</v>
      </c>
      <c r="J9" s="55">
        <v>0</v>
      </c>
      <c r="K9" s="36" t="str">
        <f t="shared" si="0"/>
        <v>🔴</v>
      </c>
      <c r="L9" s="36" t="s">
        <v>733</v>
      </c>
      <c r="M9" s="36">
        <v>10</v>
      </c>
      <c r="N9" s="36">
        <v>0</v>
      </c>
      <c r="O9" s="55">
        <v>0</v>
      </c>
      <c r="P9" s="36" t="str">
        <f t="shared" si="1"/>
        <v>🔴</v>
      </c>
      <c r="Q9" s="36" t="s">
        <v>733</v>
      </c>
      <c r="R9" s="36">
        <v>15</v>
      </c>
      <c r="S9" s="36">
        <v>0</v>
      </c>
      <c r="T9" s="55">
        <v>0</v>
      </c>
      <c r="U9" s="36" t="str">
        <f t="shared" si="2"/>
        <v>🔴</v>
      </c>
      <c r="V9" s="36" t="s">
        <v>733</v>
      </c>
      <c r="W9" s="36">
        <v>25</v>
      </c>
      <c r="X9" s="36">
        <v>0</v>
      </c>
      <c r="Y9" s="55">
        <v>0</v>
      </c>
      <c r="Z9" s="38" t="str">
        <f t="shared" si="3"/>
        <v>🔴</v>
      </c>
      <c r="AA9" t="s">
        <v>733</v>
      </c>
      <c r="AB9">
        <v>35</v>
      </c>
      <c r="AC9">
        <v>0</v>
      </c>
      <c r="AD9" s="6">
        <v>0</v>
      </c>
      <c r="AE9" t="str">
        <f t="shared" si="4"/>
        <v>🔴</v>
      </c>
      <c r="AF9" t="s">
        <v>733</v>
      </c>
      <c r="AG9">
        <v>45</v>
      </c>
      <c r="AH9">
        <v>0</v>
      </c>
      <c r="AI9" s="6">
        <v>0</v>
      </c>
      <c r="AJ9" t="str">
        <f t="shared" si="5"/>
        <v>🔴</v>
      </c>
      <c r="AK9" t="s">
        <v>733</v>
      </c>
      <c r="AL9">
        <v>55</v>
      </c>
      <c r="AM9">
        <v>0</v>
      </c>
      <c r="AN9" s="6">
        <v>0</v>
      </c>
      <c r="AO9" t="str">
        <f t="shared" si="6"/>
        <v>🔴</v>
      </c>
      <c r="AP9" t="s">
        <v>733</v>
      </c>
      <c r="AQ9">
        <v>65</v>
      </c>
      <c r="AR9">
        <v>0</v>
      </c>
      <c r="AS9" s="6">
        <v>0</v>
      </c>
      <c r="AT9" t="str">
        <f t="shared" si="7"/>
        <v>🔴</v>
      </c>
      <c r="AU9" t="s">
        <v>733</v>
      </c>
      <c r="AV9">
        <v>75</v>
      </c>
      <c r="AW9">
        <v>0</v>
      </c>
      <c r="AX9" s="6">
        <v>0</v>
      </c>
      <c r="AY9" t="str">
        <f t="shared" si="8"/>
        <v>🔴</v>
      </c>
      <c r="AZ9" t="s">
        <v>733</v>
      </c>
      <c r="BA9">
        <v>85</v>
      </c>
      <c r="BB9">
        <v>0</v>
      </c>
      <c r="BC9" s="6">
        <v>0</v>
      </c>
      <c r="BD9" t="str">
        <f t="shared" si="9"/>
        <v>🔴</v>
      </c>
      <c r="BE9" t="s">
        <v>733</v>
      </c>
      <c r="BF9">
        <v>92</v>
      </c>
      <c r="BG9">
        <v>0</v>
      </c>
      <c r="BH9" s="6">
        <v>0</v>
      </c>
      <c r="BI9" t="str">
        <f t="shared" si="10"/>
        <v>🔴</v>
      </c>
      <c r="BJ9" t="s">
        <v>733</v>
      </c>
      <c r="BK9">
        <v>100</v>
      </c>
      <c r="BL9">
        <v>0</v>
      </c>
      <c r="BM9" s="6">
        <v>0</v>
      </c>
      <c r="BN9" t="str">
        <f t="shared" si="11"/>
        <v>🔴</v>
      </c>
      <c r="BO9" t="s">
        <v>733</v>
      </c>
      <c r="BP9" s="10">
        <f t="shared" si="12"/>
        <v>0</v>
      </c>
      <c r="BQ9" t="str">
        <f t="shared" si="13"/>
        <v>🔴 Ruptura Sistémica</v>
      </c>
      <c r="BR9" t="str">
        <f t="shared" si="14"/>
        <v>⚠️ Revisar — riesgo incumplimiento</v>
      </c>
      <c r="BS9" t="str">
        <f>IF(IFERROR(SUM(J9,O9,T9,Y9,AD9,AI9,AN9,AS9,AX9,BC9,BH9,BM9),0)/F9&lt;H01_PARÁMETROS!$B$46,"🚨 ELEGIBLE COOPERACIÓN EXTERNA","✅ Financiamiento suficiente")</f>
        <v>🚨 ELEGIBLE COOPERACIÓN EXTERNA</v>
      </c>
      <c r="BT9" t="s">
        <v>734</v>
      </c>
      <c r="BV9" t="s">
        <v>735</v>
      </c>
    </row>
    <row r="10" spans="1:74" x14ac:dyDescent="0.3">
      <c r="A10" s="50" t="str">
        <f>H04_S2_PLANIFICACIÓN_PDOT!A10</f>
        <v>AH-I-X-03</v>
      </c>
      <c r="B10" s="39" t="str">
        <f>H04_S2_PLANIFICACIÓN_PDOT!B10</f>
        <v>Salud integral municipal: población atendida 57,401→84,041 personas (+10% anual)</v>
      </c>
      <c r="C10" s="39" t="str">
        <f>H04_S2_PLANIFICACIÓN_PDOT!R10</f>
        <v>Dirección de Obras Públicas</v>
      </c>
      <c r="D10" s="39">
        <f>H04_S2_PLANIFICACIÓN_PDOT!N10</f>
        <v>84041</v>
      </c>
      <c r="E10" s="39" t="str">
        <f>H04_S2_PLANIFICACIÓN_PDOT!O10</f>
        <v>Personas atendidas salud municipal</v>
      </c>
      <c r="F10" s="56">
        <f>H04_S2_PLANIFICACIÓN_PDOT!G10</f>
        <v>1470661</v>
      </c>
      <c r="G10" s="77">
        <f>H04_S2_PLANIFICACIÓN_PDOT!H10</f>
        <v>3.626041303300917E-2</v>
      </c>
      <c r="H10" s="39">
        <v>5</v>
      </c>
      <c r="I10" s="39">
        <v>0</v>
      </c>
      <c r="J10" s="56">
        <v>0</v>
      </c>
      <c r="K10" s="39" t="str">
        <f t="shared" si="0"/>
        <v>🔴</v>
      </c>
      <c r="L10" s="39" t="s">
        <v>733</v>
      </c>
      <c r="M10" s="39">
        <v>10</v>
      </c>
      <c r="N10" s="39">
        <v>0</v>
      </c>
      <c r="O10" s="56">
        <v>0</v>
      </c>
      <c r="P10" s="39" t="str">
        <f t="shared" si="1"/>
        <v>🔴</v>
      </c>
      <c r="Q10" s="39" t="s">
        <v>733</v>
      </c>
      <c r="R10" s="39">
        <v>15</v>
      </c>
      <c r="S10" s="39">
        <v>0</v>
      </c>
      <c r="T10" s="56">
        <v>0</v>
      </c>
      <c r="U10" s="39" t="str">
        <f t="shared" si="2"/>
        <v>🔴</v>
      </c>
      <c r="V10" s="39" t="s">
        <v>733</v>
      </c>
      <c r="W10" s="39">
        <v>25</v>
      </c>
      <c r="X10" s="39">
        <v>0</v>
      </c>
      <c r="Y10" s="56">
        <v>0</v>
      </c>
      <c r="Z10" s="40" t="str">
        <f t="shared" si="3"/>
        <v>🔴</v>
      </c>
      <c r="AA10" t="s">
        <v>733</v>
      </c>
      <c r="AB10">
        <v>35</v>
      </c>
      <c r="AC10">
        <v>0</v>
      </c>
      <c r="AD10" s="6">
        <v>0</v>
      </c>
      <c r="AE10" t="str">
        <f t="shared" si="4"/>
        <v>🔴</v>
      </c>
      <c r="AF10" t="s">
        <v>733</v>
      </c>
      <c r="AG10">
        <v>45</v>
      </c>
      <c r="AH10">
        <v>0</v>
      </c>
      <c r="AI10" s="6">
        <v>0</v>
      </c>
      <c r="AJ10" t="str">
        <f t="shared" si="5"/>
        <v>🔴</v>
      </c>
      <c r="AK10" t="s">
        <v>733</v>
      </c>
      <c r="AL10">
        <v>55</v>
      </c>
      <c r="AM10">
        <v>0</v>
      </c>
      <c r="AN10" s="6">
        <v>0</v>
      </c>
      <c r="AO10" t="str">
        <f t="shared" si="6"/>
        <v>🔴</v>
      </c>
      <c r="AP10" t="s">
        <v>733</v>
      </c>
      <c r="AQ10">
        <v>65</v>
      </c>
      <c r="AR10">
        <v>0</v>
      </c>
      <c r="AS10" s="6">
        <v>0</v>
      </c>
      <c r="AT10" t="str">
        <f t="shared" si="7"/>
        <v>🔴</v>
      </c>
      <c r="AU10" t="s">
        <v>733</v>
      </c>
      <c r="AV10">
        <v>75</v>
      </c>
      <c r="AW10">
        <v>0</v>
      </c>
      <c r="AX10" s="6">
        <v>0</v>
      </c>
      <c r="AY10" t="str">
        <f t="shared" si="8"/>
        <v>🔴</v>
      </c>
      <c r="AZ10" t="s">
        <v>733</v>
      </c>
      <c r="BA10">
        <v>85</v>
      </c>
      <c r="BB10">
        <v>0</v>
      </c>
      <c r="BC10" s="6">
        <v>0</v>
      </c>
      <c r="BD10" t="str">
        <f t="shared" si="9"/>
        <v>🔴</v>
      </c>
      <c r="BE10" t="s">
        <v>733</v>
      </c>
      <c r="BF10">
        <v>92</v>
      </c>
      <c r="BG10">
        <v>0</v>
      </c>
      <c r="BH10" s="6">
        <v>0</v>
      </c>
      <c r="BI10" t="str">
        <f t="shared" si="10"/>
        <v>🔴</v>
      </c>
      <c r="BJ10" t="s">
        <v>733</v>
      </c>
      <c r="BK10">
        <v>100</v>
      </c>
      <c r="BL10">
        <v>0</v>
      </c>
      <c r="BM10" s="6">
        <v>0</v>
      </c>
      <c r="BN10" t="str">
        <f t="shared" si="11"/>
        <v>🔴</v>
      </c>
      <c r="BO10" t="s">
        <v>733</v>
      </c>
      <c r="BP10" s="10">
        <f t="shared" si="12"/>
        <v>0</v>
      </c>
      <c r="BQ10" t="str">
        <f t="shared" si="13"/>
        <v>🔴 Ruptura Sistémica</v>
      </c>
      <c r="BR10" t="str">
        <f t="shared" si="14"/>
        <v>⚠️ Revisar — riesgo incumplimiento</v>
      </c>
      <c r="BS10" t="str">
        <f>IF(IFERROR(SUM(J10,O10,T10,Y10,AD10,AI10,AN10,AS10,AX10,BC10,BH10,BM10),0)/F10&lt;H01_PARÁMETROS!$B$46,"🚨 ELEGIBLE COOPERACIÓN EXTERNA","✅ Financiamiento suficiente")</f>
        <v>🚨 ELEGIBLE COOPERACIÓN EXTERNA</v>
      </c>
      <c r="BT10" t="s">
        <v>734</v>
      </c>
      <c r="BV10" t="s">
        <v>735</v>
      </c>
    </row>
    <row r="11" spans="1:74" x14ac:dyDescent="0.3">
      <c r="A11" s="49" t="str">
        <f>H04_S2_PLANIFICACIÓN_PDOT!A11</f>
        <v>AH-I-N-01</v>
      </c>
      <c r="B11" s="36" t="str">
        <f>H04_S2_PLANIFICACIÓN_PDOT!B11</f>
        <v>Gestión integral desechos sólidos: 20,118→23,086 Tn/año; relleno sanitario; capacidad disposición 0%→20%</v>
      </c>
      <c r="C11" s="36" t="str">
        <f>H04_S2_PLANIFICACIÓN_PDOT!R11</f>
        <v>EP Montehogar</v>
      </c>
      <c r="D11" s="36">
        <f>H04_S2_PLANIFICACIÓN_PDOT!N11</f>
        <v>23086.94</v>
      </c>
      <c r="E11" s="36" t="str">
        <f>H04_S2_PLANIFICACIÓN_PDOT!O11</f>
        <v>Toneladas de desechos gestionadas/año</v>
      </c>
      <c r="F11" s="55">
        <f>H04_S2_PLANIFICACIÓN_PDOT!G11</f>
        <v>1437686</v>
      </c>
      <c r="G11" s="76">
        <f>H04_S2_PLANIFICACIÓN_PDOT!H11</f>
        <v>3.5447386020146597E-2</v>
      </c>
      <c r="H11" s="36">
        <v>5</v>
      </c>
      <c r="I11" s="36">
        <v>0</v>
      </c>
      <c r="J11" s="55">
        <v>0</v>
      </c>
      <c r="K11" s="36" t="str">
        <f t="shared" si="0"/>
        <v>🔴</v>
      </c>
      <c r="L11" s="36" t="s">
        <v>733</v>
      </c>
      <c r="M11" s="36">
        <v>10</v>
      </c>
      <c r="N11" s="36">
        <v>0</v>
      </c>
      <c r="O11" s="55">
        <v>0</v>
      </c>
      <c r="P11" s="36" t="str">
        <f t="shared" si="1"/>
        <v>🔴</v>
      </c>
      <c r="Q11" s="36" t="s">
        <v>733</v>
      </c>
      <c r="R11" s="36">
        <v>15</v>
      </c>
      <c r="S11" s="36">
        <v>0</v>
      </c>
      <c r="T11" s="55">
        <v>0</v>
      </c>
      <c r="U11" s="36" t="str">
        <f t="shared" si="2"/>
        <v>🔴</v>
      </c>
      <c r="V11" s="36" t="s">
        <v>733</v>
      </c>
      <c r="W11" s="36">
        <v>25</v>
      </c>
      <c r="X11" s="36">
        <v>0</v>
      </c>
      <c r="Y11" s="55">
        <v>0</v>
      </c>
      <c r="Z11" s="38" t="str">
        <f t="shared" si="3"/>
        <v>🔴</v>
      </c>
      <c r="AA11" t="s">
        <v>733</v>
      </c>
      <c r="AB11">
        <v>35</v>
      </c>
      <c r="AC11">
        <v>0</v>
      </c>
      <c r="AD11" s="6">
        <v>0</v>
      </c>
      <c r="AE11" t="str">
        <f t="shared" si="4"/>
        <v>🔴</v>
      </c>
      <c r="AF11" t="s">
        <v>733</v>
      </c>
      <c r="AG11">
        <v>45</v>
      </c>
      <c r="AH11">
        <v>0</v>
      </c>
      <c r="AI11" s="6">
        <v>0</v>
      </c>
      <c r="AJ11" t="str">
        <f t="shared" si="5"/>
        <v>🔴</v>
      </c>
      <c r="AK11" t="s">
        <v>733</v>
      </c>
      <c r="AL11">
        <v>55</v>
      </c>
      <c r="AM11">
        <v>0</v>
      </c>
      <c r="AN11" s="6">
        <v>0</v>
      </c>
      <c r="AO11" t="str">
        <f t="shared" si="6"/>
        <v>🔴</v>
      </c>
      <c r="AP11" t="s">
        <v>733</v>
      </c>
      <c r="AQ11">
        <v>65</v>
      </c>
      <c r="AR11">
        <v>0</v>
      </c>
      <c r="AS11" s="6">
        <v>0</v>
      </c>
      <c r="AT11" t="str">
        <f t="shared" si="7"/>
        <v>🔴</v>
      </c>
      <c r="AU11" t="s">
        <v>733</v>
      </c>
      <c r="AV11">
        <v>75</v>
      </c>
      <c r="AW11">
        <v>0</v>
      </c>
      <c r="AX11" s="6">
        <v>0</v>
      </c>
      <c r="AY11" t="str">
        <f t="shared" si="8"/>
        <v>🔴</v>
      </c>
      <c r="AZ11" t="s">
        <v>733</v>
      </c>
      <c r="BA11">
        <v>85</v>
      </c>
      <c r="BB11">
        <v>0</v>
      </c>
      <c r="BC11" s="6">
        <v>0</v>
      </c>
      <c r="BD11" t="str">
        <f t="shared" si="9"/>
        <v>🔴</v>
      </c>
      <c r="BE11" t="s">
        <v>733</v>
      </c>
      <c r="BF11">
        <v>92</v>
      </c>
      <c r="BG11">
        <v>0</v>
      </c>
      <c r="BH11" s="6">
        <v>0</v>
      </c>
      <c r="BI11" t="str">
        <f t="shared" si="10"/>
        <v>🔴</v>
      </c>
      <c r="BJ11" t="s">
        <v>733</v>
      </c>
      <c r="BK11">
        <v>100</v>
      </c>
      <c r="BL11">
        <v>0</v>
      </c>
      <c r="BM11" s="6">
        <v>0</v>
      </c>
      <c r="BN11" t="str">
        <f t="shared" si="11"/>
        <v>🔴</v>
      </c>
      <c r="BO11" t="s">
        <v>733</v>
      </c>
      <c r="BP11" s="10">
        <f t="shared" si="12"/>
        <v>0</v>
      </c>
      <c r="BQ11" t="str">
        <f t="shared" si="13"/>
        <v>🔴 Ruptura Sistémica</v>
      </c>
      <c r="BR11" t="str">
        <f t="shared" si="14"/>
        <v>⚠️ Revisar — riesgo incumplimiento</v>
      </c>
      <c r="BS11" t="str">
        <f>IF(IFERROR(SUM(J11,O11,T11,Y11,AD11,AI11,AN11,AS11,AX11,BC11,BH11,BM11),0)/F11&lt;H01_PARÁMETROS!$B$46,"🚨 ELEGIBLE COOPERACIÓN EXTERNA","✅ Financiamiento suficiente")</f>
        <v>🚨 ELEGIBLE COOPERACIÓN EXTERNA</v>
      </c>
      <c r="BT11" t="s">
        <v>734</v>
      </c>
      <c r="BV11" t="s">
        <v>735</v>
      </c>
    </row>
    <row r="12" spans="1:74" x14ac:dyDescent="0.3">
      <c r="A12" s="50" t="str">
        <f>H04_S2_PLANIFICACIÓN_PDOT!A12</f>
        <v>SC-L-G-01</v>
      </c>
      <c r="B12" s="39" t="str">
        <f>H04_S2_PLANIFICACIÓN_PDOT!B12</f>
        <v>Alcantarillado sanitario: cobertura 19.77%→24.32%; PTAR 0%→75%; estaciones bombeo 36%→72%</v>
      </c>
      <c r="C12" s="39" t="str">
        <f>H04_S2_PLANIFICACIÓN_PDOT!R12</f>
        <v>Dirección de Cultura y Deporte</v>
      </c>
      <c r="D12" s="39">
        <f>H04_S2_PLANIFICACIÓN_PDOT!N12</f>
        <v>24.32</v>
      </c>
      <c r="E12" s="39" t="str">
        <f>H04_S2_PLANIFICACIÓN_PDOT!O12</f>
        <v>% cobertura alcantarillado sanitario</v>
      </c>
      <c r="F12" s="56">
        <f>H04_S2_PLANIFICACIÓN_PDOT!G12</f>
        <v>317465</v>
      </c>
      <c r="G12" s="77">
        <f>H04_S2_PLANIFICACIÓN_PDOT!H12</f>
        <v>7.8273728775865112E-3</v>
      </c>
      <c r="H12" s="39">
        <v>5</v>
      </c>
      <c r="I12" s="39">
        <v>0</v>
      </c>
      <c r="J12" s="56">
        <v>0</v>
      </c>
      <c r="K12" s="39" t="str">
        <f t="shared" si="0"/>
        <v>🔴</v>
      </c>
      <c r="L12" s="39" t="s">
        <v>733</v>
      </c>
      <c r="M12" s="39">
        <v>10</v>
      </c>
      <c r="N12" s="39">
        <v>0</v>
      </c>
      <c r="O12" s="56">
        <v>0</v>
      </c>
      <c r="P12" s="39" t="str">
        <f t="shared" si="1"/>
        <v>🔴</v>
      </c>
      <c r="Q12" s="39" t="s">
        <v>733</v>
      </c>
      <c r="R12" s="39">
        <v>15</v>
      </c>
      <c r="S12" s="39">
        <v>0</v>
      </c>
      <c r="T12" s="56">
        <v>0</v>
      </c>
      <c r="U12" s="39" t="str">
        <f t="shared" si="2"/>
        <v>🔴</v>
      </c>
      <c r="V12" s="39" t="s">
        <v>733</v>
      </c>
      <c r="W12" s="39">
        <v>25</v>
      </c>
      <c r="X12" s="39">
        <v>0</v>
      </c>
      <c r="Y12" s="56">
        <v>0</v>
      </c>
      <c r="Z12" s="40" t="str">
        <f t="shared" si="3"/>
        <v>🔴</v>
      </c>
      <c r="AA12" t="s">
        <v>733</v>
      </c>
      <c r="AB12">
        <v>35</v>
      </c>
      <c r="AC12">
        <v>0</v>
      </c>
      <c r="AD12" s="6">
        <v>0</v>
      </c>
      <c r="AE12" t="str">
        <f t="shared" si="4"/>
        <v>🔴</v>
      </c>
      <c r="AF12" t="s">
        <v>733</v>
      </c>
      <c r="AG12">
        <v>45</v>
      </c>
      <c r="AH12">
        <v>0</v>
      </c>
      <c r="AI12" s="6">
        <v>0</v>
      </c>
      <c r="AJ12" t="str">
        <f t="shared" si="5"/>
        <v>🔴</v>
      </c>
      <c r="AK12" t="s">
        <v>733</v>
      </c>
      <c r="AL12">
        <v>55</v>
      </c>
      <c r="AM12">
        <v>0</v>
      </c>
      <c r="AN12" s="6">
        <v>0</v>
      </c>
      <c r="AO12" t="str">
        <f t="shared" si="6"/>
        <v>🔴</v>
      </c>
      <c r="AP12" t="s">
        <v>733</v>
      </c>
      <c r="AQ12">
        <v>65</v>
      </c>
      <c r="AR12">
        <v>0</v>
      </c>
      <c r="AS12" s="6">
        <v>0</v>
      </c>
      <c r="AT12" t="str">
        <f t="shared" si="7"/>
        <v>🔴</v>
      </c>
      <c r="AU12" t="s">
        <v>733</v>
      </c>
      <c r="AV12">
        <v>75</v>
      </c>
      <c r="AW12">
        <v>0</v>
      </c>
      <c r="AX12" s="6">
        <v>0</v>
      </c>
      <c r="AY12" t="str">
        <f t="shared" si="8"/>
        <v>🔴</v>
      </c>
      <c r="AZ12" t="s">
        <v>733</v>
      </c>
      <c r="BA12">
        <v>85</v>
      </c>
      <c r="BB12">
        <v>0</v>
      </c>
      <c r="BC12" s="6">
        <v>0</v>
      </c>
      <c r="BD12" t="str">
        <f t="shared" si="9"/>
        <v>🔴</v>
      </c>
      <c r="BE12" t="s">
        <v>733</v>
      </c>
      <c r="BF12">
        <v>92</v>
      </c>
      <c r="BG12">
        <v>0</v>
      </c>
      <c r="BH12" s="6">
        <v>0</v>
      </c>
      <c r="BI12" t="str">
        <f t="shared" si="10"/>
        <v>🔴</v>
      </c>
      <c r="BJ12" t="s">
        <v>733</v>
      </c>
      <c r="BK12">
        <v>100</v>
      </c>
      <c r="BL12">
        <v>0</v>
      </c>
      <c r="BM12" s="6">
        <v>0</v>
      </c>
      <c r="BN12" t="str">
        <f t="shared" si="11"/>
        <v>🔴</v>
      </c>
      <c r="BO12" t="s">
        <v>733</v>
      </c>
      <c r="BP12" s="10">
        <f t="shared" si="12"/>
        <v>0</v>
      </c>
      <c r="BQ12" t="str">
        <f t="shared" si="13"/>
        <v>🔴 Ruptura Sistémica</v>
      </c>
      <c r="BR12" t="str">
        <f t="shared" si="14"/>
        <v>⚠️ Revisar — riesgo incumplimiento</v>
      </c>
      <c r="BS12" t="str">
        <f>IF(IFERROR(SUM(J12,O12,T12,Y12,AD12,AI12,AN12,AS12,AX12,BC12,BH12,BM12),0)/F12&lt;H01_PARÁMETROS!$B$46,"🚨 ELEGIBLE COOPERACIÓN EXTERNA","✅ Financiamiento suficiente")</f>
        <v>🚨 ELEGIBLE COOPERACIÓN EXTERNA</v>
      </c>
      <c r="BT12" t="s">
        <v>734</v>
      </c>
      <c r="BV12" t="s">
        <v>735</v>
      </c>
    </row>
    <row r="13" spans="1:74" x14ac:dyDescent="0.3">
      <c r="A13" s="49" t="str">
        <f>H04_S2_PLANIFICACIÓN_PDOT!A13</f>
        <v>AH-I-X-04</v>
      </c>
      <c r="B13" s="36" t="str">
        <f>H04_S2_PLANIFICACIÓN_PDOT!B13</f>
        <v>Modernización recursos administrativos: parque automotor, tecnología e infraestructura municipal</v>
      </c>
      <c r="C13" s="36" t="str">
        <f>H04_S2_PLANIFICACIÓN_PDOT!R13</f>
        <v>Dirección de Obras Públicas</v>
      </c>
      <c r="D13" s="36">
        <f>H04_S2_PLANIFICACIÓN_PDOT!N13</f>
        <v>1</v>
      </c>
      <c r="E13" s="36" t="str">
        <f>H04_S2_PLANIFICACIÓN_PDOT!O13</f>
        <v>Parque automotor y tecnología renovados</v>
      </c>
      <c r="F13" s="55">
        <f>H04_S2_PLANIFICACIÓN_PDOT!G13</f>
        <v>941255</v>
      </c>
      <c r="G13" s="76">
        <f>H04_S2_PLANIFICACIÓN_PDOT!H13</f>
        <v>2.3207452342439927E-2</v>
      </c>
      <c r="H13" s="36">
        <v>5</v>
      </c>
      <c r="I13" s="36">
        <v>0</v>
      </c>
      <c r="J13" s="55">
        <v>0</v>
      </c>
      <c r="K13" s="36" t="str">
        <f t="shared" si="0"/>
        <v>🔴</v>
      </c>
      <c r="L13" s="36" t="s">
        <v>733</v>
      </c>
      <c r="M13" s="36">
        <v>10</v>
      </c>
      <c r="N13" s="36">
        <v>0</v>
      </c>
      <c r="O13" s="55">
        <v>0</v>
      </c>
      <c r="P13" s="36" t="str">
        <f t="shared" si="1"/>
        <v>🔴</v>
      </c>
      <c r="Q13" s="36" t="s">
        <v>733</v>
      </c>
      <c r="R13" s="36">
        <v>15</v>
      </c>
      <c r="S13" s="36">
        <v>0</v>
      </c>
      <c r="T13" s="55">
        <v>0</v>
      </c>
      <c r="U13" s="36" t="str">
        <f t="shared" si="2"/>
        <v>🔴</v>
      </c>
      <c r="V13" s="36" t="s">
        <v>733</v>
      </c>
      <c r="W13" s="36">
        <v>25</v>
      </c>
      <c r="X13" s="36">
        <v>0</v>
      </c>
      <c r="Y13" s="55">
        <v>0</v>
      </c>
      <c r="Z13" s="38" t="str">
        <f t="shared" si="3"/>
        <v>🔴</v>
      </c>
      <c r="AA13" t="s">
        <v>733</v>
      </c>
      <c r="AB13">
        <v>35</v>
      </c>
      <c r="AC13">
        <v>0</v>
      </c>
      <c r="AD13" s="6">
        <v>0</v>
      </c>
      <c r="AE13" t="str">
        <f t="shared" si="4"/>
        <v>🔴</v>
      </c>
      <c r="AF13" t="s">
        <v>733</v>
      </c>
      <c r="AG13">
        <v>45</v>
      </c>
      <c r="AH13">
        <v>0</v>
      </c>
      <c r="AI13" s="6">
        <v>0</v>
      </c>
      <c r="AJ13" t="str">
        <f t="shared" si="5"/>
        <v>🔴</v>
      </c>
      <c r="AK13" t="s">
        <v>733</v>
      </c>
      <c r="AL13">
        <v>55</v>
      </c>
      <c r="AM13">
        <v>0</v>
      </c>
      <c r="AN13" s="6">
        <v>0</v>
      </c>
      <c r="AO13" t="str">
        <f t="shared" si="6"/>
        <v>🔴</v>
      </c>
      <c r="AP13" t="s">
        <v>733</v>
      </c>
      <c r="AQ13">
        <v>65</v>
      </c>
      <c r="AR13">
        <v>0</v>
      </c>
      <c r="AS13" s="6">
        <v>0</v>
      </c>
      <c r="AT13" t="str">
        <f t="shared" si="7"/>
        <v>🔴</v>
      </c>
      <c r="AU13" t="s">
        <v>733</v>
      </c>
      <c r="AV13">
        <v>75</v>
      </c>
      <c r="AW13">
        <v>0</v>
      </c>
      <c r="AX13" s="6">
        <v>0</v>
      </c>
      <c r="AY13" t="str">
        <f t="shared" si="8"/>
        <v>🔴</v>
      </c>
      <c r="AZ13" t="s">
        <v>733</v>
      </c>
      <c r="BA13">
        <v>85</v>
      </c>
      <c r="BB13">
        <v>0</v>
      </c>
      <c r="BC13" s="6">
        <v>0</v>
      </c>
      <c r="BD13" t="str">
        <f t="shared" si="9"/>
        <v>🔴</v>
      </c>
      <c r="BE13" t="s">
        <v>733</v>
      </c>
      <c r="BF13">
        <v>92</v>
      </c>
      <c r="BG13">
        <v>0</v>
      </c>
      <c r="BH13" s="6">
        <v>0</v>
      </c>
      <c r="BI13" t="str">
        <f t="shared" si="10"/>
        <v>🔴</v>
      </c>
      <c r="BJ13" t="s">
        <v>733</v>
      </c>
      <c r="BK13">
        <v>100</v>
      </c>
      <c r="BL13">
        <v>0</v>
      </c>
      <c r="BM13" s="6">
        <v>0</v>
      </c>
      <c r="BN13" t="str">
        <f t="shared" si="11"/>
        <v>🔴</v>
      </c>
      <c r="BO13" t="s">
        <v>733</v>
      </c>
      <c r="BP13" s="10">
        <f t="shared" si="12"/>
        <v>0</v>
      </c>
      <c r="BQ13" t="str">
        <f t="shared" si="13"/>
        <v>🔴 Ruptura Sistémica</v>
      </c>
      <c r="BR13" t="str">
        <f t="shared" si="14"/>
        <v>⚠️ Revisar — riesgo incumplimiento</v>
      </c>
      <c r="BS13" t="str">
        <f>IF(IFERROR(SUM(J13,O13,T13,Y13,AD13,AI13,AN13,AS13,AX13,BC13,BH13,BM13),0)/F13&lt;H01_PARÁMETROS!$B$46,"🚨 ELEGIBLE COOPERACIÓN EXTERNA","✅ Financiamiento suficiente")</f>
        <v>🚨 ELEGIBLE COOPERACIÓN EXTERNA</v>
      </c>
      <c r="BT13" t="s">
        <v>734</v>
      </c>
      <c r="BV13" t="s">
        <v>735</v>
      </c>
    </row>
    <row r="14" spans="1:74" x14ac:dyDescent="0.3">
      <c r="A14" s="50" t="str">
        <f>H04_S2_PLANIFICACIÓN_PDOT!A14</f>
        <v>PI-I-G-01</v>
      </c>
      <c r="B14" s="39" t="str">
        <f>H04_S2_PLANIFICACIÓN_PDOT!B14</f>
        <v>Equipamientos públicos: terminal terrestre, mercado, estación bomberil, centro salud tipo C, mantenimiento espacios recreativos</v>
      </c>
      <c r="C14" s="39" t="str">
        <f>H04_S2_PLANIFICACIÓN_PDOT!R14</f>
        <v>Dirección Administrativa</v>
      </c>
      <c r="D14" s="39">
        <f>H04_S2_PLANIFICACIÓN_PDOT!N14</f>
        <v>10.73</v>
      </c>
      <c r="E14" s="39" t="str">
        <f>H04_S2_PLANIFICACIÓN_PDOT!O14</f>
        <v>m² / hab índice equipamiento urbano CUP</v>
      </c>
      <c r="F14" s="56">
        <f>H04_S2_PLANIFICACIÓN_PDOT!G14</f>
        <v>647139</v>
      </c>
      <c r="G14" s="77">
        <f>H04_S2_PLANIFICACIÓN_PDOT!H14</f>
        <v>1.5955769160784519E-2</v>
      </c>
      <c r="H14" s="39">
        <v>5</v>
      </c>
      <c r="I14" s="39">
        <v>0</v>
      </c>
      <c r="J14" s="56">
        <v>0</v>
      </c>
      <c r="K14" s="39" t="str">
        <f t="shared" si="0"/>
        <v>🔴</v>
      </c>
      <c r="L14" s="39" t="s">
        <v>733</v>
      </c>
      <c r="M14" s="39">
        <v>10</v>
      </c>
      <c r="N14" s="39">
        <v>0</v>
      </c>
      <c r="O14" s="56">
        <v>0</v>
      </c>
      <c r="P14" s="39" t="str">
        <f t="shared" si="1"/>
        <v>🔴</v>
      </c>
      <c r="Q14" s="39" t="s">
        <v>733</v>
      </c>
      <c r="R14" s="39">
        <v>15</v>
      </c>
      <c r="S14" s="39">
        <v>0</v>
      </c>
      <c r="T14" s="56">
        <v>0</v>
      </c>
      <c r="U14" s="39" t="str">
        <f t="shared" si="2"/>
        <v>🔴</v>
      </c>
      <c r="V14" s="39" t="s">
        <v>733</v>
      </c>
      <c r="W14" s="39">
        <v>25</v>
      </c>
      <c r="X14" s="39">
        <v>0</v>
      </c>
      <c r="Y14" s="56">
        <v>0</v>
      </c>
      <c r="Z14" s="40" t="str">
        <f t="shared" si="3"/>
        <v>🔴</v>
      </c>
      <c r="AA14" t="s">
        <v>733</v>
      </c>
      <c r="AB14">
        <v>35</v>
      </c>
      <c r="AC14">
        <v>0</v>
      </c>
      <c r="AD14" s="6">
        <v>0</v>
      </c>
      <c r="AE14" t="str">
        <f t="shared" si="4"/>
        <v>🔴</v>
      </c>
      <c r="AF14" t="s">
        <v>733</v>
      </c>
      <c r="AG14">
        <v>45</v>
      </c>
      <c r="AH14">
        <v>0</v>
      </c>
      <c r="AI14" s="6">
        <v>0</v>
      </c>
      <c r="AJ14" t="str">
        <f t="shared" si="5"/>
        <v>🔴</v>
      </c>
      <c r="AK14" t="s">
        <v>733</v>
      </c>
      <c r="AL14">
        <v>55</v>
      </c>
      <c r="AM14">
        <v>0</v>
      </c>
      <c r="AN14" s="6">
        <v>0</v>
      </c>
      <c r="AO14" t="str">
        <f t="shared" si="6"/>
        <v>🔴</v>
      </c>
      <c r="AP14" t="s">
        <v>733</v>
      </c>
      <c r="AQ14">
        <v>65</v>
      </c>
      <c r="AR14">
        <v>0</v>
      </c>
      <c r="AS14" s="6">
        <v>0</v>
      </c>
      <c r="AT14" t="str">
        <f t="shared" si="7"/>
        <v>🔴</v>
      </c>
      <c r="AU14" t="s">
        <v>733</v>
      </c>
      <c r="AV14">
        <v>75</v>
      </c>
      <c r="AW14">
        <v>0</v>
      </c>
      <c r="AX14" s="6">
        <v>0</v>
      </c>
      <c r="AY14" t="str">
        <f t="shared" si="8"/>
        <v>🔴</v>
      </c>
      <c r="AZ14" t="s">
        <v>733</v>
      </c>
      <c r="BA14">
        <v>85</v>
      </c>
      <c r="BB14">
        <v>0</v>
      </c>
      <c r="BC14" s="6">
        <v>0</v>
      </c>
      <c r="BD14" t="str">
        <f t="shared" si="9"/>
        <v>🔴</v>
      </c>
      <c r="BE14" t="s">
        <v>733</v>
      </c>
      <c r="BF14">
        <v>92</v>
      </c>
      <c r="BG14">
        <v>0</v>
      </c>
      <c r="BH14" s="6">
        <v>0</v>
      </c>
      <c r="BI14" t="str">
        <f t="shared" si="10"/>
        <v>🔴</v>
      </c>
      <c r="BJ14" t="s">
        <v>733</v>
      </c>
      <c r="BK14">
        <v>100</v>
      </c>
      <c r="BL14">
        <v>0</v>
      </c>
      <c r="BM14" s="6">
        <v>0</v>
      </c>
      <c r="BN14" t="str">
        <f t="shared" si="11"/>
        <v>🔴</v>
      </c>
      <c r="BO14" t="s">
        <v>733</v>
      </c>
      <c r="BP14" s="10">
        <f t="shared" si="12"/>
        <v>0</v>
      </c>
      <c r="BQ14" t="str">
        <f t="shared" si="13"/>
        <v>🔴 Ruptura Sistémica</v>
      </c>
      <c r="BR14" t="str">
        <f t="shared" si="14"/>
        <v>⚠️ Revisar — riesgo incumplimiento</v>
      </c>
      <c r="BS14" t="str">
        <f>IF(IFERROR(SUM(J14,O14,T14,Y14,AD14,AI14,AN14,AS14,AX14,BC14,BH14,BM14),0)/F14&lt;H01_PARÁMETROS!$B$46,"🚨 ELEGIBLE COOPERACIÓN EXTERNA","✅ Financiamiento suficiente")</f>
        <v>🚨 ELEGIBLE COOPERACIÓN EXTERNA</v>
      </c>
      <c r="BT14" t="s">
        <v>734</v>
      </c>
      <c r="BV14" t="s">
        <v>735</v>
      </c>
    </row>
    <row r="15" spans="1:74" x14ac:dyDescent="0.3">
      <c r="A15" s="49" t="str">
        <f>H04_S2_PLANIFICACIÓN_PDOT!A15</f>
        <v>AH-C-X-01</v>
      </c>
      <c r="B15" s="36" t="str">
        <f>H04_S2_PLANIFICACIÓN_PDOT!B15</f>
        <v>Protección derechos sociales: atenciones grupos prioritarios 943→1,649 (+15%/año); CDI; adultos mayores; violencia de género</v>
      </c>
      <c r="C15" s="36" t="str">
        <f>H04_S2_PLANIFICACIÓN_PDOT!R15</f>
        <v>Dirección de Agua y Saneamiento</v>
      </c>
      <c r="D15" s="36">
        <f>H04_S2_PLANIFICACIÓN_PDOT!N15</f>
        <v>1649</v>
      </c>
      <c r="E15" s="36" t="str">
        <f>H04_S2_PLANIFICACIÓN_PDOT!O15</f>
        <v>Atenciones en programas grupos prioritarios</v>
      </c>
      <c r="F15" s="55">
        <f>H04_S2_PLANIFICACIÓN_PDOT!G15</f>
        <v>438767</v>
      </c>
      <c r="G15" s="76">
        <f>H04_S2_PLANIFICACIÓN_PDOT!H15</f>
        <v>1.08181781153198E-2</v>
      </c>
      <c r="H15" s="36">
        <v>5</v>
      </c>
      <c r="I15" s="36">
        <v>0</v>
      </c>
      <c r="J15" s="55">
        <v>0</v>
      </c>
      <c r="K15" s="36" t="str">
        <f t="shared" si="0"/>
        <v>🔴</v>
      </c>
      <c r="L15" s="36" t="s">
        <v>733</v>
      </c>
      <c r="M15" s="36">
        <v>10</v>
      </c>
      <c r="N15" s="36">
        <v>0</v>
      </c>
      <c r="O15" s="55">
        <v>0</v>
      </c>
      <c r="P15" s="36" t="str">
        <f t="shared" si="1"/>
        <v>🔴</v>
      </c>
      <c r="Q15" s="36" t="s">
        <v>733</v>
      </c>
      <c r="R15" s="36">
        <v>15</v>
      </c>
      <c r="S15" s="36">
        <v>0</v>
      </c>
      <c r="T15" s="55">
        <v>0</v>
      </c>
      <c r="U15" s="36" t="str">
        <f t="shared" si="2"/>
        <v>🔴</v>
      </c>
      <c r="V15" s="36" t="s">
        <v>733</v>
      </c>
      <c r="W15" s="36">
        <v>25</v>
      </c>
      <c r="X15" s="36">
        <v>0</v>
      </c>
      <c r="Y15" s="55">
        <v>0</v>
      </c>
      <c r="Z15" s="38" t="str">
        <f t="shared" si="3"/>
        <v>🔴</v>
      </c>
      <c r="AA15" t="s">
        <v>733</v>
      </c>
      <c r="AB15">
        <v>35</v>
      </c>
      <c r="AC15">
        <v>0</v>
      </c>
      <c r="AD15" s="6">
        <v>0</v>
      </c>
      <c r="AE15" t="str">
        <f t="shared" si="4"/>
        <v>🔴</v>
      </c>
      <c r="AF15" t="s">
        <v>733</v>
      </c>
      <c r="AG15">
        <v>45</v>
      </c>
      <c r="AH15">
        <v>0</v>
      </c>
      <c r="AI15" s="6">
        <v>0</v>
      </c>
      <c r="AJ15" t="str">
        <f t="shared" si="5"/>
        <v>🔴</v>
      </c>
      <c r="AK15" t="s">
        <v>733</v>
      </c>
      <c r="AL15">
        <v>55</v>
      </c>
      <c r="AM15">
        <v>0</v>
      </c>
      <c r="AN15" s="6">
        <v>0</v>
      </c>
      <c r="AO15" t="str">
        <f t="shared" si="6"/>
        <v>🔴</v>
      </c>
      <c r="AP15" t="s">
        <v>733</v>
      </c>
      <c r="AQ15">
        <v>65</v>
      </c>
      <c r="AR15">
        <v>0</v>
      </c>
      <c r="AS15" s="6">
        <v>0</v>
      </c>
      <c r="AT15" t="str">
        <f t="shared" si="7"/>
        <v>🔴</v>
      </c>
      <c r="AU15" t="s">
        <v>733</v>
      </c>
      <c r="AV15">
        <v>75</v>
      </c>
      <c r="AW15">
        <v>0</v>
      </c>
      <c r="AX15" s="6">
        <v>0</v>
      </c>
      <c r="AY15" t="str">
        <f t="shared" si="8"/>
        <v>🔴</v>
      </c>
      <c r="AZ15" t="s">
        <v>733</v>
      </c>
      <c r="BA15">
        <v>85</v>
      </c>
      <c r="BB15">
        <v>0</v>
      </c>
      <c r="BC15" s="6">
        <v>0</v>
      </c>
      <c r="BD15" t="str">
        <f t="shared" si="9"/>
        <v>🔴</v>
      </c>
      <c r="BE15" t="s">
        <v>733</v>
      </c>
      <c r="BF15">
        <v>92</v>
      </c>
      <c r="BG15">
        <v>0</v>
      </c>
      <c r="BH15" s="6">
        <v>0</v>
      </c>
      <c r="BI15" t="str">
        <f t="shared" si="10"/>
        <v>🔴</v>
      </c>
      <c r="BJ15" t="s">
        <v>733</v>
      </c>
      <c r="BK15">
        <v>100</v>
      </c>
      <c r="BL15">
        <v>0</v>
      </c>
      <c r="BM15" s="6">
        <v>0</v>
      </c>
      <c r="BN15" t="str">
        <f t="shared" si="11"/>
        <v>🔴</v>
      </c>
      <c r="BO15" t="s">
        <v>733</v>
      </c>
      <c r="BP15" s="10">
        <f t="shared" si="12"/>
        <v>0</v>
      </c>
      <c r="BQ15" t="str">
        <f t="shared" si="13"/>
        <v>🔴 Ruptura Sistémica</v>
      </c>
      <c r="BR15" t="str">
        <f t="shared" si="14"/>
        <v>⚠️ Revisar — riesgo incumplimiento</v>
      </c>
      <c r="BS15" t="str">
        <f>IF(IFERROR(SUM(J15,O15,T15,Y15,AD15,AI15,AN15,AS15,AX15,BC15,BH15,BM15),0)/F15&lt;H01_PARÁMETROS!$B$46,"🚨 ELEGIBLE COOPERACIÓN EXTERNA","✅ Financiamiento suficiente")</f>
        <v>🚨 ELEGIBLE COOPERACIÓN EXTERNA</v>
      </c>
      <c r="BT15" t="s">
        <v>734</v>
      </c>
      <c r="BV15" t="s">
        <v>735</v>
      </c>
    </row>
    <row r="16" spans="1:74" x14ac:dyDescent="0.3">
      <c r="A16" s="50" t="str">
        <f>H04_S2_PLANIFICACIÓN_PDOT!A16</f>
        <v>AH-C-X-02</v>
      </c>
      <c r="B16" s="39" t="str">
        <f>H04_S2_PLANIFICACIÓN_PDOT!B16</f>
        <v>Sistema información territorial: catastro urbano-rural 19.52%→80%; 12 procesos sistematizados; 37 trámites en línea</v>
      </c>
      <c r="C16" s="39" t="str">
        <f>H04_S2_PLANIFICACIÓN_PDOT!R16</f>
        <v>Dirección de Agua y Saneamiento</v>
      </c>
      <c r="D16" s="39">
        <f>H04_S2_PLANIFICACIÓN_PDOT!N16</f>
        <v>80</v>
      </c>
      <c r="E16" s="39" t="str">
        <f>H04_S2_PLANIFICACIÓN_PDOT!O16</f>
        <v>% levantamiento SIL catastro urbano-rural</v>
      </c>
      <c r="F16" s="56">
        <f>H04_S2_PLANIFICACIÓN_PDOT!G16</f>
        <v>454892</v>
      </c>
      <c r="G16" s="77">
        <f>H04_S2_PLANIFICACIÓN_PDOT!H16</f>
        <v>1.1215753872178297E-2</v>
      </c>
      <c r="H16" s="39">
        <v>5</v>
      </c>
      <c r="I16" s="39">
        <v>0</v>
      </c>
      <c r="J16" s="56">
        <v>0</v>
      </c>
      <c r="K16" s="39" t="str">
        <f t="shared" si="0"/>
        <v>🔴</v>
      </c>
      <c r="L16" s="39" t="s">
        <v>733</v>
      </c>
      <c r="M16" s="39">
        <v>10</v>
      </c>
      <c r="N16" s="39">
        <v>0</v>
      </c>
      <c r="O16" s="56">
        <v>0</v>
      </c>
      <c r="P16" s="39" t="str">
        <f t="shared" si="1"/>
        <v>🔴</v>
      </c>
      <c r="Q16" s="39" t="s">
        <v>733</v>
      </c>
      <c r="R16" s="39">
        <v>15</v>
      </c>
      <c r="S16" s="39">
        <v>0</v>
      </c>
      <c r="T16" s="56">
        <v>0</v>
      </c>
      <c r="U16" s="39" t="str">
        <f t="shared" si="2"/>
        <v>🔴</v>
      </c>
      <c r="V16" s="39" t="s">
        <v>733</v>
      </c>
      <c r="W16" s="39">
        <v>25</v>
      </c>
      <c r="X16" s="39">
        <v>0</v>
      </c>
      <c r="Y16" s="56">
        <v>0</v>
      </c>
      <c r="Z16" s="40" t="str">
        <f t="shared" si="3"/>
        <v>🔴</v>
      </c>
      <c r="AA16" t="s">
        <v>733</v>
      </c>
      <c r="AB16">
        <v>35</v>
      </c>
      <c r="AC16">
        <v>0</v>
      </c>
      <c r="AD16" s="6">
        <v>0</v>
      </c>
      <c r="AE16" t="str">
        <f t="shared" si="4"/>
        <v>🔴</v>
      </c>
      <c r="AF16" t="s">
        <v>733</v>
      </c>
      <c r="AG16">
        <v>45</v>
      </c>
      <c r="AH16">
        <v>0</v>
      </c>
      <c r="AI16" s="6">
        <v>0</v>
      </c>
      <c r="AJ16" t="str">
        <f t="shared" si="5"/>
        <v>🔴</v>
      </c>
      <c r="AK16" t="s">
        <v>733</v>
      </c>
      <c r="AL16">
        <v>55</v>
      </c>
      <c r="AM16">
        <v>0</v>
      </c>
      <c r="AN16" s="6">
        <v>0</v>
      </c>
      <c r="AO16" t="str">
        <f t="shared" si="6"/>
        <v>🔴</v>
      </c>
      <c r="AP16" t="s">
        <v>733</v>
      </c>
      <c r="AQ16">
        <v>65</v>
      </c>
      <c r="AR16">
        <v>0</v>
      </c>
      <c r="AS16" s="6">
        <v>0</v>
      </c>
      <c r="AT16" t="str">
        <f t="shared" si="7"/>
        <v>🔴</v>
      </c>
      <c r="AU16" t="s">
        <v>733</v>
      </c>
      <c r="AV16">
        <v>75</v>
      </c>
      <c r="AW16">
        <v>0</v>
      </c>
      <c r="AX16" s="6">
        <v>0</v>
      </c>
      <c r="AY16" t="str">
        <f t="shared" si="8"/>
        <v>🔴</v>
      </c>
      <c r="AZ16" t="s">
        <v>733</v>
      </c>
      <c r="BA16">
        <v>85</v>
      </c>
      <c r="BB16">
        <v>0</v>
      </c>
      <c r="BC16" s="6">
        <v>0</v>
      </c>
      <c r="BD16" t="str">
        <f t="shared" si="9"/>
        <v>🔴</v>
      </c>
      <c r="BE16" t="s">
        <v>733</v>
      </c>
      <c r="BF16">
        <v>92</v>
      </c>
      <c r="BG16">
        <v>0</v>
      </c>
      <c r="BH16" s="6">
        <v>0</v>
      </c>
      <c r="BI16" t="str">
        <f t="shared" si="10"/>
        <v>🔴</v>
      </c>
      <c r="BJ16" t="s">
        <v>733</v>
      </c>
      <c r="BK16">
        <v>100</v>
      </c>
      <c r="BL16">
        <v>0</v>
      </c>
      <c r="BM16" s="6">
        <v>0</v>
      </c>
      <c r="BN16" t="str">
        <f t="shared" si="11"/>
        <v>🔴</v>
      </c>
      <c r="BO16" t="s">
        <v>733</v>
      </c>
      <c r="BP16" s="10">
        <f t="shared" si="12"/>
        <v>0</v>
      </c>
      <c r="BQ16" t="str">
        <f t="shared" si="13"/>
        <v>🔴 Ruptura Sistémica</v>
      </c>
      <c r="BR16" t="str">
        <f t="shared" si="14"/>
        <v>⚠️ Revisar — riesgo incumplimiento</v>
      </c>
      <c r="BS16" t="str">
        <f>IF(IFERROR(SUM(J16,O16,T16,Y16,AD16,AI16,AN16,AS16,AX16,BC16,BH16,BM16),0)/F16&lt;H01_PARÁMETROS!$B$46,"🚨 ELEGIBLE COOPERACIÓN EXTERNA","✅ Financiamiento suficiente")</f>
        <v>🚨 ELEGIBLE COOPERACIÓN EXTERNA</v>
      </c>
      <c r="BT16" t="s">
        <v>734</v>
      </c>
      <c r="BV16" t="s">
        <v>735</v>
      </c>
    </row>
    <row r="17" spans="1:74" x14ac:dyDescent="0.3">
      <c r="A17" s="49" t="str">
        <f>H04_S2_PLANIFICACIÓN_PDOT!A17</f>
        <v>SC-I-N-03</v>
      </c>
      <c r="B17" s="36" t="str">
        <f>H04_S2_PLANIFICACIÓN_PDOT!B17</f>
        <v>Participación ciudadana: 50→100 Unidades Territoriales participativas; 2→4 instancias efectivas (COPFP Art.115)</v>
      </c>
      <c r="C17" s="36" t="str">
        <f>H04_S2_PLANIFICACIÓN_PDOT!R17</f>
        <v>Patronato Municipal</v>
      </c>
      <c r="D17" s="36">
        <f>H04_S2_PLANIFICACIÓN_PDOT!N17</f>
        <v>100</v>
      </c>
      <c r="E17" s="36" t="str">
        <f>H04_S2_PLANIFICACIÓN_PDOT!O17</f>
        <v>Unidades Territoriales participativas activas</v>
      </c>
      <c r="F17" s="55">
        <f>H04_S2_PLANIFICACIÓN_PDOT!G17</f>
        <v>34475</v>
      </c>
      <c r="G17" s="76">
        <f>H04_S2_PLANIFICACIÓN_PDOT!H17</f>
        <v>8.5001080419824218E-4</v>
      </c>
      <c r="H17" s="36">
        <v>5</v>
      </c>
      <c r="I17" s="36">
        <v>0</v>
      </c>
      <c r="J17" s="55">
        <v>0</v>
      </c>
      <c r="K17" s="36" t="str">
        <f t="shared" si="0"/>
        <v>🔴</v>
      </c>
      <c r="L17" s="36" t="s">
        <v>733</v>
      </c>
      <c r="M17" s="36">
        <v>10</v>
      </c>
      <c r="N17" s="36">
        <v>0</v>
      </c>
      <c r="O17" s="55">
        <v>0</v>
      </c>
      <c r="P17" s="36" t="str">
        <f t="shared" si="1"/>
        <v>🔴</v>
      </c>
      <c r="Q17" s="36" t="s">
        <v>733</v>
      </c>
      <c r="R17" s="36">
        <v>15</v>
      </c>
      <c r="S17" s="36">
        <v>0</v>
      </c>
      <c r="T17" s="55">
        <v>0</v>
      </c>
      <c r="U17" s="36" t="str">
        <f t="shared" si="2"/>
        <v>🔴</v>
      </c>
      <c r="V17" s="36" t="s">
        <v>733</v>
      </c>
      <c r="W17" s="36">
        <v>25</v>
      </c>
      <c r="X17" s="36">
        <v>0</v>
      </c>
      <c r="Y17" s="55">
        <v>0</v>
      </c>
      <c r="Z17" s="38" t="str">
        <f t="shared" si="3"/>
        <v>🔴</v>
      </c>
      <c r="AA17" t="s">
        <v>733</v>
      </c>
      <c r="AB17">
        <v>35</v>
      </c>
      <c r="AC17">
        <v>0</v>
      </c>
      <c r="AD17" s="6">
        <v>0</v>
      </c>
      <c r="AE17" t="str">
        <f t="shared" si="4"/>
        <v>🔴</v>
      </c>
      <c r="AF17" t="s">
        <v>733</v>
      </c>
      <c r="AG17">
        <v>45</v>
      </c>
      <c r="AH17">
        <v>0</v>
      </c>
      <c r="AI17" s="6">
        <v>0</v>
      </c>
      <c r="AJ17" t="str">
        <f t="shared" si="5"/>
        <v>🔴</v>
      </c>
      <c r="AK17" t="s">
        <v>733</v>
      </c>
      <c r="AL17">
        <v>55</v>
      </c>
      <c r="AM17">
        <v>0</v>
      </c>
      <c r="AN17" s="6">
        <v>0</v>
      </c>
      <c r="AO17" t="str">
        <f t="shared" si="6"/>
        <v>🔴</v>
      </c>
      <c r="AP17" t="s">
        <v>733</v>
      </c>
      <c r="AQ17">
        <v>65</v>
      </c>
      <c r="AR17">
        <v>0</v>
      </c>
      <c r="AS17" s="6">
        <v>0</v>
      </c>
      <c r="AT17" t="str">
        <f t="shared" si="7"/>
        <v>🔴</v>
      </c>
      <c r="AU17" t="s">
        <v>733</v>
      </c>
      <c r="AV17">
        <v>75</v>
      </c>
      <c r="AW17">
        <v>0</v>
      </c>
      <c r="AX17" s="6">
        <v>0</v>
      </c>
      <c r="AY17" t="str">
        <f t="shared" si="8"/>
        <v>🔴</v>
      </c>
      <c r="AZ17" t="s">
        <v>733</v>
      </c>
      <c r="BA17">
        <v>85</v>
      </c>
      <c r="BB17">
        <v>0</v>
      </c>
      <c r="BC17" s="6">
        <v>0</v>
      </c>
      <c r="BD17" t="str">
        <f t="shared" si="9"/>
        <v>🔴</v>
      </c>
      <c r="BE17" t="s">
        <v>733</v>
      </c>
      <c r="BF17">
        <v>92</v>
      </c>
      <c r="BG17">
        <v>0</v>
      </c>
      <c r="BH17" s="6">
        <v>0</v>
      </c>
      <c r="BI17" t="str">
        <f t="shared" si="10"/>
        <v>🔴</v>
      </c>
      <c r="BJ17" t="s">
        <v>733</v>
      </c>
      <c r="BK17">
        <v>100</v>
      </c>
      <c r="BL17">
        <v>0</v>
      </c>
      <c r="BM17" s="6">
        <v>0</v>
      </c>
      <c r="BN17" t="str">
        <f t="shared" si="11"/>
        <v>🔴</v>
      </c>
      <c r="BO17" t="s">
        <v>733</v>
      </c>
      <c r="BP17" s="10">
        <f t="shared" si="12"/>
        <v>0</v>
      </c>
      <c r="BQ17" t="str">
        <f t="shared" si="13"/>
        <v>🔴 Ruptura Sistémica</v>
      </c>
      <c r="BR17" t="str">
        <f t="shared" si="14"/>
        <v>⚠️ Revisar — riesgo incumplimiento</v>
      </c>
      <c r="BS17" t="str">
        <f>IF(IFERROR(SUM(J17,O17,T17,Y17,AD17,AI17,AN17,AS17,AX17,BC17,BH17,BM17),0)/F17&lt;H01_PARÁMETROS!$B$46,"🚨 ELEGIBLE COOPERACIÓN EXTERNA","✅ Financiamiento suficiente")</f>
        <v>🚨 ELEGIBLE COOPERACIÓN EXTERNA</v>
      </c>
      <c r="BT17" t="s">
        <v>734</v>
      </c>
      <c r="BV17" t="s">
        <v>735</v>
      </c>
    </row>
    <row r="18" spans="1:74" x14ac:dyDescent="0.3">
      <c r="A18" s="50" t="str">
        <f>H04_S2_PLANIFICACIÓN_PDOT!A18</f>
        <v>FA-I-X-01</v>
      </c>
      <c r="B18" s="39" t="str">
        <f>H04_S2_PLANIFICACIÓN_PDOT!B18</f>
        <v>Gestión del riesgo: reducir 10% infraestructura susceptible (3,655→2,398 unidades); alerta temprana climática</v>
      </c>
      <c r="C18" s="39" t="str">
        <f>H04_S2_PLANIFICACIÓN_PDOT!R18</f>
        <v>Dirección Ambiental</v>
      </c>
      <c r="D18" s="39">
        <f>H04_S2_PLANIFICACIÓN_PDOT!N18</f>
        <v>2398.0500000000002</v>
      </c>
      <c r="E18" s="39" t="str">
        <f>H04_S2_PLANIFICACIÓN_PDOT!O18</f>
        <v>Unidades infraestructura susceptible (meta reducción)</v>
      </c>
      <c r="F18" s="56">
        <f>H04_S2_PLANIFICACIÓN_PDOT!G18</f>
        <v>237500</v>
      </c>
      <c r="G18" s="77">
        <f>H04_S2_PLANIFICACIÓN_PDOT!H18</f>
        <v>5.8557669614817268E-3</v>
      </c>
      <c r="H18" s="39">
        <v>5</v>
      </c>
      <c r="I18" s="39">
        <v>0</v>
      </c>
      <c r="J18" s="56">
        <v>0</v>
      </c>
      <c r="K18" s="39" t="str">
        <f t="shared" si="0"/>
        <v>🔴</v>
      </c>
      <c r="L18" s="39" t="s">
        <v>733</v>
      </c>
      <c r="M18" s="39">
        <v>10</v>
      </c>
      <c r="N18" s="39">
        <v>0</v>
      </c>
      <c r="O18" s="56">
        <v>0</v>
      </c>
      <c r="P18" s="39" t="str">
        <f t="shared" si="1"/>
        <v>🔴</v>
      </c>
      <c r="Q18" s="39" t="s">
        <v>733</v>
      </c>
      <c r="R18" s="39">
        <v>15</v>
      </c>
      <c r="S18" s="39">
        <v>0</v>
      </c>
      <c r="T18" s="56">
        <v>0</v>
      </c>
      <c r="U18" s="39" t="str">
        <f t="shared" si="2"/>
        <v>🔴</v>
      </c>
      <c r="V18" s="39" t="s">
        <v>733</v>
      </c>
      <c r="W18" s="39">
        <v>25</v>
      </c>
      <c r="X18" s="39">
        <v>0</v>
      </c>
      <c r="Y18" s="56">
        <v>0</v>
      </c>
      <c r="Z18" s="40" t="str">
        <f t="shared" si="3"/>
        <v>🔴</v>
      </c>
      <c r="AA18" t="s">
        <v>733</v>
      </c>
      <c r="AB18">
        <v>35</v>
      </c>
      <c r="AC18">
        <v>0</v>
      </c>
      <c r="AD18" s="6">
        <v>0</v>
      </c>
      <c r="AE18" t="str">
        <f t="shared" si="4"/>
        <v>🔴</v>
      </c>
      <c r="AF18" t="s">
        <v>733</v>
      </c>
      <c r="AG18">
        <v>45</v>
      </c>
      <c r="AH18">
        <v>0</v>
      </c>
      <c r="AI18" s="6">
        <v>0</v>
      </c>
      <c r="AJ18" t="str">
        <f t="shared" si="5"/>
        <v>🔴</v>
      </c>
      <c r="AK18" t="s">
        <v>733</v>
      </c>
      <c r="AL18">
        <v>55</v>
      </c>
      <c r="AM18">
        <v>0</v>
      </c>
      <c r="AN18" s="6">
        <v>0</v>
      </c>
      <c r="AO18" t="str">
        <f t="shared" si="6"/>
        <v>🔴</v>
      </c>
      <c r="AP18" t="s">
        <v>733</v>
      </c>
      <c r="AQ18">
        <v>65</v>
      </c>
      <c r="AR18">
        <v>0</v>
      </c>
      <c r="AS18" s="6">
        <v>0</v>
      </c>
      <c r="AT18" t="str">
        <f t="shared" si="7"/>
        <v>🔴</v>
      </c>
      <c r="AU18" t="s">
        <v>733</v>
      </c>
      <c r="AV18">
        <v>75</v>
      </c>
      <c r="AW18">
        <v>0</v>
      </c>
      <c r="AX18" s="6">
        <v>0</v>
      </c>
      <c r="AY18" t="str">
        <f t="shared" si="8"/>
        <v>🔴</v>
      </c>
      <c r="AZ18" t="s">
        <v>733</v>
      </c>
      <c r="BA18">
        <v>85</v>
      </c>
      <c r="BB18">
        <v>0</v>
      </c>
      <c r="BC18" s="6">
        <v>0</v>
      </c>
      <c r="BD18" t="str">
        <f t="shared" si="9"/>
        <v>🔴</v>
      </c>
      <c r="BE18" t="s">
        <v>733</v>
      </c>
      <c r="BF18">
        <v>92</v>
      </c>
      <c r="BG18">
        <v>0</v>
      </c>
      <c r="BH18" s="6">
        <v>0</v>
      </c>
      <c r="BI18" t="str">
        <f t="shared" si="10"/>
        <v>🔴</v>
      </c>
      <c r="BJ18" t="s">
        <v>733</v>
      </c>
      <c r="BK18">
        <v>100</v>
      </c>
      <c r="BL18">
        <v>0</v>
      </c>
      <c r="BM18" s="6">
        <v>0</v>
      </c>
      <c r="BN18" t="str">
        <f t="shared" si="11"/>
        <v>🔴</v>
      </c>
      <c r="BO18" t="s">
        <v>733</v>
      </c>
      <c r="BP18" s="10">
        <f t="shared" si="12"/>
        <v>0</v>
      </c>
      <c r="BQ18" t="str">
        <f t="shared" si="13"/>
        <v>🔴 Ruptura Sistémica</v>
      </c>
      <c r="BR18" t="str">
        <f t="shared" si="14"/>
        <v>⚠️ Revisar — riesgo incumplimiento</v>
      </c>
      <c r="BS18" t="str">
        <f>IF(IFERROR(SUM(J18,O18,T18,Y18,AD18,AI18,AN18,AS18,AX18,BC18,BH18,BM18),0)/F18&lt;H01_PARÁMETROS!$B$46,"🚨 ELEGIBLE COOPERACIÓN EXTERNA","✅ Financiamiento suficiente")</f>
        <v>🚨 ELEGIBLE COOPERACIÓN EXTERNA</v>
      </c>
      <c r="BT18" t="s">
        <v>734</v>
      </c>
      <c r="BV18" t="s">
        <v>735</v>
      </c>
    </row>
    <row r="19" spans="1:74" x14ac:dyDescent="0.3">
      <c r="A19" s="49" t="str">
        <f>H04_S2_PLANIFICACIÓN_PDOT!A19</f>
        <v>FA-C-X-01</v>
      </c>
      <c r="B19" s="36" t="str">
        <f>H04_S2_PLANIFICACIÓN_PDOT!B19</f>
        <v>Áreas verdes y parques: IVU 10.94→17.32 m²/hab; parques inter-barriales; recuperación manglar perfil costero</v>
      </c>
      <c r="C19" s="36" t="str">
        <f>H04_S2_PLANIFICACIÓN_PDOT!R19</f>
        <v>EP Aseo Montecristi</v>
      </c>
      <c r="D19" s="36">
        <f>H04_S2_PLANIFICACIÓN_PDOT!N19</f>
        <v>17.32</v>
      </c>
      <c r="E19" s="36" t="str">
        <f>H04_S2_PLANIFICACIÓN_PDOT!O19</f>
        <v>m²/hab índice verde urbano</v>
      </c>
      <c r="F19" s="55">
        <f>H04_S2_PLANIFICACIÓN_PDOT!G19</f>
        <v>177500</v>
      </c>
      <c r="G19" s="76">
        <f>H04_S2_PLANIFICACIÓN_PDOT!H19</f>
        <v>4.3764153080547638E-3</v>
      </c>
      <c r="H19" s="36">
        <v>5</v>
      </c>
      <c r="I19" s="36">
        <v>0</v>
      </c>
      <c r="J19" s="55">
        <v>0</v>
      </c>
      <c r="K19" s="36" t="str">
        <f t="shared" si="0"/>
        <v>🔴</v>
      </c>
      <c r="L19" s="36" t="s">
        <v>733</v>
      </c>
      <c r="M19" s="36">
        <v>10</v>
      </c>
      <c r="N19" s="36">
        <v>0</v>
      </c>
      <c r="O19" s="55">
        <v>0</v>
      </c>
      <c r="P19" s="36" t="str">
        <f t="shared" si="1"/>
        <v>🔴</v>
      </c>
      <c r="Q19" s="36" t="s">
        <v>733</v>
      </c>
      <c r="R19" s="36">
        <v>15</v>
      </c>
      <c r="S19" s="36">
        <v>0</v>
      </c>
      <c r="T19" s="55">
        <v>0</v>
      </c>
      <c r="U19" s="36" t="str">
        <f t="shared" si="2"/>
        <v>🔴</v>
      </c>
      <c r="V19" s="36" t="s">
        <v>733</v>
      </c>
      <c r="W19" s="36">
        <v>25</v>
      </c>
      <c r="X19" s="36">
        <v>0</v>
      </c>
      <c r="Y19" s="55">
        <v>0</v>
      </c>
      <c r="Z19" s="38" t="str">
        <f t="shared" si="3"/>
        <v>🔴</v>
      </c>
      <c r="AA19" t="s">
        <v>733</v>
      </c>
      <c r="AB19">
        <v>35</v>
      </c>
      <c r="AC19">
        <v>0</v>
      </c>
      <c r="AD19" s="6">
        <v>0</v>
      </c>
      <c r="AE19" t="str">
        <f t="shared" si="4"/>
        <v>🔴</v>
      </c>
      <c r="AF19" t="s">
        <v>733</v>
      </c>
      <c r="AG19">
        <v>45</v>
      </c>
      <c r="AH19">
        <v>0</v>
      </c>
      <c r="AI19" s="6">
        <v>0</v>
      </c>
      <c r="AJ19" t="str">
        <f t="shared" si="5"/>
        <v>🔴</v>
      </c>
      <c r="AK19" t="s">
        <v>733</v>
      </c>
      <c r="AL19">
        <v>55</v>
      </c>
      <c r="AM19">
        <v>0</v>
      </c>
      <c r="AN19" s="6">
        <v>0</v>
      </c>
      <c r="AO19" t="str">
        <f t="shared" si="6"/>
        <v>🔴</v>
      </c>
      <c r="AP19" t="s">
        <v>733</v>
      </c>
      <c r="AQ19">
        <v>65</v>
      </c>
      <c r="AR19">
        <v>0</v>
      </c>
      <c r="AS19" s="6">
        <v>0</v>
      </c>
      <c r="AT19" t="str">
        <f t="shared" si="7"/>
        <v>🔴</v>
      </c>
      <c r="AU19" t="s">
        <v>733</v>
      </c>
      <c r="AV19">
        <v>75</v>
      </c>
      <c r="AW19">
        <v>0</v>
      </c>
      <c r="AX19" s="6">
        <v>0</v>
      </c>
      <c r="AY19" t="str">
        <f t="shared" si="8"/>
        <v>🔴</v>
      </c>
      <c r="AZ19" t="s">
        <v>733</v>
      </c>
      <c r="BA19">
        <v>85</v>
      </c>
      <c r="BB19">
        <v>0</v>
      </c>
      <c r="BC19" s="6">
        <v>0</v>
      </c>
      <c r="BD19" t="str">
        <f t="shared" si="9"/>
        <v>🔴</v>
      </c>
      <c r="BE19" t="s">
        <v>733</v>
      </c>
      <c r="BF19">
        <v>92</v>
      </c>
      <c r="BG19">
        <v>0</v>
      </c>
      <c r="BH19" s="6">
        <v>0</v>
      </c>
      <c r="BI19" t="str">
        <f t="shared" si="10"/>
        <v>🔴</v>
      </c>
      <c r="BJ19" t="s">
        <v>733</v>
      </c>
      <c r="BK19">
        <v>100</v>
      </c>
      <c r="BL19">
        <v>0</v>
      </c>
      <c r="BM19" s="6">
        <v>0</v>
      </c>
      <c r="BN19" t="str">
        <f t="shared" si="11"/>
        <v>🔴</v>
      </c>
      <c r="BO19" t="s">
        <v>733</v>
      </c>
      <c r="BP19" s="10">
        <f t="shared" si="12"/>
        <v>0</v>
      </c>
      <c r="BQ19" t="str">
        <f t="shared" si="13"/>
        <v>🔴 Ruptura Sistémica</v>
      </c>
      <c r="BR19" t="str">
        <f t="shared" si="14"/>
        <v>⚠️ Revisar — riesgo incumplimiento</v>
      </c>
      <c r="BS19" t="str">
        <f>IF(IFERROR(SUM(J19,O19,T19,Y19,AD19,AI19,AN19,AS19,AX19,BC19,BH19,BM19),0)/F19&lt;H01_PARÁMETROS!$B$46,"🚨 ELEGIBLE COOPERACIÓN EXTERNA","✅ Financiamiento suficiente")</f>
        <v>🚨 ELEGIBLE COOPERACIÓN EXTERNA</v>
      </c>
      <c r="BT19" t="s">
        <v>734</v>
      </c>
      <c r="BV19" t="s">
        <v>735</v>
      </c>
    </row>
    <row r="20" spans="1:74" x14ac:dyDescent="0.3">
      <c r="A20" s="50" t="str">
        <f>H04_S2_PLANIFICACIÓN_PDOT!A20</f>
        <v>FA-I-X-02</v>
      </c>
      <c r="B20" s="39" t="str">
        <f>H04_S2_PLANIFICACIÓN_PDOT!B20</f>
        <v>Índice equipamiento urbano CUP 9.96→10.73 m²/hab; recolección desechos 91.95%→97.95%; 77.83→81.07 km/día barrido</v>
      </c>
      <c r="C20" s="39" t="str">
        <f>H04_S2_PLANIFICACIÓN_PDOT!R20</f>
        <v>Dirección Ambiental</v>
      </c>
      <c r="D20" s="39">
        <f>H04_S2_PLANIFICACIÓN_PDOT!N20</f>
        <v>97.95</v>
      </c>
      <c r="E20" s="39" t="str">
        <f>H04_S2_PLANIFICACIÓN_PDOT!O20</f>
        <v>% cobertura recolección desechos</v>
      </c>
      <c r="F20" s="56">
        <f>H04_S2_PLANIFICACIÓN_PDOT!G20</f>
        <v>1250491</v>
      </c>
      <c r="G20" s="77">
        <f>H04_S2_PLANIFICACIÓN_PDOT!H20</f>
        <v>3.0831932140758928E-2</v>
      </c>
      <c r="H20" s="39">
        <v>5</v>
      </c>
      <c r="I20" s="39">
        <v>0</v>
      </c>
      <c r="J20" s="56">
        <v>0</v>
      </c>
      <c r="K20" s="39" t="str">
        <f t="shared" si="0"/>
        <v>🔴</v>
      </c>
      <c r="L20" s="39" t="s">
        <v>733</v>
      </c>
      <c r="M20" s="39">
        <v>10</v>
      </c>
      <c r="N20" s="39">
        <v>0</v>
      </c>
      <c r="O20" s="56">
        <v>0</v>
      </c>
      <c r="P20" s="39" t="str">
        <f t="shared" si="1"/>
        <v>🔴</v>
      </c>
      <c r="Q20" s="39" t="s">
        <v>733</v>
      </c>
      <c r="R20" s="39">
        <v>15</v>
      </c>
      <c r="S20" s="39">
        <v>0</v>
      </c>
      <c r="T20" s="56">
        <v>0</v>
      </c>
      <c r="U20" s="39" t="str">
        <f t="shared" si="2"/>
        <v>🔴</v>
      </c>
      <c r="V20" s="39" t="s">
        <v>733</v>
      </c>
      <c r="W20" s="39">
        <v>25</v>
      </c>
      <c r="X20" s="39">
        <v>0</v>
      </c>
      <c r="Y20" s="56">
        <v>0</v>
      </c>
      <c r="Z20" s="40" t="str">
        <f t="shared" si="3"/>
        <v>🔴</v>
      </c>
      <c r="AA20" t="s">
        <v>733</v>
      </c>
      <c r="AB20">
        <v>35</v>
      </c>
      <c r="AC20">
        <v>0</v>
      </c>
      <c r="AD20" s="6">
        <v>0</v>
      </c>
      <c r="AE20" t="str">
        <f t="shared" si="4"/>
        <v>🔴</v>
      </c>
      <c r="AF20" t="s">
        <v>733</v>
      </c>
      <c r="AG20">
        <v>45</v>
      </c>
      <c r="AH20">
        <v>0</v>
      </c>
      <c r="AI20" s="6">
        <v>0</v>
      </c>
      <c r="AJ20" t="str">
        <f t="shared" si="5"/>
        <v>🔴</v>
      </c>
      <c r="AK20" t="s">
        <v>733</v>
      </c>
      <c r="AL20">
        <v>55</v>
      </c>
      <c r="AM20">
        <v>0</v>
      </c>
      <c r="AN20" s="6">
        <v>0</v>
      </c>
      <c r="AO20" t="str">
        <f t="shared" si="6"/>
        <v>🔴</v>
      </c>
      <c r="AP20" t="s">
        <v>733</v>
      </c>
      <c r="AQ20">
        <v>65</v>
      </c>
      <c r="AR20">
        <v>0</v>
      </c>
      <c r="AS20" s="6">
        <v>0</v>
      </c>
      <c r="AT20" t="str">
        <f t="shared" si="7"/>
        <v>🔴</v>
      </c>
      <c r="AU20" t="s">
        <v>733</v>
      </c>
      <c r="AV20">
        <v>75</v>
      </c>
      <c r="AW20">
        <v>0</v>
      </c>
      <c r="AX20" s="6">
        <v>0</v>
      </c>
      <c r="AY20" t="str">
        <f t="shared" si="8"/>
        <v>🔴</v>
      </c>
      <c r="AZ20" t="s">
        <v>733</v>
      </c>
      <c r="BA20">
        <v>85</v>
      </c>
      <c r="BB20">
        <v>0</v>
      </c>
      <c r="BC20" s="6">
        <v>0</v>
      </c>
      <c r="BD20" t="str">
        <f t="shared" si="9"/>
        <v>🔴</v>
      </c>
      <c r="BE20" t="s">
        <v>733</v>
      </c>
      <c r="BF20">
        <v>92</v>
      </c>
      <c r="BG20">
        <v>0</v>
      </c>
      <c r="BH20" s="6">
        <v>0</v>
      </c>
      <c r="BI20" t="str">
        <f t="shared" si="10"/>
        <v>🔴</v>
      </c>
      <c r="BJ20" t="s">
        <v>733</v>
      </c>
      <c r="BK20">
        <v>100</v>
      </c>
      <c r="BL20">
        <v>0</v>
      </c>
      <c r="BM20" s="6">
        <v>0</v>
      </c>
      <c r="BN20" t="str">
        <f t="shared" si="11"/>
        <v>🔴</v>
      </c>
      <c r="BO20" t="s">
        <v>733</v>
      </c>
      <c r="BP20" s="10">
        <f t="shared" si="12"/>
        <v>0</v>
      </c>
      <c r="BQ20" t="str">
        <f t="shared" si="13"/>
        <v>🔴 Ruptura Sistémica</v>
      </c>
      <c r="BR20" t="str">
        <f t="shared" si="14"/>
        <v>⚠️ Revisar — riesgo incumplimiento</v>
      </c>
      <c r="BS20" t="str">
        <f>IF(IFERROR(SUM(J20,O20,T20,Y20,AD20,AI20,AN20,AS20,AX20,BC20,BH20,BM20),0)/F20&lt;H01_PARÁMETROS!$B$46,"🚨 ELEGIBLE COOPERACIÓN EXTERNA","✅ Financiamiento suficiente")</f>
        <v>🚨 ELEGIBLE COOPERACIÓN EXTERNA</v>
      </c>
      <c r="BT20" t="s">
        <v>734</v>
      </c>
      <c r="BV20" t="s">
        <v>735</v>
      </c>
    </row>
    <row r="21" spans="1:74" x14ac:dyDescent="0.3">
      <c r="A21" s="49" t="str">
        <f>H04_S2_PLANIFICACIÓN_PDOT!A21</f>
        <v>FA-L-N-01</v>
      </c>
      <c r="B21" s="36" t="str">
        <f>H04_S2_PLANIFICACIÓN_PDOT!B21</f>
        <v>Inventario patrimonial 100% al 2026; 8,000→10,000 participantes eventos culturales; Museo del Sombrero</v>
      </c>
      <c r="C21" s="36" t="str">
        <f>H04_S2_PLANIFICACIÓN_PDOT!R21</f>
        <v>Dirección Ambiental</v>
      </c>
      <c r="D21" s="36">
        <f>H04_S2_PLANIFICACIÓN_PDOT!N21</f>
        <v>10000</v>
      </c>
      <c r="E21" s="36" t="str">
        <f>H04_S2_PLANIFICACIÓN_PDOT!O21</f>
        <v>Participantes anuales en eventos culturales</v>
      </c>
      <c r="F21" s="55">
        <f>H04_S2_PLANIFICACIÓN_PDOT!G21</f>
        <v>124612</v>
      </c>
      <c r="G21" s="76">
        <f>H04_S2_PLANIFICACIÓN_PDOT!H21</f>
        <v>3.0724161372806774E-3</v>
      </c>
      <c r="H21" s="36">
        <v>5</v>
      </c>
      <c r="I21" s="36">
        <v>0</v>
      </c>
      <c r="J21" s="55">
        <v>0</v>
      </c>
      <c r="K21" s="36" t="str">
        <f t="shared" si="0"/>
        <v>🔴</v>
      </c>
      <c r="L21" s="36" t="s">
        <v>733</v>
      </c>
      <c r="M21" s="36">
        <v>10</v>
      </c>
      <c r="N21" s="36">
        <v>0</v>
      </c>
      <c r="O21" s="55">
        <v>0</v>
      </c>
      <c r="P21" s="36" t="str">
        <f t="shared" si="1"/>
        <v>🔴</v>
      </c>
      <c r="Q21" s="36" t="s">
        <v>733</v>
      </c>
      <c r="R21" s="36">
        <v>15</v>
      </c>
      <c r="S21" s="36">
        <v>0</v>
      </c>
      <c r="T21" s="55">
        <v>0</v>
      </c>
      <c r="U21" s="36" t="str">
        <f t="shared" si="2"/>
        <v>🔴</v>
      </c>
      <c r="V21" s="36" t="s">
        <v>733</v>
      </c>
      <c r="W21" s="36">
        <v>25</v>
      </c>
      <c r="X21" s="36">
        <v>0</v>
      </c>
      <c r="Y21" s="55">
        <v>0</v>
      </c>
      <c r="Z21" s="38" t="str">
        <f t="shared" si="3"/>
        <v>🔴</v>
      </c>
      <c r="AA21" t="s">
        <v>733</v>
      </c>
      <c r="AB21">
        <v>35</v>
      </c>
      <c r="AC21">
        <v>0</v>
      </c>
      <c r="AD21" s="6">
        <v>0</v>
      </c>
      <c r="AE21" t="str">
        <f t="shared" si="4"/>
        <v>🔴</v>
      </c>
      <c r="AF21" t="s">
        <v>733</v>
      </c>
      <c r="AG21">
        <v>45</v>
      </c>
      <c r="AH21">
        <v>0</v>
      </c>
      <c r="AI21" s="6">
        <v>0</v>
      </c>
      <c r="AJ21" t="str">
        <f t="shared" si="5"/>
        <v>🔴</v>
      </c>
      <c r="AK21" t="s">
        <v>733</v>
      </c>
      <c r="AL21">
        <v>55</v>
      </c>
      <c r="AM21">
        <v>0</v>
      </c>
      <c r="AN21" s="6">
        <v>0</v>
      </c>
      <c r="AO21" t="str">
        <f t="shared" si="6"/>
        <v>🔴</v>
      </c>
      <c r="AP21" t="s">
        <v>733</v>
      </c>
      <c r="AQ21">
        <v>65</v>
      </c>
      <c r="AR21">
        <v>0</v>
      </c>
      <c r="AS21" s="6">
        <v>0</v>
      </c>
      <c r="AT21" t="str">
        <f t="shared" si="7"/>
        <v>🔴</v>
      </c>
      <c r="AU21" t="s">
        <v>733</v>
      </c>
      <c r="AV21">
        <v>75</v>
      </c>
      <c r="AW21">
        <v>0</v>
      </c>
      <c r="AX21" s="6">
        <v>0</v>
      </c>
      <c r="AY21" t="str">
        <f t="shared" si="8"/>
        <v>🔴</v>
      </c>
      <c r="AZ21" t="s">
        <v>733</v>
      </c>
      <c r="BA21">
        <v>85</v>
      </c>
      <c r="BB21">
        <v>0</v>
      </c>
      <c r="BC21" s="6">
        <v>0</v>
      </c>
      <c r="BD21" t="str">
        <f t="shared" si="9"/>
        <v>🔴</v>
      </c>
      <c r="BE21" t="s">
        <v>733</v>
      </c>
      <c r="BF21">
        <v>92</v>
      </c>
      <c r="BG21">
        <v>0</v>
      </c>
      <c r="BH21" s="6">
        <v>0</v>
      </c>
      <c r="BI21" t="str">
        <f t="shared" si="10"/>
        <v>🔴</v>
      </c>
      <c r="BJ21" t="s">
        <v>733</v>
      </c>
      <c r="BK21">
        <v>100</v>
      </c>
      <c r="BL21">
        <v>0</v>
      </c>
      <c r="BM21" s="6">
        <v>0</v>
      </c>
      <c r="BN21" t="str">
        <f t="shared" si="11"/>
        <v>🔴</v>
      </c>
      <c r="BO21" t="s">
        <v>733</v>
      </c>
      <c r="BP21" s="10">
        <f t="shared" si="12"/>
        <v>0</v>
      </c>
      <c r="BQ21" t="str">
        <f t="shared" si="13"/>
        <v>🔴 Ruptura Sistémica</v>
      </c>
      <c r="BR21" t="str">
        <f t="shared" si="14"/>
        <v>⚠️ Revisar — riesgo incumplimiento</v>
      </c>
      <c r="BS21" t="str">
        <f>IF(IFERROR(SUM(J21,O21,T21,Y21,AD21,AI21,AN21,AS21,AX21,BC21,BH21,BM21),0)/F21&lt;H01_PARÁMETROS!$B$46,"🚨 ELEGIBLE COOPERACIÓN EXTERNA","✅ Financiamiento suficiente")</f>
        <v>🚨 ELEGIBLE COOPERACIÓN EXTERNA</v>
      </c>
      <c r="BT21" t="s">
        <v>734</v>
      </c>
      <c r="BV21" t="s">
        <v>735</v>
      </c>
    </row>
    <row r="22" spans="1:74" x14ac:dyDescent="0.3">
      <c r="A22" s="50" t="str">
        <f>H04_S2_PLANIFICACIÓN_PDOT!A22</f>
        <v>PI-I-G-02</v>
      </c>
      <c r="B22" s="39" t="str">
        <f>H04_S2_PLANIFICACIÓN_PDOT!B22</f>
        <v>Cumplimiento PDOT/PUGS 0%→80%; SIL 19.52%→80%; 37 trámites digitales implementados</v>
      </c>
      <c r="C22" s="39" t="str">
        <f>H04_S2_PLANIFICACIÓN_PDOT!R22</f>
        <v>Dirección Planificación</v>
      </c>
      <c r="D22" s="39">
        <f>H04_S2_PLANIFICACIÓN_PDOT!N22</f>
        <v>80</v>
      </c>
      <c r="E22" s="39" t="str">
        <f>H04_S2_PLANIFICACIÓN_PDOT!O22</f>
        <v>% cumplimiento PDOT/PUGS</v>
      </c>
      <c r="F22" s="56">
        <f>H04_S2_PLANIFICACIÓN_PDOT!G22</f>
        <v>118243</v>
      </c>
      <c r="G22" s="77">
        <f>H04_S2_PLANIFICACIÓN_PDOT!H22</f>
        <v>2.9153829592694054E-3</v>
      </c>
      <c r="H22" s="39">
        <v>5</v>
      </c>
      <c r="I22" s="39">
        <v>0</v>
      </c>
      <c r="J22" s="56">
        <v>0</v>
      </c>
      <c r="K22" s="39" t="str">
        <f t="shared" si="0"/>
        <v>🔴</v>
      </c>
      <c r="L22" s="39" t="s">
        <v>733</v>
      </c>
      <c r="M22" s="39">
        <v>10</v>
      </c>
      <c r="N22" s="39">
        <v>0</v>
      </c>
      <c r="O22" s="56">
        <v>0</v>
      </c>
      <c r="P22" s="39" t="str">
        <f t="shared" si="1"/>
        <v>🔴</v>
      </c>
      <c r="Q22" s="39" t="s">
        <v>733</v>
      </c>
      <c r="R22" s="39">
        <v>15</v>
      </c>
      <c r="S22" s="39">
        <v>0</v>
      </c>
      <c r="T22" s="56">
        <v>0</v>
      </c>
      <c r="U22" s="39" t="str">
        <f t="shared" si="2"/>
        <v>🔴</v>
      </c>
      <c r="V22" s="39" t="s">
        <v>733</v>
      </c>
      <c r="W22" s="39">
        <v>25</v>
      </c>
      <c r="X22" s="39">
        <v>0</v>
      </c>
      <c r="Y22" s="56">
        <v>0</v>
      </c>
      <c r="Z22" s="40" t="str">
        <f t="shared" si="3"/>
        <v>🔴</v>
      </c>
      <c r="AA22" t="s">
        <v>733</v>
      </c>
      <c r="AB22">
        <v>35</v>
      </c>
      <c r="AC22">
        <v>0</v>
      </c>
      <c r="AD22" s="6">
        <v>0</v>
      </c>
      <c r="AE22" t="str">
        <f t="shared" si="4"/>
        <v>🔴</v>
      </c>
      <c r="AF22" t="s">
        <v>733</v>
      </c>
      <c r="AG22">
        <v>45</v>
      </c>
      <c r="AH22">
        <v>0</v>
      </c>
      <c r="AI22" s="6">
        <v>0</v>
      </c>
      <c r="AJ22" t="str">
        <f t="shared" si="5"/>
        <v>🔴</v>
      </c>
      <c r="AK22" t="s">
        <v>733</v>
      </c>
      <c r="AL22">
        <v>55</v>
      </c>
      <c r="AM22">
        <v>0</v>
      </c>
      <c r="AN22" s="6">
        <v>0</v>
      </c>
      <c r="AO22" t="str">
        <f t="shared" si="6"/>
        <v>🔴</v>
      </c>
      <c r="AP22" t="s">
        <v>733</v>
      </c>
      <c r="AQ22">
        <v>65</v>
      </c>
      <c r="AR22">
        <v>0</v>
      </c>
      <c r="AS22" s="6">
        <v>0</v>
      </c>
      <c r="AT22" t="str">
        <f t="shared" si="7"/>
        <v>🔴</v>
      </c>
      <c r="AU22" t="s">
        <v>733</v>
      </c>
      <c r="AV22">
        <v>75</v>
      </c>
      <c r="AW22">
        <v>0</v>
      </c>
      <c r="AX22" s="6">
        <v>0</v>
      </c>
      <c r="AY22" t="str">
        <f t="shared" si="8"/>
        <v>🔴</v>
      </c>
      <c r="AZ22" t="s">
        <v>733</v>
      </c>
      <c r="BA22">
        <v>85</v>
      </c>
      <c r="BB22">
        <v>0</v>
      </c>
      <c r="BC22" s="6">
        <v>0</v>
      </c>
      <c r="BD22" t="str">
        <f t="shared" si="9"/>
        <v>🔴</v>
      </c>
      <c r="BE22" t="s">
        <v>733</v>
      </c>
      <c r="BF22">
        <v>92</v>
      </c>
      <c r="BG22">
        <v>0</v>
      </c>
      <c r="BH22" s="6">
        <v>0</v>
      </c>
      <c r="BI22" t="str">
        <f t="shared" si="10"/>
        <v>🔴</v>
      </c>
      <c r="BJ22" t="s">
        <v>733</v>
      </c>
      <c r="BK22">
        <v>100</v>
      </c>
      <c r="BL22">
        <v>0</v>
      </c>
      <c r="BM22" s="6">
        <v>0</v>
      </c>
      <c r="BN22" t="str">
        <f t="shared" si="11"/>
        <v>🔴</v>
      </c>
      <c r="BO22" t="s">
        <v>733</v>
      </c>
      <c r="BP22" s="10">
        <f t="shared" si="12"/>
        <v>0</v>
      </c>
      <c r="BQ22" t="str">
        <f t="shared" si="13"/>
        <v>🔴 Ruptura Sistémica</v>
      </c>
      <c r="BR22" t="str">
        <f t="shared" si="14"/>
        <v>⚠️ Revisar — riesgo incumplimiento</v>
      </c>
      <c r="BS22" t="str">
        <f>IF(IFERROR(SUM(J22,O22,T22,Y22,AD22,AI22,AN22,AS22,AX22,BC22,BH22,BM22),0)/F22&lt;H01_PARÁMETROS!$B$46,"🚨 ELEGIBLE COOPERACIÓN EXTERNA","✅ Financiamiento suficiente")</f>
        <v>🚨 ELEGIBLE COOPERACIÓN EXTERNA</v>
      </c>
      <c r="BT22" t="s">
        <v>734</v>
      </c>
      <c r="BV22" t="s">
        <v>735</v>
      </c>
    </row>
    <row r="23" spans="1:74" x14ac:dyDescent="0.3">
      <c r="A23" s="49" t="str">
        <f>H04_S2_PLANIFICACIÓN_PDOT!A23</f>
        <v>PI-L-G-01</v>
      </c>
      <c r="B23" s="36" t="str">
        <f>H04_S2_PLANIFICACIÓN_PDOT!B23</f>
        <v>Señalización vial 0→10,000 m²; 0→8 semáforos; revisiones técnicas 4,000→20,000; educación vial 40 instituciones</v>
      </c>
      <c r="C23" s="36" t="str">
        <f>H04_S2_PLANIFICACIÓN_PDOT!R23</f>
        <v>Dirección Planificación</v>
      </c>
      <c r="D23" s="36">
        <f>H04_S2_PLANIFICACIÓN_PDOT!N23</f>
        <v>20000</v>
      </c>
      <c r="E23" s="36" t="str">
        <f>H04_S2_PLANIFICACIÓN_PDOT!O23</f>
        <v>Revisiones técnicas vehiculares anuales</v>
      </c>
      <c r="F23" s="55">
        <f>H04_S2_PLANIFICACIÓN_PDOT!G23</f>
        <v>67725</v>
      </c>
      <c r="G23" s="76">
        <f>H04_S2_PLANIFICACIÓN_PDOT!H23</f>
        <v>1.6698181788056838E-3</v>
      </c>
      <c r="H23" s="36">
        <v>5</v>
      </c>
      <c r="I23" s="36">
        <v>0</v>
      </c>
      <c r="J23" s="55">
        <v>0</v>
      </c>
      <c r="K23" s="36" t="str">
        <f t="shared" si="0"/>
        <v>🔴</v>
      </c>
      <c r="L23" s="36" t="s">
        <v>733</v>
      </c>
      <c r="M23" s="36">
        <v>10</v>
      </c>
      <c r="N23" s="36">
        <v>0</v>
      </c>
      <c r="O23" s="55">
        <v>0</v>
      </c>
      <c r="P23" s="36" t="str">
        <f t="shared" si="1"/>
        <v>🔴</v>
      </c>
      <c r="Q23" s="36" t="s">
        <v>733</v>
      </c>
      <c r="R23" s="36">
        <v>15</v>
      </c>
      <c r="S23" s="36">
        <v>0</v>
      </c>
      <c r="T23" s="55">
        <v>0</v>
      </c>
      <c r="U23" s="36" t="str">
        <f t="shared" si="2"/>
        <v>🔴</v>
      </c>
      <c r="V23" s="36" t="s">
        <v>733</v>
      </c>
      <c r="W23" s="36">
        <v>25</v>
      </c>
      <c r="X23" s="36">
        <v>0</v>
      </c>
      <c r="Y23" s="55">
        <v>0</v>
      </c>
      <c r="Z23" s="38" t="str">
        <f t="shared" si="3"/>
        <v>🔴</v>
      </c>
      <c r="AA23" t="s">
        <v>733</v>
      </c>
      <c r="AB23">
        <v>35</v>
      </c>
      <c r="AC23">
        <v>0</v>
      </c>
      <c r="AD23" s="6">
        <v>0</v>
      </c>
      <c r="AE23" t="str">
        <f t="shared" si="4"/>
        <v>🔴</v>
      </c>
      <c r="AF23" t="s">
        <v>733</v>
      </c>
      <c r="AG23">
        <v>45</v>
      </c>
      <c r="AH23">
        <v>0</v>
      </c>
      <c r="AI23" s="6">
        <v>0</v>
      </c>
      <c r="AJ23" t="str">
        <f t="shared" si="5"/>
        <v>🔴</v>
      </c>
      <c r="AK23" t="s">
        <v>733</v>
      </c>
      <c r="AL23">
        <v>55</v>
      </c>
      <c r="AM23">
        <v>0</v>
      </c>
      <c r="AN23" s="6">
        <v>0</v>
      </c>
      <c r="AO23" t="str">
        <f t="shared" si="6"/>
        <v>🔴</v>
      </c>
      <c r="AP23" t="s">
        <v>733</v>
      </c>
      <c r="AQ23">
        <v>65</v>
      </c>
      <c r="AR23">
        <v>0</v>
      </c>
      <c r="AS23" s="6">
        <v>0</v>
      </c>
      <c r="AT23" t="str">
        <f t="shared" si="7"/>
        <v>🔴</v>
      </c>
      <c r="AU23" t="s">
        <v>733</v>
      </c>
      <c r="AV23">
        <v>75</v>
      </c>
      <c r="AW23">
        <v>0</v>
      </c>
      <c r="AX23" s="6">
        <v>0</v>
      </c>
      <c r="AY23" t="str">
        <f t="shared" si="8"/>
        <v>🔴</v>
      </c>
      <c r="AZ23" t="s">
        <v>733</v>
      </c>
      <c r="BA23">
        <v>85</v>
      </c>
      <c r="BB23">
        <v>0</v>
      </c>
      <c r="BC23" s="6">
        <v>0</v>
      </c>
      <c r="BD23" t="str">
        <f t="shared" si="9"/>
        <v>🔴</v>
      </c>
      <c r="BE23" t="s">
        <v>733</v>
      </c>
      <c r="BF23">
        <v>92</v>
      </c>
      <c r="BG23">
        <v>0</v>
      </c>
      <c r="BH23" s="6">
        <v>0</v>
      </c>
      <c r="BI23" t="str">
        <f t="shared" si="10"/>
        <v>🔴</v>
      </c>
      <c r="BJ23" t="s">
        <v>733</v>
      </c>
      <c r="BK23">
        <v>100</v>
      </c>
      <c r="BL23">
        <v>0</v>
      </c>
      <c r="BM23" s="6">
        <v>0</v>
      </c>
      <c r="BN23" t="str">
        <f t="shared" si="11"/>
        <v>🔴</v>
      </c>
      <c r="BO23" t="s">
        <v>733</v>
      </c>
      <c r="BP23" s="10">
        <f t="shared" si="12"/>
        <v>0</v>
      </c>
      <c r="BQ23" t="str">
        <f t="shared" si="13"/>
        <v>🔴 Ruptura Sistémica</v>
      </c>
      <c r="BR23" t="str">
        <f t="shared" si="14"/>
        <v>⚠️ Revisar — riesgo incumplimiento</v>
      </c>
      <c r="BS23" t="str">
        <f>IF(IFERROR(SUM(J23,O23,T23,Y23,AD23,AI23,AN23,AS23,AX23,BC23,BH23,BM23),0)/F23&lt;H01_PARÁMETROS!$B$46,"🚨 ELEGIBLE COOPERACIÓN EXTERNA","✅ Financiamiento suficiente")</f>
        <v>🚨 ELEGIBLE COOPERACIÓN EXTERNA</v>
      </c>
      <c r="BT23" t="s">
        <v>734</v>
      </c>
      <c r="BV23" t="s">
        <v>735</v>
      </c>
    </row>
    <row r="24" spans="1:74" x14ac:dyDescent="0.3">
      <c r="A24" s="50" t="str">
        <f>H04_S2_PLANIFICACIÓN_PDOT!A24</f>
        <v>EP-L-N-01</v>
      </c>
      <c r="B24" s="39" t="str">
        <f>H04_S2_PLANIFICACIÓN_PDOT!B24</f>
        <v>Vivienda de interés social: 50 VIS/VIP hasta 2027; reducción déficit habitacional cualitativo</v>
      </c>
      <c r="C24" s="39" t="str">
        <f>H04_S2_PLANIFICACIÓN_PDOT!R24</f>
        <v>Dirección Económica</v>
      </c>
      <c r="D24" s="39">
        <f>H04_S2_PLANIFICACIÓN_PDOT!N24</f>
        <v>50</v>
      </c>
      <c r="E24" s="39" t="str">
        <f>H04_S2_PLANIFICACIÓN_PDOT!O24</f>
        <v>Viviendas de interés social ofertadas</v>
      </c>
      <c r="F24" s="56">
        <f>H04_S2_PLANIFICACIÓN_PDOT!G24</f>
        <v>81000</v>
      </c>
      <c r="G24" s="77">
        <f>H04_S2_PLANIFICACIÓN_PDOT!H24</f>
        <v>1.9971247321263993E-3</v>
      </c>
      <c r="H24" s="39">
        <v>5</v>
      </c>
      <c r="I24" s="39">
        <v>0</v>
      </c>
      <c r="J24" s="56">
        <v>0</v>
      </c>
      <c r="K24" s="39" t="str">
        <f t="shared" si="0"/>
        <v>🔴</v>
      </c>
      <c r="L24" s="39" t="s">
        <v>733</v>
      </c>
      <c r="M24" s="39">
        <v>10</v>
      </c>
      <c r="N24" s="39">
        <v>0</v>
      </c>
      <c r="O24" s="56">
        <v>0</v>
      </c>
      <c r="P24" s="39" t="str">
        <f t="shared" si="1"/>
        <v>🔴</v>
      </c>
      <c r="Q24" s="39" t="s">
        <v>733</v>
      </c>
      <c r="R24" s="39">
        <v>15</v>
      </c>
      <c r="S24" s="39">
        <v>0</v>
      </c>
      <c r="T24" s="56">
        <v>0</v>
      </c>
      <c r="U24" s="39" t="str">
        <f t="shared" si="2"/>
        <v>🔴</v>
      </c>
      <c r="V24" s="39" t="s">
        <v>733</v>
      </c>
      <c r="W24" s="39">
        <v>25</v>
      </c>
      <c r="X24" s="39">
        <v>0</v>
      </c>
      <c r="Y24" s="56">
        <v>0</v>
      </c>
      <c r="Z24" s="40" t="str">
        <f t="shared" si="3"/>
        <v>🔴</v>
      </c>
      <c r="AA24" t="s">
        <v>733</v>
      </c>
      <c r="AB24">
        <v>35</v>
      </c>
      <c r="AC24">
        <v>0</v>
      </c>
      <c r="AD24" s="6">
        <v>0</v>
      </c>
      <c r="AE24" t="str">
        <f t="shared" si="4"/>
        <v>🔴</v>
      </c>
      <c r="AF24" t="s">
        <v>733</v>
      </c>
      <c r="AG24">
        <v>45</v>
      </c>
      <c r="AH24">
        <v>0</v>
      </c>
      <c r="AI24" s="6">
        <v>0</v>
      </c>
      <c r="AJ24" t="str">
        <f t="shared" si="5"/>
        <v>🔴</v>
      </c>
      <c r="AK24" t="s">
        <v>733</v>
      </c>
      <c r="AL24">
        <v>55</v>
      </c>
      <c r="AM24">
        <v>0</v>
      </c>
      <c r="AN24" s="6">
        <v>0</v>
      </c>
      <c r="AO24" t="str">
        <f t="shared" si="6"/>
        <v>🔴</v>
      </c>
      <c r="AP24" t="s">
        <v>733</v>
      </c>
      <c r="AQ24">
        <v>65</v>
      </c>
      <c r="AR24">
        <v>0</v>
      </c>
      <c r="AS24" s="6">
        <v>0</v>
      </c>
      <c r="AT24" t="str">
        <f t="shared" si="7"/>
        <v>🔴</v>
      </c>
      <c r="AU24" t="s">
        <v>733</v>
      </c>
      <c r="AV24">
        <v>75</v>
      </c>
      <c r="AW24">
        <v>0</v>
      </c>
      <c r="AX24" s="6">
        <v>0</v>
      </c>
      <c r="AY24" t="str">
        <f t="shared" si="8"/>
        <v>🔴</v>
      </c>
      <c r="AZ24" t="s">
        <v>733</v>
      </c>
      <c r="BA24">
        <v>85</v>
      </c>
      <c r="BB24">
        <v>0</v>
      </c>
      <c r="BC24" s="6">
        <v>0</v>
      </c>
      <c r="BD24" t="str">
        <f t="shared" si="9"/>
        <v>🔴</v>
      </c>
      <c r="BE24" t="s">
        <v>733</v>
      </c>
      <c r="BF24">
        <v>92</v>
      </c>
      <c r="BG24">
        <v>0</v>
      </c>
      <c r="BH24" s="6">
        <v>0</v>
      </c>
      <c r="BI24" t="str">
        <f t="shared" si="10"/>
        <v>🔴</v>
      </c>
      <c r="BJ24" t="s">
        <v>733</v>
      </c>
      <c r="BK24">
        <v>100</v>
      </c>
      <c r="BL24">
        <v>0</v>
      </c>
      <c r="BM24" s="6">
        <v>0</v>
      </c>
      <c r="BN24" t="str">
        <f t="shared" si="11"/>
        <v>🔴</v>
      </c>
      <c r="BO24" t="s">
        <v>733</v>
      </c>
      <c r="BP24" s="10">
        <f t="shared" si="12"/>
        <v>0</v>
      </c>
      <c r="BQ24" t="str">
        <f t="shared" si="13"/>
        <v>🔴 Ruptura Sistémica</v>
      </c>
      <c r="BR24" t="str">
        <f t="shared" si="14"/>
        <v>⚠️ Revisar — riesgo incumplimiento</v>
      </c>
      <c r="BS24" t="str">
        <f>IF(IFERROR(SUM(J24,O24,T24,Y24,AD24,AI24,AN24,AS24,AX24,BC24,BH24,BM24),0)/F24&lt;H01_PARÁMETROS!$B$46,"🚨 ELEGIBLE COOPERACIÓN EXTERNA","✅ Financiamiento suficiente")</f>
        <v>🚨 ELEGIBLE COOPERACIÓN EXTERNA</v>
      </c>
      <c r="BT24" t="s">
        <v>734</v>
      </c>
      <c r="BV24" t="s">
        <v>735</v>
      </c>
    </row>
    <row r="25" spans="1:74" x14ac:dyDescent="0.3">
      <c r="A25" s="49" t="str">
        <f>H04_S2_PLANIFICACIÓN_PDOT!A25</f>
        <v>EP-L-X-01</v>
      </c>
      <c r="B25" s="36" t="str">
        <f>H04_S2_PLANIFICACIÓN_PDOT!B25</f>
        <v>Fortalecimiento productivo: beneficiarios artesanos, mipymes, emprendedores, huertos comunitarios y cadenas de valor</v>
      </c>
      <c r="C25" s="36" t="str">
        <f>H04_S2_PLANIFICACIÓN_PDOT!R25</f>
        <v>Dirección Turismo</v>
      </c>
      <c r="D25" s="36">
        <f>H04_S2_PLANIFICACIÓN_PDOT!N25</f>
        <v>500</v>
      </c>
      <c r="E25" s="36" t="str">
        <f>H04_S2_PLANIFICACIÓN_PDOT!O25</f>
        <v>Beneficiarios programas fortalecimiento productivo</v>
      </c>
      <c r="F25" s="55">
        <f>H04_S2_PLANIFICACIÓN_PDOT!G25</f>
        <v>57591</v>
      </c>
      <c r="G25" s="76">
        <f>H04_S2_PLANIFICACIÓN_PDOT!H25</f>
        <v>1.4199556845418699E-3</v>
      </c>
      <c r="H25" s="36">
        <v>5</v>
      </c>
      <c r="I25" s="36">
        <v>0</v>
      </c>
      <c r="J25" s="55">
        <v>0</v>
      </c>
      <c r="K25" s="36" t="str">
        <f t="shared" si="0"/>
        <v>🔴</v>
      </c>
      <c r="L25" s="36" t="s">
        <v>733</v>
      </c>
      <c r="M25" s="36">
        <v>10</v>
      </c>
      <c r="N25" s="36">
        <v>0</v>
      </c>
      <c r="O25" s="55">
        <v>0</v>
      </c>
      <c r="P25" s="36" t="str">
        <f t="shared" si="1"/>
        <v>🔴</v>
      </c>
      <c r="Q25" s="36" t="s">
        <v>733</v>
      </c>
      <c r="R25" s="36">
        <v>15</v>
      </c>
      <c r="S25" s="36">
        <v>0</v>
      </c>
      <c r="T25" s="55">
        <v>0</v>
      </c>
      <c r="U25" s="36" t="str">
        <f t="shared" si="2"/>
        <v>🔴</v>
      </c>
      <c r="V25" s="36" t="s">
        <v>733</v>
      </c>
      <c r="W25" s="36">
        <v>25</v>
      </c>
      <c r="X25" s="36">
        <v>0</v>
      </c>
      <c r="Y25" s="55">
        <v>0</v>
      </c>
      <c r="Z25" s="38" t="str">
        <f t="shared" si="3"/>
        <v>🔴</v>
      </c>
      <c r="AA25" t="s">
        <v>733</v>
      </c>
      <c r="AB25">
        <v>35</v>
      </c>
      <c r="AC25">
        <v>0</v>
      </c>
      <c r="AD25" s="6">
        <v>0</v>
      </c>
      <c r="AE25" t="str">
        <f t="shared" si="4"/>
        <v>🔴</v>
      </c>
      <c r="AF25" t="s">
        <v>733</v>
      </c>
      <c r="AG25">
        <v>45</v>
      </c>
      <c r="AH25">
        <v>0</v>
      </c>
      <c r="AI25" s="6">
        <v>0</v>
      </c>
      <c r="AJ25" t="str">
        <f t="shared" si="5"/>
        <v>🔴</v>
      </c>
      <c r="AK25" t="s">
        <v>733</v>
      </c>
      <c r="AL25">
        <v>55</v>
      </c>
      <c r="AM25">
        <v>0</v>
      </c>
      <c r="AN25" s="6">
        <v>0</v>
      </c>
      <c r="AO25" t="str">
        <f t="shared" si="6"/>
        <v>🔴</v>
      </c>
      <c r="AP25" t="s">
        <v>733</v>
      </c>
      <c r="AQ25">
        <v>65</v>
      </c>
      <c r="AR25">
        <v>0</v>
      </c>
      <c r="AS25" s="6">
        <v>0</v>
      </c>
      <c r="AT25" t="str">
        <f t="shared" si="7"/>
        <v>🔴</v>
      </c>
      <c r="AU25" t="s">
        <v>733</v>
      </c>
      <c r="AV25">
        <v>75</v>
      </c>
      <c r="AW25">
        <v>0</v>
      </c>
      <c r="AX25" s="6">
        <v>0</v>
      </c>
      <c r="AY25" t="str">
        <f t="shared" si="8"/>
        <v>🔴</v>
      </c>
      <c r="AZ25" t="s">
        <v>733</v>
      </c>
      <c r="BA25">
        <v>85</v>
      </c>
      <c r="BB25">
        <v>0</v>
      </c>
      <c r="BC25" s="6">
        <v>0</v>
      </c>
      <c r="BD25" t="str">
        <f t="shared" si="9"/>
        <v>🔴</v>
      </c>
      <c r="BE25" t="s">
        <v>733</v>
      </c>
      <c r="BF25">
        <v>92</v>
      </c>
      <c r="BG25">
        <v>0</v>
      </c>
      <c r="BH25" s="6">
        <v>0</v>
      </c>
      <c r="BI25" t="str">
        <f t="shared" si="10"/>
        <v>🔴</v>
      </c>
      <c r="BJ25" t="s">
        <v>733</v>
      </c>
      <c r="BK25">
        <v>100</v>
      </c>
      <c r="BL25">
        <v>0</v>
      </c>
      <c r="BM25" s="6">
        <v>0</v>
      </c>
      <c r="BN25" t="str">
        <f t="shared" si="11"/>
        <v>🔴</v>
      </c>
      <c r="BO25" t="s">
        <v>733</v>
      </c>
      <c r="BP25" s="10">
        <f t="shared" si="12"/>
        <v>0</v>
      </c>
      <c r="BQ25" t="str">
        <f t="shared" si="13"/>
        <v>🔴 Ruptura Sistémica</v>
      </c>
      <c r="BR25" t="str">
        <f t="shared" si="14"/>
        <v>⚠️ Revisar — riesgo incumplimiento</v>
      </c>
      <c r="BS25" t="str">
        <f>IF(IFERROR(SUM(J25,O25,T25,Y25,AD25,AI25,AN25,AS25,AX25,BC25,BH25,BM25),0)/F25&lt;H01_PARÁMETROS!$B$46,"🚨 ELEGIBLE COOPERACIÓN EXTERNA","✅ Financiamiento suficiente")</f>
        <v>🚨 ELEGIBLE COOPERACIÓN EXTERNA</v>
      </c>
      <c r="BT25" t="s">
        <v>734</v>
      </c>
      <c r="BV25" t="s">
        <v>735</v>
      </c>
    </row>
    <row r="26" spans="1:74" x14ac:dyDescent="0.3">
      <c r="A26" s="96" t="s">
        <v>736</v>
      </c>
      <c r="B26" s="63"/>
      <c r="C26" s="63"/>
      <c r="D26" s="63"/>
      <c r="E26" s="63"/>
      <c r="F26" s="63"/>
      <c r="G26" s="63"/>
      <c r="H26" s="63"/>
      <c r="I26" s="90">
        <f>IFERROR(SUMPRODUCT(G6:G25,I6:I25)/SUM(G6:G25),0)</f>
        <v>0</v>
      </c>
      <c r="J26" s="63"/>
      <c r="K26" s="63"/>
      <c r="L26" s="63"/>
      <c r="M26" s="63"/>
      <c r="N26" s="90">
        <f>IFERROR(SUMPRODUCT(G6:G25,N6:N25)/SUM(G6:G25),0)</f>
        <v>0</v>
      </c>
      <c r="O26" s="63"/>
      <c r="P26" s="63"/>
      <c r="Q26" s="63"/>
      <c r="R26" s="63"/>
      <c r="S26" s="90">
        <f>IFERROR(SUMPRODUCT(G6:G25,S6:S25)/SUM(G6:G25),0)</f>
        <v>0</v>
      </c>
      <c r="T26" s="63"/>
      <c r="U26" s="63"/>
      <c r="V26" s="63"/>
      <c r="W26" s="63"/>
      <c r="X26" s="90">
        <f>IFERROR(SUMPRODUCT(G6:G25,X6:X25)/SUM(G6:G25),0)</f>
        <v>0</v>
      </c>
      <c r="Y26" s="63"/>
      <c r="Z26" s="64"/>
      <c r="AC26" s="10">
        <f>IFERROR(SUMPRODUCT(G6:G25,AC6:AC25)/SUM(G6:G25),0)</f>
        <v>0</v>
      </c>
      <c r="AH26" s="10">
        <f>IFERROR(SUMPRODUCT(G6:G25,AH6:AH25)/SUM(G6:G25),0)</f>
        <v>0</v>
      </c>
      <c r="AM26" s="10">
        <f>IFERROR(SUMPRODUCT(G6:G25,AM6:AM25)/SUM(G6:G25),0)</f>
        <v>0</v>
      </c>
      <c r="AR26" s="10">
        <f>IFERROR(SUMPRODUCT(G6:G25,AR6:AR25)/SUM(G6:G25),0)</f>
        <v>0</v>
      </c>
      <c r="AW26" s="10">
        <f>IFERROR(SUMPRODUCT(G6:G25,AW6:AW25)/SUM(G6:G25),0)</f>
        <v>0</v>
      </c>
      <c r="BB26" s="10">
        <f>IFERROR(SUMPRODUCT(G6:G25,BB6:BB25)/SUM(G6:G25),0)</f>
        <v>0</v>
      </c>
      <c r="BG26" s="10">
        <f>IFERROR(SUMPRODUCT(G6:G25,BG6:BG25)/SUM(G6:G25),0)</f>
        <v>0</v>
      </c>
      <c r="BL26" s="10">
        <f>IFERROR(SUMPRODUCT(G6:G25,BL6:BL25)/SUM(G6:G25),0)</f>
        <v>0</v>
      </c>
    </row>
  </sheetData>
  <hyperlinks>
    <hyperlink ref="B1" location="'H00_ÍNDICE'!A1" display="⬅️ ÍNDICE GENERAL" xr:uid="{0F2D7095-3A15-4D42-AF5E-597554BB7CDB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D8FF-257E-41C0-A1DD-32BF0C9CFD1A}">
  <sheetPr>
    <tabColor rgb="FFD69E2E"/>
  </sheetPr>
  <dimension ref="A1:Z23"/>
  <sheetViews>
    <sheetView workbookViewId="0">
      <pane ySplit="3" topLeftCell="A4" activePane="bottomLeft" state="frozen"/>
      <selection pane="bottomLeft"/>
    </sheetView>
  </sheetViews>
  <sheetFormatPr baseColWidth="10" defaultRowHeight="14.4" x14ac:dyDescent="0.3"/>
  <cols>
    <col min="1" max="1" width="18.5546875" customWidth="1"/>
    <col min="2" max="2" width="48.109375" customWidth="1"/>
    <col min="3" max="74" width="15.77734375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1154</v>
      </c>
      <c r="E1" s="212" t="str">
        <f ca="1">TEXT(TODAY(),"DD/MM/YYYY")</f>
        <v>05/04/2026</v>
      </c>
    </row>
    <row r="2" spans="1:26" ht="30" customHeight="1" x14ac:dyDescent="0.35">
      <c r="A2" s="1" t="s">
        <v>737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738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30" t="s">
        <v>739</v>
      </c>
      <c r="B5" s="30" t="s">
        <v>740</v>
      </c>
      <c r="C5" s="30" t="s">
        <v>726</v>
      </c>
      <c r="D5" s="30" t="s">
        <v>368</v>
      </c>
      <c r="E5" s="30" t="s">
        <v>741</v>
      </c>
      <c r="F5" s="30" t="s">
        <v>742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t="s">
        <v>743</v>
      </c>
      <c r="B6" s="10">
        <f>H25_MMP_MENSUAL!I26</f>
        <v>0</v>
      </c>
      <c r="C6" s="10">
        <f>IFERROR(B6/(1*25)*100,0)</f>
        <v>0</v>
      </c>
      <c r="D6" t="str">
        <f>IF(C6&gt;=90,"🔵 Excelencia",IF(C6&gt;=70,"🟢 Por Mandato",IF(C6&gt;=40,"🟡 Transición",IF(C6&gt;=20,"🟠 Por Ocurrencia","🔴 Ruptura"))))</f>
        <v>🔴 Ruptura</v>
      </c>
      <c r="E6" t="str">
        <f>IF(C6&lt;40,"🚨 ALTO — Requiere acción inmediata",IF(C6&lt;70,"⚠️ MODERADO — Revisar cronograma","✅ BAJO"))</f>
        <v>🚨 ALTO — Requiere acción inmediata</v>
      </c>
      <c r="F6" t="s">
        <v>744</v>
      </c>
    </row>
    <row r="7" spans="1:26" x14ac:dyDescent="0.3">
      <c r="A7" t="s">
        <v>745</v>
      </c>
      <c r="B7" s="10">
        <f>H25_MMP_MENSUAL!X26</f>
        <v>0</v>
      </c>
      <c r="C7" s="10">
        <f>IFERROR(B7/(2*25)*100,0)</f>
        <v>0</v>
      </c>
      <c r="D7" t="str">
        <f>IF(C7&gt;=90,"🔵 Excelencia",IF(C7&gt;=70,"🟢 Por Mandato",IF(C7&gt;=40,"🟡 Transición",IF(C7&gt;=20,"🟠 Por Ocurrencia","🔴 Ruptura"))))</f>
        <v>🔴 Ruptura</v>
      </c>
      <c r="E7" t="str">
        <f>IF(C7&lt;40,"🚨 ALTO — Requiere acción inmediata",IF(C7&lt;70,"⚠️ MODERADO — Revisar cronograma","✅ BAJO"))</f>
        <v>🚨 ALTO — Requiere acción inmediata</v>
      </c>
      <c r="F7" t="s">
        <v>746</v>
      </c>
    </row>
    <row r="8" spans="1:26" x14ac:dyDescent="0.3">
      <c r="A8" s="48" t="s">
        <v>747</v>
      </c>
      <c r="B8" s="65">
        <f>H25_MMP_MENSUAL!AM26</f>
        <v>0</v>
      </c>
      <c r="C8" s="65">
        <f>IFERROR(B8/(3*25)*100,0)</f>
        <v>0</v>
      </c>
      <c r="D8" s="34" t="str">
        <f>IF(C8&gt;=90,"🔵 Excelencia",IF(C8&gt;=70,"🟢 Por Mandato",IF(C8&gt;=40,"🟡 Transición",IF(C8&gt;=20,"🟠 Por Ocurrencia","🔴 Ruptura"))))</f>
        <v>🔴 Ruptura</v>
      </c>
      <c r="E8" s="34" t="str">
        <f>IF(C8&lt;40,"🚨 ALTO — Requiere acción inmediata",IF(C8&lt;70,"⚠️ MODERADO — Revisar cronograma","✅ BAJO"))</f>
        <v>🚨 ALTO — Requiere acción inmediata</v>
      </c>
      <c r="F8" s="34" t="s">
        <v>748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9" t="s">
        <v>749</v>
      </c>
      <c r="B9" s="66">
        <f>H25_MMP_MENSUAL!BB26</f>
        <v>0</v>
      </c>
      <c r="C9" s="66">
        <f>IFERROR(B9/(4*25)*100,0)</f>
        <v>0</v>
      </c>
      <c r="D9" s="36" t="str">
        <f>IF(C9&gt;=90,"🔵 Excelencia",IF(C9&gt;=70,"🟢 Por Mandato",IF(C9&gt;=40,"🟡 Transición",IF(C9&gt;=20,"🟠 Por Ocurrencia","🔴 Ruptura"))))</f>
        <v>🔴 Ruptura</v>
      </c>
      <c r="E9" s="36" t="str">
        <f>IF(C9&lt;40,"🚨 ALTO — Requiere acción inmediata",IF(C9&lt;70,"⚠️ MODERADO — Revisar cronograma","✅ BAJO"))</f>
        <v>🚨 ALTO — Requiere acción inmediata</v>
      </c>
      <c r="F9" s="36" t="s">
        <v>750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1" t="s">
        <v>751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45" t="s">
        <v>533</v>
      </c>
      <c r="B12" s="106" t="s">
        <v>529</v>
      </c>
      <c r="C12" s="106" t="s">
        <v>530</v>
      </c>
      <c r="D12" s="106" t="s">
        <v>531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 t="str">
        <f>H17_IED!A14</f>
        <v>Dirección Económica</v>
      </c>
      <c r="B13" s="66">
        <f>H17_IED!C14</f>
        <v>94.999999999999986</v>
      </c>
      <c r="C13" s="36" t="str">
        <f>H17_IED!D14</f>
        <v>🔵 Excelencia en Gobernanza</v>
      </c>
      <c r="D13" s="36" t="str">
        <f>H17_IED!E14</f>
        <v>⭐ Excelente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50" t="str">
        <f>H17_IED!A15</f>
        <v>Dirección de Obras Públicas</v>
      </c>
      <c r="B14" s="67">
        <f>H17_IED!C15</f>
        <v>34.70694307450745</v>
      </c>
      <c r="C14" s="39" t="str">
        <f>H17_IED!D15</f>
        <v>🟠 Gestión por Ocurrencia</v>
      </c>
      <c r="D14" s="39" t="str">
        <f>H17_IED!E15</f>
        <v>🔴 Insuficiente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9" t="str">
        <f>H17_IED!A16</f>
        <v>Dirección TIC</v>
      </c>
      <c r="B15" s="66">
        <f>H17_IED!C16</f>
        <v>85</v>
      </c>
      <c r="C15" s="36" t="str">
        <f>H17_IED!D16</f>
        <v>🟢 Gestión por Mandato</v>
      </c>
      <c r="D15" s="36" t="str">
        <f>H17_IED!E16</f>
        <v>✅ Muy Bueno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 t="str">
        <f>H17_IED!A17</f>
        <v>Dirección de Salud</v>
      </c>
      <c r="B16" s="67">
        <f>H17_IED!C17</f>
        <v>0</v>
      </c>
      <c r="C16" s="39" t="str">
        <f>H17_IED!D17</f>
        <v>🔴 Ruptura Sistémica</v>
      </c>
      <c r="D16" s="39" t="str">
        <f>H17_IED!E17</f>
        <v>🔴 Insuficiente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 t="str">
        <f>H17_IED!A18</f>
        <v>Dirección de Educación</v>
      </c>
      <c r="B17" s="66">
        <f>H17_IED!C18</f>
        <v>0</v>
      </c>
      <c r="C17" s="36" t="str">
        <f>H17_IED!D18</f>
        <v>🔴 Ruptura Sistémica</v>
      </c>
      <c r="D17" s="36" t="str">
        <f>H17_IED!E18</f>
        <v>🔴 Insuficiente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tr">
        <f>H17_IED!A19</f>
        <v>Patronato Municipal</v>
      </c>
      <c r="B18" s="67">
        <f>H17_IED!C19</f>
        <v>94.918697051547369</v>
      </c>
      <c r="C18" s="39" t="str">
        <f>H17_IED!D19</f>
        <v>🔵 Excelencia en Gobernanza</v>
      </c>
      <c r="D18" s="39" t="str">
        <f>H17_IED!E19</f>
        <v>✅ Muy Bueno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tr">
        <f>H17_IED!A20</f>
        <v>Dirección Ambiental</v>
      </c>
      <c r="B19" s="66">
        <f>H17_IED!C20</f>
        <v>68.824412490262262</v>
      </c>
      <c r="C19" s="36" t="str">
        <f>H17_IED!D20</f>
        <v>🟡 Transición Crítica</v>
      </c>
      <c r="D19" s="36" t="str">
        <f>H17_IED!E20</f>
        <v>🟡 Regular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tr">
        <f>H17_IED!A21</f>
        <v>Dirección Administrativa</v>
      </c>
      <c r="B20" s="67">
        <f>H17_IED!C21</f>
        <v>85.000000000000014</v>
      </c>
      <c r="C20" s="39" t="str">
        <f>H17_IED!D21</f>
        <v>🟢 Gestión por Mandato</v>
      </c>
      <c r="D20" s="39" t="str">
        <f>H17_IED!E21</f>
        <v>✅ Muy Bueno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tr">
        <f>H17_IED!A22</f>
        <v>Secretaría General</v>
      </c>
      <c r="B21" s="66">
        <f>H17_IED!C22</f>
        <v>0</v>
      </c>
      <c r="C21" s="36" t="str">
        <f>H17_IED!D22</f>
        <v>🔴 Ruptura Sistémica</v>
      </c>
      <c r="D21" s="36" t="str">
        <f>H17_IED!E22</f>
        <v>🔴 Insuficiente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H17_IED!A23</f>
        <v>Dirección de Cultura y Deporte</v>
      </c>
      <c r="B22" s="67">
        <f>H17_IED!C23</f>
        <v>47.8125</v>
      </c>
      <c r="C22" s="39" t="str">
        <f>H17_IED!D23</f>
        <v>🟡 Transición Crítica</v>
      </c>
      <c r="D22" s="39" t="str">
        <f>H17_IED!E23</f>
        <v>🔴 Insuficiente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72" t="str">
        <f>H17_IED!A24</f>
        <v>Dirección de Agua y Saneamiento</v>
      </c>
      <c r="B23" s="122">
        <f>H17_IED!C24</f>
        <v>72.000000000000014</v>
      </c>
      <c r="C23" s="46" t="str">
        <f>H17_IED!D24</f>
        <v>🟢 Gestión por Mandato</v>
      </c>
      <c r="D23" s="46" t="str">
        <f>H17_IED!E24</f>
        <v>🟡 Regular</v>
      </c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7"/>
    </row>
  </sheetData>
  <hyperlinks>
    <hyperlink ref="B1" location="'H00_ÍNDICE'!A1" display="⬅️ ÍNDICE GENERAL" xr:uid="{FBB6270C-812A-465A-9E4A-BB68318E4D6A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D848-16AA-4259-9696-9C53BDF8756A}">
  <sheetPr>
    <tabColor rgb="FFD69E2E"/>
  </sheetPr>
  <dimension ref="A1:Z21"/>
  <sheetViews>
    <sheetView workbookViewId="0">
      <pane ySplit="2" topLeftCell="A3" activePane="bottomLeft" state="frozen"/>
      <selection pane="bottomLeft" activeCell="F14" sqref="F14"/>
    </sheetView>
  </sheetViews>
  <sheetFormatPr baseColWidth="10" defaultRowHeight="14.4" x14ac:dyDescent="0.3"/>
  <cols>
    <col min="1" max="1" width="18.5546875" customWidth="1"/>
    <col min="2" max="2" width="48.109375" customWidth="1"/>
    <col min="3" max="6" width="15.77734375" customWidth="1"/>
    <col min="7" max="7" width="33.33203125" customWidth="1"/>
    <col min="8" max="74" width="15.77734375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1155</v>
      </c>
      <c r="E1" s="212" t="str">
        <f ca="1">TEXT(TODAY(),"DD/MM/YYYY")</f>
        <v>05/04/2026</v>
      </c>
    </row>
    <row r="2" spans="1:26" ht="30" customHeight="1" x14ac:dyDescent="0.35">
      <c r="A2" s="1" t="s">
        <v>752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753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30" t="s">
        <v>754</v>
      </c>
      <c r="B5" s="30" t="s">
        <v>755</v>
      </c>
      <c r="C5" s="30" t="s">
        <v>756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3" t="s">
        <v>757</v>
      </c>
      <c r="B6" s="10">
        <f>H12_MOTOR_ICPI_CANÓNICO!B28</f>
        <v>72.933457177838463</v>
      </c>
      <c r="C6" s="9" t="s">
        <v>758</v>
      </c>
    </row>
    <row r="7" spans="1:26" x14ac:dyDescent="0.3">
      <c r="A7" s="3" t="s">
        <v>759</v>
      </c>
      <c r="B7" s="10">
        <f>H26_MMP_TRIMESTRAL!B9</f>
        <v>0</v>
      </c>
      <c r="C7" s="9" t="s">
        <v>760</v>
      </c>
    </row>
    <row r="8" spans="1:26" x14ac:dyDescent="0.3">
      <c r="A8" s="120" t="s">
        <v>761</v>
      </c>
      <c r="B8" s="65">
        <f>H26_MMP_TRIMESTRAL!C9</f>
        <v>0</v>
      </c>
      <c r="C8" s="128" t="s">
        <v>762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1" t="s">
        <v>414</v>
      </c>
      <c r="B9" s="66">
        <f>H12_MOTOR_ICPI_CANÓNICO!B28</f>
        <v>72.933457177838463</v>
      </c>
      <c r="C9" s="68" t="s">
        <v>763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42" t="s">
        <v>764</v>
      </c>
      <c r="B10" s="67" t="str">
        <f>H12_MOTOR_ICPI_CANÓNICO!B29</f>
        <v>🟢 Gestión por Mandato</v>
      </c>
      <c r="C10" s="69" t="s">
        <v>765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1" t="s">
        <v>416</v>
      </c>
      <c r="B11" s="66">
        <f>H12_MOTOR_ICPI_CANÓNICO!B30</f>
        <v>100</v>
      </c>
      <c r="C11" s="68" t="s">
        <v>766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42" t="s">
        <v>417</v>
      </c>
      <c r="B12" s="67" t="str">
        <f>H12_MOTOR_ICPI_CANÓNICO!B32</f>
        <v>⚠️ Brecha moderada — vigilar</v>
      </c>
      <c r="C12" s="69" t="s">
        <v>767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9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42" t="s">
        <v>768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ht="24.6" x14ac:dyDescent="0.3">
      <c r="A15" s="44" t="s">
        <v>769</v>
      </c>
      <c r="B15" s="121" t="s">
        <v>770</v>
      </c>
      <c r="C15" s="134" t="s">
        <v>771</v>
      </c>
      <c r="D15" s="121" t="s">
        <v>772</v>
      </c>
      <c r="E15" s="121" t="s">
        <v>368</v>
      </c>
      <c r="F15" s="121" t="s">
        <v>773</v>
      </c>
      <c r="G15" s="253" t="s">
        <v>1189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>
        <v>2024</v>
      </c>
      <c r="B16" s="39">
        <v>70</v>
      </c>
      <c r="C16" s="67">
        <f>H12_MOTOR_ICPI_CANÓNICO!B28</f>
        <v>72.933457177838463</v>
      </c>
      <c r="D16" s="67">
        <f>IF(ISNUMBER(C16),B16-C16,"N/D")</f>
        <v>-2.9334571778384628</v>
      </c>
      <c r="E16" s="39" t="str">
        <f>IF(ISNUMBER(C16),IF(C16&gt;=B16,"🟢","🔴"),"⏸️")</f>
        <v>🟢</v>
      </c>
      <c r="F16" s="39" t="str">
        <f>IF(ISNUMBER(C16),IF(C16&gt;=B16,"Sin acción","⚠️ Revisar POA y redistribuir presupuesto"),"Pendiente dato real")</f>
        <v>Sin acción</v>
      </c>
      <c r="G16" s="254" t="str">
        <f>IF(C16&gt;=85,"● Cumplida (85-100%)",IF(C16&gt;=70,"● Parcialmente Cumplida (70-84.9%)",IF(C16&gt;0,"● Incumplida (0-69.9%)","● Extemporánea (sin información)")))</f>
        <v>● Parcialmente Cumplida (70-84.9%)</v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9">
        <v>2025</v>
      </c>
      <c r="B17" s="36">
        <v>75</v>
      </c>
      <c r="C17" s="135" t="s">
        <v>774</v>
      </c>
      <c r="D17" s="66" t="str">
        <f>IF(ISNUMBER(C17),B17-C17,"N/D")</f>
        <v>N/D</v>
      </c>
      <c r="E17" s="36" t="str">
        <f>IF(ISNUMBER(C17),IF(C17&gt;=B17,"🟢","🔴"),"⏸️")</f>
        <v>⏸️</v>
      </c>
      <c r="F17" s="36" t="str">
        <f>IF(ISNUMBER(C17),IF(C17&gt;=B17,"Sin acción","⚠️ Revisar POA y redistribuir presupuesto"),"Pendiente dato real")</f>
        <v>Pendiente dato real</v>
      </c>
      <c r="G17" s="255" t="str">
        <f>IF(ISNUMBER(C17),IF(C17&gt;=85,"● Cumplida (85-100%)",IF(C17&gt;=70,"● Parcialmente Cumplida (70-84.9%)",IF(C17&gt;0,"● Incumplida (0-69.9%)","● Extemporánea (sin información)"))),"● Extemporánea (sin información)")</f>
        <v>● Extemporánea (sin información)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>
        <v>2026</v>
      </c>
      <c r="B18" s="39">
        <v>80</v>
      </c>
      <c r="C18" s="136" t="s">
        <v>774</v>
      </c>
      <c r="D18" s="67" t="str">
        <f>IF(ISNUMBER(C18),B18-C18,"N/D")</f>
        <v>N/D</v>
      </c>
      <c r="E18" s="39" t="str">
        <f>IF(ISNUMBER(C18),IF(C18&gt;=B18,"🟢","🔴"),"⏸️")</f>
        <v>⏸️</v>
      </c>
      <c r="F18" s="39" t="str">
        <f>IF(ISNUMBER(C18),IF(C18&gt;=B18,"Sin acción","⚠️ Revisar POA y redistribuir presupuesto"),"Pendiente dato real")</f>
        <v>Pendiente dato real</v>
      </c>
      <c r="G18" s="254" t="str">
        <f>IF(ISNUMBER(C18),IF(C18&gt;=85,"● Cumplida (85-100%)",IF(C18&gt;=70,"● Parcialmente Cumplida (70-84.9%)",IF(C18&gt;0,"● Incumplida (0-69.9%)","● Extemporánea (sin información)"))),"● Extemporánea (sin información)")</f>
        <v>● Extemporánea (sin información)</v>
      </c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72">
        <v>2027</v>
      </c>
      <c r="B19" s="46">
        <v>85</v>
      </c>
      <c r="C19" s="137" t="s">
        <v>774</v>
      </c>
      <c r="D19" s="122" t="str">
        <f>IF(ISNUMBER(C19),B19-C19,"N/D")</f>
        <v>N/D</v>
      </c>
      <c r="E19" s="46" t="str">
        <f>IF(ISNUMBER(C19),IF(C19&gt;=B19,"🟢","🔴"),"⏸️")</f>
        <v>⏸️</v>
      </c>
      <c r="F19" s="46" t="str">
        <f>IF(ISNUMBER(C19),IF(C19&gt;=B19,"Sin acción","⚠️ Revisar POA y redistribuir presupuesto"),"Pendiente dato real")</f>
        <v>Pendiente dato real</v>
      </c>
      <c r="G19" s="256" t="str">
        <f>IF(ISNUMBER(C19),IF(C19&gt;=85,"● Cumplida (85-100%)",IF(C19&gt;=70,"● Parcialmente Cumplida (70-84.9%)",IF(C19&gt;0,"● Incumplida (0-69.9%)","● Extemporánea (sin información)"))),"● Extemporánea (sin información)")</f>
        <v>● Extemporánea (sin información)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7"/>
    </row>
    <row r="21" spans="1:26" ht="43.8" x14ac:dyDescent="0.3">
      <c r="G21" s="257" t="s">
        <v>1190</v>
      </c>
    </row>
  </sheetData>
  <conditionalFormatting sqref="G16:G19">
    <cfRule type="containsText" dxfId="29" priority="1" operator="containsText" text="Cumplida (85">
      <formula>NOT(ISERROR(SEARCH("Cumplida (85",G16)))</formula>
    </cfRule>
    <cfRule type="containsText" dxfId="28" priority="2" operator="containsText" text="Parcialmente">
      <formula>NOT(ISERROR(SEARCH("Parcialmente",G16)))</formula>
    </cfRule>
    <cfRule type="containsText" dxfId="27" priority="3" operator="containsText" text="Incumplida">
      <formula>NOT(ISERROR(SEARCH("Incumplida",G16)))</formula>
    </cfRule>
    <cfRule type="containsText" dxfId="26" priority="4" operator="containsText" text="Extemporánea">
      <formula>NOT(ISERROR(SEARCH("Extemporánea",G16)))</formula>
    </cfRule>
  </conditionalFormatting>
  <hyperlinks>
    <hyperlink ref="B1" location="'H00_ÍNDICE'!A1" display="⬅️ ÍNDICE GENERAL" xr:uid="{41D730F1-E4AE-4692-8C0B-8F39145DF3E4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71BD-E419-4552-999C-46A4242F7AD7}">
  <sheetPr>
    <tabColor rgb="FF003087"/>
  </sheetPr>
  <dimension ref="A1:Z39"/>
  <sheetViews>
    <sheetView zoomScale="75" zoomScaleNormal="75" workbookViewId="0">
      <pane ySplit="2" topLeftCell="A5" activePane="bottomLeft" state="frozen"/>
      <selection pane="bottomLeft" activeCell="D8" sqref="D8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64.44140625" bestFit="1" customWidth="1"/>
    <col min="4" max="4" width="18.21875" bestFit="1" customWidth="1"/>
    <col min="5" max="5" width="35.44140625" bestFit="1" customWidth="1"/>
    <col min="6" max="6" width="23" bestFit="1" customWidth="1"/>
    <col min="7" max="7" width="18.2187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1156</v>
      </c>
      <c r="E1" s="212" t="str">
        <f ca="1">TEXT(TODAY(),"DD/MM/YYYY")</f>
        <v>05/04/2026</v>
      </c>
    </row>
    <row r="2" spans="1:26" ht="30" customHeight="1" x14ac:dyDescent="0.35">
      <c r="A2" s="1" t="s">
        <v>775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776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95" customHeight="1" x14ac:dyDescent="0.3">
      <c r="A4" s="29" t="s">
        <v>777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4" t="s">
        <v>778</v>
      </c>
    </row>
    <row r="7" spans="1:26" ht="28.8" x14ac:dyDescent="0.3">
      <c r="B7" s="21" t="s">
        <v>779</v>
      </c>
      <c r="C7" s="22" t="s">
        <v>4</v>
      </c>
      <c r="D7" s="21" t="s">
        <v>780</v>
      </c>
      <c r="E7" s="22" t="s">
        <v>6</v>
      </c>
      <c r="F7" s="22" t="s">
        <v>7</v>
      </c>
      <c r="G7" s="21" t="s">
        <v>781</v>
      </c>
    </row>
    <row r="8" spans="1:26" ht="17.399999999999999" x14ac:dyDescent="0.35">
      <c r="A8" s="120" t="s">
        <v>782</v>
      </c>
      <c r="B8" s="138">
        <f>H15_ICPI_GLOBAL!B6</f>
        <v>72.933457177838463</v>
      </c>
      <c r="C8" s="138">
        <f>H16_IFE!B7</f>
        <v>77</v>
      </c>
      <c r="D8" s="138">
        <f>H17_IED!B26</f>
        <v>53.023868419665185</v>
      </c>
      <c r="E8" s="138">
        <f>H18_ITAM!B6</f>
        <v>70</v>
      </c>
      <c r="F8" s="138">
        <f>H19_ICS_ISP!B14</f>
        <v>63.510333371762016</v>
      </c>
      <c r="G8" s="138">
        <f>H20_ICODS!D8</f>
        <v>75.735167022581891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x14ac:dyDescent="0.3">
      <c r="A9" s="41" t="s">
        <v>783</v>
      </c>
      <c r="B9" s="43" t="str">
        <f>H15_ICPI_GLOBAL!B7</f>
        <v>🟢 Gestión por Mandato</v>
      </c>
      <c r="C9" s="43" t="str">
        <f>H16_IFE!B8</f>
        <v>⚠️ Fidelidad Moderada</v>
      </c>
      <c r="D9" s="43" t="str">
        <f>IF(H17_IED!B26&gt;=70,"🟢 Gestión por Mandato",IF(H17_IED!B26&gt;=40,"🟡 Transición Crítica","🟠 Por Ocurrencia"))</f>
        <v>🟡 Transición Crítica</v>
      </c>
      <c r="E9" s="43" t="str">
        <f>H18_ITAM!B7</f>
        <v>⚠️ Transparencia Media — revisar literales</v>
      </c>
      <c r="F9" s="43" t="str">
        <f>H19_ICS_ISP!B7</f>
        <v>🟡 Transición Crítica</v>
      </c>
      <c r="G9" s="43" t="str">
        <f>H20_ICODS!E8</f>
        <v>🟢 Gestión por Mandato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1" t="s">
        <v>784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x14ac:dyDescent="0.3">
      <c r="A12" s="42" t="s">
        <v>785</v>
      </c>
      <c r="B12" s="67">
        <f>H15_ICPI_GLOBAL!B8</f>
        <v>100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1" t="s">
        <v>786</v>
      </c>
      <c r="B13" s="66">
        <f>H15_ICPI_GLOBAL!B6</f>
        <v>72.933457177838463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ht="17.399999999999999" x14ac:dyDescent="0.35">
      <c r="A14" s="42" t="s">
        <v>787</v>
      </c>
      <c r="B14" s="139">
        <f>H15_ICPI_GLOBAL!B9</f>
        <v>27.066542822161537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1" t="s">
        <v>522</v>
      </c>
      <c r="B15" s="66" t="str">
        <f>H15_ICPI_GLOBAL!B10</f>
        <v>⚠️ Brecha moderada — vigilar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1" t="s">
        <v>788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45" t="s">
        <v>789</v>
      </c>
      <c r="B18" s="106" t="s">
        <v>790</v>
      </c>
      <c r="C18" s="106" t="s">
        <v>791</v>
      </c>
      <c r="D18" s="106" t="s">
        <v>92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1" t="s">
        <v>9</v>
      </c>
      <c r="B19" s="36" t="s">
        <v>10</v>
      </c>
      <c r="C19" s="36" t="str">
        <f>'H21_SAT-I'!B24</f>
        <v>✅ Sin señal SAT-I</v>
      </c>
      <c r="D19" s="37" t="s">
        <v>104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42" t="s">
        <v>11</v>
      </c>
      <c r="B20" s="39" t="s">
        <v>12</v>
      </c>
      <c r="C20" s="39" t="str">
        <f>'H22_SAT-II'!B38</f>
        <v>✅ Sin señal SAT-II</v>
      </c>
      <c r="D20" s="105" t="s">
        <v>792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1" t="s">
        <v>13</v>
      </c>
      <c r="B21" s="36" t="s">
        <v>14</v>
      </c>
      <c r="C21" s="36" t="str">
        <f>'H23_SAT-III'!B24</f>
        <v>✅ Sin señal SAT-III</v>
      </c>
      <c r="D21" s="37" t="s">
        <v>793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42" t="s">
        <v>15</v>
      </c>
      <c r="B22" s="39" t="s">
        <v>794</v>
      </c>
      <c r="C22" s="39" t="str">
        <f>'H24_SAT-IV'!B45</f>
        <v>✅ SAT-IV no aplica — Reforma no vigente o derogada por Corte Constitucional</v>
      </c>
      <c r="D22" s="105" t="s">
        <v>795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1" t="s">
        <v>796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45" t="s">
        <v>364</v>
      </c>
      <c r="B26" s="106" t="s">
        <v>797</v>
      </c>
      <c r="C26" s="106" t="s">
        <v>368</v>
      </c>
      <c r="D26" s="106" t="s">
        <v>365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9" t="s">
        <v>369</v>
      </c>
      <c r="B27" s="66">
        <f>H20_ICODS!D8</f>
        <v>75.735167022581891</v>
      </c>
      <c r="C27" s="36" t="str">
        <f>H20_ICODS!E8</f>
        <v>🟢 Gestión por Mandato</v>
      </c>
      <c r="D27" s="36" t="s">
        <v>370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50" t="s">
        <v>371</v>
      </c>
      <c r="B28" s="67">
        <f>H20_ICODS!D9</f>
        <v>71.274658627993574</v>
      </c>
      <c r="C28" s="39" t="str">
        <f>H20_ICODS!E9</f>
        <v>🟢 Gestión por Mandato</v>
      </c>
      <c r="D28" s="39" t="s">
        <v>372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1:26" x14ac:dyDescent="0.3">
      <c r="A29" s="49" t="s">
        <v>373</v>
      </c>
      <c r="B29" s="66">
        <f>H20_ICODS!D10</f>
        <v>63.510333371762016</v>
      </c>
      <c r="C29" s="36" t="str">
        <f>H20_ICODS!E10</f>
        <v>🟡 Transición Crítica</v>
      </c>
      <c r="D29" s="36" t="s">
        <v>374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8"/>
    </row>
    <row r="30" spans="1:26" x14ac:dyDescent="0.3">
      <c r="A30" s="50" t="s">
        <v>798</v>
      </c>
      <c r="B30" s="67">
        <f>H20_ICODS!B14</f>
        <v>75.577876127377436</v>
      </c>
      <c r="C30" s="39" t="str">
        <f>H20_ICODS!B15</f>
        <v>🟢 Por Mandato</v>
      </c>
      <c r="D30" s="39" t="s">
        <v>385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1:26" x14ac:dyDescent="0.3">
      <c r="A31" s="49" t="s">
        <v>799</v>
      </c>
      <c r="B31" s="66">
        <f>H20_ICODS!B23</f>
        <v>30.394136134572079</v>
      </c>
      <c r="C31" s="36" t="str">
        <f>IF(H20_ICODS!B23&gt;=70,"🟢 Por Mandato",IF(H20_ICODS!B23&gt;=40,"🟡 Transición","🟠 Por Ocurrencia"))</f>
        <v>🟠 Por Ocurrencia</v>
      </c>
      <c r="D31" s="36" t="s">
        <v>800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</row>
    <row r="32" spans="1:26" x14ac:dyDescent="0.3">
      <c r="A32" s="50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40"/>
    </row>
    <row r="33" spans="1:26" x14ac:dyDescent="0.3">
      <c r="A33" s="49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8"/>
    </row>
    <row r="34" spans="1:26" x14ac:dyDescent="0.3">
      <c r="A34" s="42" t="s">
        <v>801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40"/>
    </row>
    <row r="35" spans="1:26" x14ac:dyDescent="0.3">
      <c r="A35" s="41" t="s">
        <v>802</v>
      </c>
      <c r="B35" s="36" t="str">
        <f>H01_PARÁMETROS!B6</f>
        <v>GAD Municipal de Montecristi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8"/>
    </row>
    <row r="36" spans="1:26" x14ac:dyDescent="0.3">
      <c r="A36" s="42" t="s">
        <v>803</v>
      </c>
      <c r="B36" s="39" t="str">
        <f>H01_PARÁMETROS!B10</f>
        <v>2024-2027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40"/>
    </row>
    <row r="37" spans="1:26" x14ac:dyDescent="0.3">
      <c r="A37" s="41" t="s">
        <v>647</v>
      </c>
      <c r="B37" s="57" t="str">
        <f>H01_PARÁMETROS!B13</f>
        <v>2024-12-31T05:00:00.000Z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8"/>
    </row>
    <row r="38" spans="1:26" x14ac:dyDescent="0.3">
      <c r="A38" s="42" t="s">
        <v>804</v>
      </c>
      <c r="B38" s="39">
        <f>H01_PARÁMETROS!B14</f>
        <v>2024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 spans="1:26" x14ac:dyDescent="0.3">
      <c r="A39" s="118" t="s">
        <v>805</v>
      </c>
      <c r="B39" s="46" t="s">
        <v>806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7"/>
    </row>
  </sheetData>
  <conditionalFormatting sqref="B27:B31">
    <cfRule type="cellIs" dxfId="25" priority="16" operator="greaterThanOrEqual">
      <formula>90</formula>
    </cfRule>
    <cfRule type="cellIs" dxfId="24" priority="17" operator="greaterThanOrEqual">
      <formula>70</formula>
    </cfRule>
    <cfRule type="cellIs" dxfId="23" priority="18" operator="greaterThanOrEqual">
      <formula>40</formula>
    </cfRule>
    <cfRule type="cellIs" dxfId="22" priority="19" operator="greaterThanOrEqual">
      <formula>20</formula>
    </cfRule>
    <cfRule type="cellIs" dxfId="21" priority="20" operator="lessThan">
      <formula>20</formula>
    </cfRule>
  </conditionalFormatting>
  <conditionalFormatting sqref="B8:G8">
    <cfRule type="cellIs" dxfId="20" priority="11" operator="greaterThanOrEqual">
      <formula>90</formula>
    </cfRule>
    <cfRule type="cellIs" dxfId="19" priority="12" operator="greaterThanOrEqual">
      <formula>70</formula>
    </cfRule>
    <cfRule type="cellIs" dxfId="18" priority="13" operator="greaterThanOrEqual">
      <formula>40</formula>
    </cfRule>
    <cfRule type="cellIs" dxfId="17" priority="14" operator="greaterThanOrEqual">
      <formula>20</formula>
    </cfRule>
    <cfRule type="cellIs" dxfId="16" priority="15" operator="lessThan">
      <formula>20</formula>
    </cfRule>
  </conditionalFormatting>
  <conditionalFormatting sqref="C19:C22">
    <cfRule type="containsText" dxfId="15" priority="10" operator="containsText" text="⚠️">
      <formula>NOT(ISERROR(SEARCH("⚠️",C19)))</formula>
    </cfRule>
  </conditionalFormatting>
  <hyperlinks>
    <hyperlink ref="B1" location="'H00_ÍNDICE'!A1" display="⬅️ ÍNDICE GENERAL" xr:uid="{E233C081-5C47-4822-935D-369492648B2C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29FF-65E4-4372-9362-D2FF508590C8}">
  <sheetPr>
    <tabColor rgb="FF003087"/>
  </sheetPr>
  <dimension ref="A1:Z45"/>
  <sheetViews>
    <sheetView zoomScale="32" zoomScaleNormal="32" workbookViewId="0">
      <pane ySplit="2" topLeftCell="A3" activePane="bottomLeft" state="frozen"/>
      <selection pane="bottomLeft" activeCell="A45" sqref="A45"/>
    </sheetView>
  </sheetViews>
  <sheetFormatPr baseColWidth="10" defaultRowHeight="14.4" x14ac:dyDescent="0.3"/>
  <cols>
    <col min="1" max="1" width="61.109375" customWidth="1"/>
    <col min="2" max="2" width="66.6640625" customWidth="1"/>
    <col min="3" max="3" width="19.44140625" bestFit="1" customWidth="1"/>
    <col min="4" max="4" width="24.6640625" bestFit="1" customWidth="1"/>
    <col min="5" max="5" width="10.109375" bestFit="1" customWidth="1"/>
  </cols>
  <sheetData>
    <row r="1" spans="1:26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1157</v>
      </c>
      <c r="E1" s="212" t="str">
        <f ca="1">TEXT(TODAY(),"DD/MM/YYYY")</f>
        <v>05/04/2026</v>
      </c>
    </row>
    <row r="2" spans="1:26" ht="30" customHeight="1" x14ac:dyDescent="0.35">
      <c r="A2" s="1" t="s">
        <v>807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x14ac:dyDescent="0.3">
      <c r="A3" s="2" t="s">
        <v>808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.95" customHeigh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9.95" customHeight="1" x14ac:dyDescent="0.3">
      <c r="A5" s="20" t="s">
        <v>809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52.05" customHeight="1" x14ac:dyDescent="0.9">
      <c r="A6" s="230" t="s">
        <v>810</v>
      </c>
      <c r="B6" s="229">
        <f>H15_ICPI_GLOBAL!B6</f>
        <v>72.933457177838463</v>
      </c>
    </row>
    <row r="7" spans="1:26" ht="24" customHeight="1" x14ac:dyDescent="0.4">
      <c r="A7" s="3" t="s">
        <v>811</v>
      </c>
      <c r="B7" s="231" t="str">
        <f>H15_ICPI_GLOBAL!B7</f>
        <v>🟢 Gestión por Mandato</v>
      </c>
    </row>
    <row r="8" spans="1:26" ht="18" customHeight="1" x14ac:dyDescent="0.3">
      <c r="A8" s="120" t="s">
        <v>812</v>
      </c>
      <c r="B8" s="232" t="str">
        <f>"ICM Oficial: "&amp;TEXT(H15_ICPI_GLOBAL!B8,"0,0")&amp;"% vs ICPI Verificado: "&amp;TEXT(H15_ICPI_GLOBAL!B6,"0,0")&amp;"% — Brecha: "&amp;TEXT(H15_ICPI_GLOBAL!B9,"0,0")&amp;" puntos"</f>
        <v>ICM Oficial: 100,0% vs ICPI Verificado: 72,9% — Brecha: 27,1 puntos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26" ht="16.05" customHeight="1" x14ac:dyDescent="0.3">
      <c r="A9" s="41" t="s">
        <v>813</v>
      </c>
      <c r="B9" s="233" t="str">
        <f>H15_ICPI_GLOBAL!B10</f>
        <v>⚠️ Brecha moderada — vigilar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8"/>
    </row>
    <row r="10" spans="1:26" x14ac:dyDescent="0.3">
      <c r="A10" s="5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 spans="1:26" x14ac:dyDescent="0.3">
      <c r="A11" s="49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 ht="17.399999999999999" x14ac:dyDescent="0.35">
      <c r="A12" s="140" t="s">
        <v>814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 spans="1:26" x14ac:dyDescent="0.3">
      <c r="A13" s="41" t="s">
        <v>815</v>
      </c>
      <c r="B13" s="141" t="str">
        <f>IFERROR(INDEX(H17_IED!A14:A24,MATCH(MIN(H17_IED!C14:C24),H17_IED!C14:C24,0)),"N/D")</f>
        <v>Dirección de Salud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x14ac:dyDescent="0.3">
      <c r="A14" s="42" t="s">
        <v>816</v>
      </c>
      <c r="B14" s="125">
        <f>IFERROR(MIN(H17_IED!C14:C24),0)</f>
        <v>0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x14ac:dyDescent="0.3">
      <c r="A15" s="41" t="s">
        <v>817</v>
      </c>
      <c r="B15" s="36" t="str">
        <f>IF(B14&gt;=90,"🔵 Excelencia",IF(B14&gt;=70,"🟢 Por Mandato",IF(B14&gt;=40,"🟡 Transición",IF(B14&gt;=20,"🟠 Por Ocurrencia","🔴 Ruptura — intervención urgente"))))</f>
        <v>🔴 Ruptura — intervención urgente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x14ac:dyDescent="0.3">
      <c r="A16" s="50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 spans="1:26" x14ac:dyDescent="0.3">
      <c r="A17" s="44" t="s">
        <v>533</v>
      </c>
      <c r="B17" s="121" t="s">
        <v>529</v>
      </c>
      <c r="C17" s="121" t="s">
        <v>531</v>
      </c>
      <c r="D17" s="121" t="s">
        <v>818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x14ac:dyDescent="0.3">
      <c r="A18" s="50" t="str">
        <f>H17_IED!A14</f>
        <v>Dirección Económica</v>
      </c>
      <c r="B18" s="67">
        <f>H17_IED!C14</f>
        <v>94.999999999999986</v>
      </c>
      <c r="C18" s="39" t="str">
        <f>H17_IED!E14</f>
        <v>⭐ Excelente</v>
      </c>
      <c r="D18" s="39">
        <f>H17_IED!F14</f>
        <v>0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 spans="1:26" x14ac:dyDescent="0.3">
      <c r="A19" s="49" t="str">
        <f>H17_IED!A15</f>
        <v>Dirección de Obras Públicas</v>
      </c>
      <c r="B19" s="66">
        <f>H17_IED!C15</f>
        <v>34.70694307450745</v>
      </c>
      <c r="C19" s="36" t="str">
        <f>H17_IED!E15</f>
        <v>🔴 Insuficiente</v>
      </c>
      <c r="D19" s="36">
        <f>H17_IED!F15</f>
        <v>1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x14ac:dyDescent="0.3">
      <c r="A20" s="50" t="str">
        <f>H17_IED!A16</f>
        <v>Dirección TIC</v>
      </c>
      <c r="B20" s="67">
        <f>H17_IED!C16</f>
        <v>85</v>
      </c>
      <c r="C20" s="39" t="str">
        <f>H17_IED!E16</f>
        <v>✅ Muy Bueno</v>
      </c>
      <c r="D20" s="39">
        <f>H17_IED!F16</f>
        <v>0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x14ac:dyDescent="0.3">
      <c r="A21" s="49" t="str">
        <f>H17_IED!A17</f>
        <v>Dirección de Salud</v>
      </c>
      <c r="B21" s="66">
        <f>H17_IED!C17</f>
        <v>0</v>
      </c>
      <c r="C21" s="36" t="str">
        <f>H17_IED!E17</f>
        <v>🔴 Insuficiente</v>
      </c>
      <c r="D21" s="36">
        <f>H17_IED!F17</f>
        <v>0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x14ac:dyDescent="0.3">
      <c r="A22" s="50" t="str">
        <f>H17_IED!A18</f>
        <v>Dirección de Educación</v>
      </c>
      <c r="B22" s="67">
        <f>H17_IED!C18</f>
        <v>0</v>
      </c>
      <c r="C22" s="39" t="str">
        <f>H17_IED!E18</f>
        <v>🔴 Insuficiente</v>
      </c>
      <c r="D22" s="39">
        <f>H17_IED!F18</f>
        <v>0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 spans="1:26" x14ac:dyDescent="0.3">
      <c r="A23" s="49" t="str">
        <f>H17_IED!A19</f>
        <v>Patronato Municipal</v>
      </c>
      <c r="B23" s="66">
        <f>H17_IED!C19</f>
        <v>94.918697051547369</v>
      </c>
      <c r="C23" s="36" t="str">
        <f>H17_IED!E19</f>
        <v>✅ Muy Bueno</v>
      </c>
      <c r="D23" s="36">
        <f>H17_IED!F19</f>
        <v>0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x14ac:dyDescent="0.3">
      <c r="A24" s="50" t="str">
        <f>H17_IED!A20</f>
        <v>Dirección Ambiental</v>
      </c>
      <c r="B24" s="67">
        <f>H17_IED!C20</f>
        <v>68.824412490262262</v>
      </c>
      <c r="C24" s="39" t="str">
        <f>H17_IED!E20</f>
        <v>🟡 Regular</v>
      </c>
      <c r="D24" s="39">
        <f>H17_IED!F20</f>
        <v>0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 spans="1:26" x14ac:dyDescent="0.3">
      <c r="A25" s="49" t="str">
        <f>H17_IED!A21</f>
        <v>Dirección Administrativa</v>
      </c>
      <c r="B25" s="66">
        <f>H17_IED!C21</f>
        <v>85.000000000000014</v>
      </c>
      <c r="C25" s="36" t="str">
        <f>H17_IED!E21</f>
        <v>✅ Muy Bueno</v>
      </c>
      <c r="D25" s="36">
        <f>H17_IED!F21</f>
        <v>0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x14ac:dyDescent="0.3">
      <c r="A26" s="50" t="str">
        <f>H17_IED!A22</f>
        <v>Secretaría General</v>
      </c>
      <c r="B26" s="67">
        <f>H17_IED!C22</f>
        <v>0</v>
      </c>
      <c r="C26" s="39" t="str">
        <f>H17_IED!E22</f>
        <v>🔴 Insuficiente</v>
      </c>
      <c r="D26" s="39">
        <f>H17_IED!F22</f>
        <v>0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1:26" x14ac:dyDescent="0.3">
      <c r="A27" s="49" t="str">
        <f>H17_IED!A23</f>
        <v>Dirección de Cultura y Deporte</v>
      </c>
      <c r="B27" s="66">
        <f>H17_IED!C23</f>
        <v>47.8125</v>
      </c>
      <c r="C27" s="36" t="str">
        <f>H17_IED!E23</f>
        <v>🔴 Insuficiente</v>
      </c>
      <c r="D27" s="36">
        <f>H17_IED!F23</f>
        <v>0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x14ac:dyDescent="0.3">
      <c r="A28" s="50" t="str">
        <f>H17_IED!A24</f>
        <v>Dirección de Agua y Saneamiento</v>
      </c>
      <c r="B28" s="67">
        <f>H17_IED!C24</f>
        <v>72.000000000000014</v>
      </c>
      <c r="C28" s="39" t="str">
        <f>H17_IED!E24</f>
        <v>🟡 Regular</v>
      </c>
      <c r="D28" s="39">
        <f>H17_IED!F24</f>
        <v>0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1:26" x14ac:dyDescent="0.3">
      <c r="A29" s="49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8"/>
    </row>
    <row r="30" spans="1:26" x14ac:dyDescent="0.3">
      <c r="A30" s="50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1:26" ht="17.399999999999999" x14ac:dyDescent="0.35">
      <c r="A31" s="142" t="s">
        <v>819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</row>
    <row r="32" spans="1:26" x14ac:dyDescent="0.3">
      <c r="A32" s="42" t="s">
        <v>820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40"/>
    </row>
    <row r="33" spans="1:26" ht="15.6" x14ac:dyDescent="0.3">
      <c r="A33" s="49"/>
      <c r="B33" s="129" t="str">
        <f>IF(ISNUMBER(SEARCH("⚠️",'H21_SAT-I'!B24)),"▶ Revisar universo de metas [SAT-I activa]","")&amp;IF(ISNUMBER(SEARCH("⚠️",'H22_SAT-II'!B38))," | ▶ Verificar unidades medida [SAT-II activa]","")&amp;IF(ISNUMBER(SEARCH("⚠️",'H23_SAT-III'!B24))," | ▶ Revisar inflación indicadores [SAT-III activa]","")&amp;IF(ISNUMBER(SEARCH("⚠️",'H24_SAT-IV'!B45))," | ▶ Documentar ejecución social [SAT-IV activa]","")&amp;IF(AND(NOT(ISNUMBER(SEARCH("⚠️",'H21_SAT-I'!B24))),NOT(ISNUMBER(SEARCH("⚠️",'H22_SAT-II'!B38))),NOT(ISNUMBER(SEARCH("⚠️",'H23_SAT-III'!B24))),NOT(ISNUMBER(SEARCH("⚠️",'H24_SAT-IV'!B45)))),"✅ Sin alertas SAT activas. Sistema en parámetros normales.","")</f>
        <v>✅ Sin alertas SAT activas. Sistema en parámetros normales.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8"/>
    </row>
    <row r="34" spans="1:26" x14ac:dyDescent="0.3">
      <c r="A34" s="50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40"/>
    </row>
    <row r="35" spans="1:26" x14ac:dyDescent="0.3">
      <c r="A35" s="41" t="s">
        <v>821</v>
      </c>
      <c r="B35" s="36" t="str">
        <f>B13</f>
        <v>Dirección de Salud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8"/>
    </row>
    <row r="36" spans="1:26" x14ac:dyDescent="0.3">
      <c r="A36" s="42" t="s">
        <v>822</v>
      </c>
      <c r="B36" s="85">
        <f>SUMPRODUCT(H17_IED!F14:F24)</f>
        <v>1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40"/>
    </row>
    <row r="37" spans="1:26" x14ac:dyDescent="0.3">
      <c r="A37" s="41" t="s">
        <v>823</v>
      </c>
      <c r="B37" s="83">
        <f>COUNTIF(H25_MMP_MENSUAL!BP6:BP25,"🚨*")</f>
        <v>0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8"/>
    </row>
    <row r="38" spans="1:26" x14ac:dyDescent="0.3">
      <c r="A38" s="50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 spans="1:26" x14ac:dyDescent="0.3">
      <c r="A39" s="41" t="s">
        <v>824</v>
      </c>
      <c r="B39" s="57" t="str">
        <f>H01_PARÁMETROS!B13</f>
        <v>2024-12-31T05:00:00.000Z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8"/>
    </row>
    <row r="40" spans="1:26" x14ac:dyDescent="0.3">
      <c r="A40" s="96" t="s">
        <v>825</v>
      </c>
      <c r="B40" s="63" t="s">
        <v>806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4"/>
    </row>
    <row r="42" spans="1:26" ht="17.399999999999999" x14ac:dyDescent="0.35">
      <c r="A42" s="16" t="s">
        <v>870</v>
      </c>
    </row>
    <row r="43" spans="1:26" ht="60" customHeight="1" x14ac:dyDescent="1.2">
      <c r="B43" s="162" t="str">
        <f>IF(H12_MOTOR_ICPI_CANÓNICO!B28&gt;=90,"🔵",IF(H12_MOTOR_ICPI_CANÓNICO!B28&gt;=70,"🟢",IF(H12_MOTOR_ICPI_CANÓNICO!B28&gt;=40,"🟡",IF(H12_MOTOR_ICPI_CANÓNICO!B28&gt;=20,"🟠","🔴"))))</f>
        <v>🟢</v>
      </c>
      <c r="C43" s="163" t="str">
        <f>INT(H12_MOTOR_ICPI_CANÓNICO!B28)&amp;","&amp;TEXT(MOD(H12_MOTOR_ICPI_CANÓNICO!B28,1)*10,"0")&amp;"%"</f>
        <v>72,9%</v>
      </c>
      <c r="D43" s="164">
        <f>H12_MOTOR_ICPI_CANÓNICO!B28</f>
        <v>72.933457177838463</v>
      </c>
    </row>
    <row r="44" spans="1:26" x14ac:dyDescent="0.3">
      <c r="A44" s="9" t="str">
        <f>"Período: "&amp;H01_PARÁMETROS!B10&amp;" | Corte: "&amp;TEXT(H01_PARÁMETROS!B13,"DD/MM/YYYY")</f>
        <v>Período: 2024-2027 | Corte: 2024-12-31T05:00:00.000Z</v>
      </c>
    </row>
    <row r="45" spans="1:26" x14ac:dyDescent="0.3">
      <c r="A45" s="9" t="s">
        <v>871</v>
      </c>
    </row>
  </sheetData>
  <conditionalFormatting sqref="B6">
    <cfRule type="cellIs" dxfId="14" priority="6" operator="greaterThanOrEqual">
      <formula>90</formula>
    </cfRule>
    <cfRule type="cellIs" dxfId="13" priority="7" operator="greaterThanOrEqual">
      <formula>70</formula>
    </cfRule>
    <cfRule type="cellIs" dxfId="12" priority="8" operator="greaterThanOrEqual">
      <formula>40</formula>
    </cfRule>
    <cfRule type="cellIs" dxfId="11" priority="9" operator="greaterThanOrEqual">
      <formula>20</formula>
    </cfRule>
    <cfRule type="cellIs" dxfId="10" priority="10" operator="lessThan">
      <formula>20</formula>
    </cfRule>
  </conditionalFormatting>
  <conditionalFormatting sqref="B18:B28">
    <cfRule type="cellIs" dxfId="9" priority="1" operator="greaterThanOrEqual">
      <formula>90</formula>
    </cfRule>
    <cfRule type="cellIs" dxfId="8" priority="2" operator="greaterThanOrEqual">
      <formula>70</formula>
    </cfRule>
    <cfRule type="cellIs" dxfId="7" priority="3" operator="greaterThanOrEqual">
      <formula>40</formula>
    </cfRule>
    <cfRule type="cellIs" dxfId="6" priority="4" operator="greaterThanOrEqual">
      <formula>20</formula>
    </cfRule>
    <cfRule type="cellIs" dxfId="5" priority="5" operator="lessThan">
      <formula>20</formula>
    </cfRule>
  </conditionalFormatting>
  <hyperlinks>
    <hyperlink ref="B1" location="'H00_ÍNDICE'!A1" display="⬅️ ÍNDICE GENERAL" xr:uid="{C79E67D7-BACC-4806-AEB8-1CA3B86E38BB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69B6-18D4-48A0-84BB-EEE2E8A2FEC7}">
  <sheetPr>
    <tabColor rgb="FF1E40AF"/>
  </sheetPr>
  <dimension ref="A1:G28"/>
  <sheetViews>
    <sheetView zoomScale="62" zoomScaleNormal="62" workbookViewId="0">
      <pane ySplit="2" topLeftCell="A3" activePane="bottomLeft" state="frozen"/>
      <selection pane="bottomLeft" activeCell="A28" sqref="A28"/>
    </sheetView>
  </sheetViews>
  <sheetFormatPr baseColWidth="10" defaultRowHeight="14.4" x14ac:dyDescent="0.3"/>
  <cols>
    <col min="1" max="1" width="55.5546875" customWidth="1"/>
    <col min="2" max="2" width="63" customWidth="1"/>
    <col min="3" max="3" width="43.33203125" bestFit="1" customWidth="1"/>
    <col min="4" max="4" width="25" bestFit="1" customWidth="1"/>
    <col min="5" max="5" width="14.21875" bestFit="1" customWidth="1"/>
    <col min="6" max="6" width="15" bestFit="1" customWidth="1"/>
    <col min="7" max="7" width="44.33203125" bestFit="1" customWidth="1"/>
  </cols>
  <sheetData>
    <row r="1" spans="1:7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1158</v>
      </c>
      <c r="E1" s="212" t="str">
        <f ca="1">TEXT(TODAY(),"DD/MM/YYYY")</f>
        <v>05/04/2026</v>
      </c>
    </row>
    <row r="2" spans="1:7" ht="25.05" customHeight="1" x14ac:dyDescent="0.35">
      <c r="A2" s="16" t="s">
        <v>1176</v>
      </c>
    </row>
    <row r="3" spans="1:7" ht="16.05" customHeight="1" x14ac:dyDescent="0.3">
      <c r="A3" s="224" t="s">
        <v>1177</v>
      </c>
    </row>
    <row r="5" spans="1:7" x14ac:dyDescent="0.3">
      <c r="A5" s="2" t="s">
        <v>872</v>
      </c>
      <c r="B5" s="2" t="s">
        <v>873</v>
      </c>
      <c r="C5" s="2" t="s">
        <v>529</v>
      </c>
      <c r="D5" s="2" t="s">
        <v>408</v>
      </c>
      <c r="E5" s="2" t="s">
        <v>531</v>
      </c>
      <c r="F5" s="2" t="s">
        <v>534</v>
      </c>
      <c r="G5" s="2" t="s">
        <v>874</v>
      </c>
    </row>
    <row r="6" spans="1:7" x14ac:dyDescent="0.3">
      <c r="A6" s="166" t="str">
        <f>H17_IED!A14</f>
        <v>Dirección Económica</v>
      </c>
      <c r="B6" s="166">
        <f>H17_IED!B14</f>
        <v>1</v>
      </c>
      <c r="C6" s="167">
        <f>H17_IED!C14</f>
        <v>94.999999999999986</v>
      </c>
      <c r="D6" s="166" t="str">
        <f>H17_IED!E14</f>
        <v>⭐ Excelente</v>
      </c>
      <c r="E6" s="166" t="str">
        <f t="shared" ref="E6:E16" si="0">IF(C6&gt;=95,"⭐ Excelente",IF(C6&gt;=85,"✅ Muy Bueno",IF(C6&gt;=75,"🟡 Satisfactorio",IF(C6&gt;=60,"🟠 Regular","🔴 Insuficiente"))))</f>
        <v>⭐ Excelente</v>
      </c>
      <c r="F6" s="168">
        <f>H17_IED!F14</f>
        <v>0</v>
      </c>
      <c r="G6" s="166" t="str">
        <f t="shared" ref="G6:G16" si="1">IF(C6&gt;=85,"✅ Sin acción requerida",IF(C6&gt;=60,"📋 Monitoreo quincenal requerido","🔴 Reunión urgente Alcalde — plan correctivo 30 días"))</f>
        <v>✅ Sin acción requerida</v>
      </c>
    </row>
    <row r="7" spans="1:7" x14ac:dyDescent="0.3">
      <c r="A7" s="169" t="str">
        <f>H17_IED!A15</f>
        <v>Dirección de Obras Públicas</v>
      </c>
      <c r="B7" s="169">
        <f>H17_IED!B15</f>
        <v>4</v>
      </c>
      <c r="C7" s="170">
        <f>H17_IED!C15</f>
        <v>34.70694307450745</v>
      </c>
      <c r="D7" s="169" t="str">
        <f>H17_IED!E15</f>
        <v>🔴 Insuficiente</v>
      </c>
      <c r="E7" s="169" t="str">
        <f t="shared" si="0"/>
        <v>🔴 Insuficiente</v>
      </c>
      <c r="F7" s="171">
        <f>H17_IED!F15</f>
        <v>1</v>
      </c>
      <c r="G7" s="169" t="str">
        <f t="shared" si="1"/>
        <v>🔴 Reunión urgente Alcalde — plan correctivo 30 días</v>
      </c>
    </row>
    <row r="8" spans="1:7" x14ac:dyDescent="0.3">
      <c r="A8" s="166" t="str">
        <f>H17_IED!A16</f>
        <v>Dirección TIC</v>
      </c>
      <c r="B8" s="166">
        <f>H17_IED!B16</f>
        <v>1</v>
      </c>
      <c r="C8" s="167">
        <f>H17_IED!C16</f>
        <v>85</v>
      </c>
      <c r="D8" s="166" t="str">
        <f>H17_IED!E16</f>
        <v>✅ Muy Bueno</v>
      </c>
      <c r="E8" s="166" t="str">
        <f t="shared" si="0"/>
        <v>✅ Muy Bueno</v>
      </c>
      <c r="F8" s="168">
        <f>H17_IED!F16</f>
        <v>0</v>
      </c>
      <c r="G8" s="166" t="str">
        <f t="shared" si="1"/>
        <v>✅ Sin acción requerida</v>
      </c>
    </row>
    <row r="9" spans="1:7" x14ac:dyDescent="0.3">
      <c r="A9" s="169" t="str">
        <f>H17_IED!A17</f>
        <v>Dirección de Salud</v>
      </c>
      <c r="B9" s="169">
        <f>H17_IED!B17</f>
        <v>0</v>
      </c>
      <c r="C9" s="170">
        <f>H17_IED!C17</f>
        <v>0</v>
      </c>
      <c r="D9" s="169" t="str">
        <f>H17_IED!E17</f>
        <v>🔴 Insuficiente</v>
      </c>
      <c r="E9" s="169" t="str">
        <f t="shared" si="0"/>
        <v>🔴 Insuficiente</v>
      </c>
      <c r="F9" s="171">
        <f>H17_IED!F17</f>
        <v>0</v>
      </c>
      <c r="G9" s="169" t="str">
        <f t="shared" si="1"/>
        <v>🔴 Reunión urgente Alcalde — plan correctivo 30 días</v>
      </c>
    </row>
    <row r="10" spans="1:7" x14ac:dyDescent="0.3">
      <c r="A10" s="166" t="str">
        <f>H17_IED!A18</f>
        <v>Dirección de Educación</v>
      </c>
      <c r="B10" s="166">
        <f>H17_IED!B18</f>
        <v>0</v>
      </c>
      <c r="C10" s="167">
        <f>H17_IED!C18</f>
        <v>0</v>
      </c>
      <c r="D10" s="166" t="str">
        <f>H17_IED!E18</f>
        <v>🔴 Insuficiente</v>
      </c>
      <c r="E10" s="166" t="str">
        <f t="shared" si="0"/>
        <v>🔴 Insuficiente</v>
      </c>
      <c r="F10" s="168">
        <f>H17_IED!F18</f>
        <v>0</v>
      </c>
      <c r="G10" s="166" t="str">
        <f t="shared" si="1"/>
        <v>🔴 Reunión urgente Alcalde — plan correctivo 30 días</v>
      </c>
    </row>
    <row r="11" spans="1:7" x14ac:dyDescent="0.3">
      <c r="A11" s="169" t="str">
        <f>H17_IED!A19</f>
        <v>Patronato Municipal</v>
      </c>
      <c r="B11" s="169">
        <f>H17_IED!B19</f>
        <v>2</v>
      </c>
      <c r="C11" s="170">
        <f>H17_IED!C19</f>
        <v>94.918697051547369</v>
      </c>
      <c r="D11" s="169" t="str">
        <f>H17_IED!E19</f>
        <v>✅ Muy Bueno</v>
      </c>
      <c r="E11" s="169" t="str">
        <f t="shared" si="0"/>
        <v>✅ Muy Bueno</v>
      </c>
      <c r="F11" s="171">
        <f>H17_IED!F19</f>
        <v>0</v>
      </c>
      <c r="G11" s="169" t="str">
        <f t="shared" si="1"/>
        <v>✅ Sin acción requerida</v>
      </c>
    </row>
    <row r="12" spans="1:7" x14ac:dyDescent="0.3">
      <c r="A12" s="166" t="str">
        <f>H17_IED!A20</f>
        <v>Dirección Ambiental</v>
      </c>
      <c r="B12" s="166">
        <f>H17_IED!B20</f>
        <v>3</v>
      </c>
      <c r="C12" s="167">
        <f>H17_IED!C20</f>
        <v>68.824412490262262</v>
      </c>
      <c r="D12" s="166" t="str">
        <f>H17_IED!E20</f>
        <v>🟡 Regular</v>
      </c>
      <c r="E12" s="166" t="str">
        <f t="shared" si="0"/>
        <v>🟠 Regular</v>
      </c>
      <c r="F12" s="168">
        <f>H17_IED!F20</f>
        <v>0</v>
      </c>
      <c r="G12" s="166" t="str">
        <f t="shared" si="1"/>
        <v>📋 Monitoreo quincenal requerido</v>
      </c>
    </row>
    <row r="13" spans="1:7" x14ac:dyDescent="0.3">
      <c r="A13" s="169" t="str">
        <f>H17_IED!A21</f>
        <v>Dirección Administrativa</v>
      </c>
      <c r="B13" s="169">
        <f>H17_IED!B21</f>
        <v>1</v>
      </c>
      <c r="C13" s="170">
        <f>H17_IED!C21</f>
        <v>85.000000000000014</v>
      </c>
      <c r="D13" s="169" t="str">
        <f>H17_IED!E21</f>
        <v>✅ Muy Bueno</v>
      </c>
      <c r="E13" s="169" t="str">
        <f t="shared" si="0"/>
        <v>✅ Muy Bueno</v>
      </c>
      <c r="F13" s="171">
        <f>H17_IED!F21</f>
        <v>0</v>
      </c>
      <c r="G13" s="169" t="str">
        <f t="shared" si="1"/>
        <v>✅ Sin acción requerida</v>
      </c>
    </row>
    <row r="14" spans="1:7" x14ac:dyDescent="0.3">
      <c r="A14" s="166" t="str">
        <f>H17_IED!A22</f>
        <v>Secretaría General</v>
      </c>
      <c r="B14" s="166">
        <f>H17_IED!B22</f>
        <v>0</v>
      </c>
      <c r="C14" s="167">
        <f>H17_IED!C22</f>
        <v>0</v>
      </c>
      <c r="D14" s="166" t="str">
        <f>H17_IED!E22</f>
        <v>🔴 Insuficiente</v>
      </c>
      <c r="E14" s="166" t="str">
        <f t="shared" si="0"/>
        <v>🔴 Insuficiente</v>
      </c>
      <c r="F14" s="168">
        <f>H17_IED!F22</f>
        <v>0</v>
      </c>
      <c r="G14" s="166" t="str">
        <f t="shared" si="1"/>
        <v>🔴 Reunión urgente Alcalde — plan correctivo 30 días</v>
      </c>
    </row>
    <row r="15" spans="1:7" x14ac:dyDescent="0.3">
      <c r="A15" s="169" t="str">
        <f>H17_IED!A23</f>
        <v>Dirección de Cultura y Deporte</v>
      </c>
      <c r="B15" s="169">
        <f>H17_IED!B23</f>
        <v>1</v>
      </c>
      <c r="C15" s="170">
        <f>H17_IED!C23</f>
        <v>47.8125</v>
      </c>
      <c r="D15" s="169" t="str">
        <f>H17_IED!E23</f>
        <v>🔴 Insuficiente</v>
      </c>
      <c r="E15" s="169" t="str">
        <f t="shared" si="0"/>
        <v>🔴 Insuficiente</v>
      </c>
      <c r="F15" s="171">
        <f>H17_IED!F23</f>
        <v>0</v>
      </c>
      <c r="G15" s="169" t="str">
        <f t="shared" si="1"/>
        <v>🔴 Reunión urgente Alcalde — plan correctivo 30 días</v>
      </c>
    </row>
    <row r="16" spans="1:7" x14ac:dyDescent="0.3">
      <c r="A16" s="166" t="str">
        <f>H17_IED!A24</f>
        <v>Dirección de Agua y Saneamiento</v>
      </c>
      <c r="B16" s="166">
        <f>H17_IED!B24</f>
        <v>2</v>
      </c>
      <c r="C16" s="167">
        <f>H17_IED!C24</f>
        <v>72.000000000000014</v>
      </c>
      <c r="D16" s="166" t="str">
        <f>H17_IED!E24</f>
        <v>🟡 Regular</v>
      </c>
      <c r="E16" s="166" t="str">
        <f t="shared" si="0"/>
        <v>🟠 Regular</v>
      </c>
      <c r="F16" s="168">
        <f>H17_IED!F24</f>
        <v>0</v>
      </c>
      <c r="G16" s="166" t="str">
        <f t="shared" si="1"/>
        <v>📋 Monitoreo quincenal requerido</v>
      </c>
    </row>
    <row r="17" spans="1:7" x14ac:dyDescent="0.3">
      <c r="A17" s="4" t="s">
        <v>875</v>
      </c>
      <c r="B17" s="172"/>
      <c r="C17" s="173">
        <f>H17_IED!B26</f>
        <v>53.023868419665185</v>
      </c>
      <c r="D17" s="172" t="str">
        <f>H17_IED!C26</f>
        <v>← Referenciado por H28 y H29</v>
      </c>
      <c r="E17" s="172"/>
      <c r="F17" s="172"/>
      <c r="G17" s="172"/>
    </row>
    <row r="19" spans="1:7" x14ac:dyDescent="0.3">
      <c r="A19" s="165" t="s">
        <v>876</v>
      </c>
    </row>
    <row r="20" spans="1:7" x14ac:dyDescent="0.3">
      <c r="A20" s="174" t="s">
        <v>877</v>
      </c>
    </row>
    <row r="22" spans="1:7" x14ac:dyDescent="0.3">
      <c r="A22" s="4" t="s">
        <v>878</v>
      </c>
    </row>
    <row r="23" spans="1:7" x14ac:dyDescent="0.3">
      <c r="A23" s="2" t="s">
        <v>879</v>
      </c>
      <c r="B23" s="2" t="s">
        <v>880</v>
      </c>
      <c r="C23" s="2" t="s">
        <v>881</v>
      </c>
      <c r="D23" s="2" t="s">
        <v>882</v>
      </c>
    </row>
    <row r="24" spans="1:7" x14ac:dyDescent="0.3">
      <c r="A24" s="166" t="s">
        <v>883</v>
      </c>
      <c r="B24" s="166" t="s">
        <v>884</v>
      </c>
      <c r="C24" s="166" t="s">
        <v>885</v>
      </c>
      <c r="D24" s="166" t="s">
        <v>886</v>
      </c>
    </row>
    <row r="25" spans="1:7" x14ac:dyDescent="0.3">
      <c r="A25" s="169" t="s">
        <v>887</v>
      </c>
      <c r="B25" s="169" t="s">
        <v>888</v>
      </c>
      <c r="C25" s="169" t="s">
        <v>889</v>
      </c>
      <c r="D25" s="169" t="s">
        <v>890</v>
      </c>
    </row>
    <row r="26" spans="1:7" x14ac:dyDescent="0.3">
      <c r="A26" s="166" t="s">
        <v>891</v>
      </c>
      <c r="B26" s="166" t="s">
        <v>892</v>
      </c>
      <c r="C26" s="166" t="s">
        <v>893</v>
      </c>
      <c r="D26" s="166" t="s">
        <v>894</v>
      </c>
    </row>
    <row r="27" spans="1:7" x14ac:dyDescent="0.3">
      <c r="A27" s="169" t="s">
        <v>895</v>
      </c>
      <c r="B27" s="169" t="s">
        <v>896</v>
      </c>
      <c r="C27" s="169" t="s">
        <v>897</v>
      </c>
      <c r="D27" s="169" t="s">
        <v>898</v>
      </c>
    </row>
    <row r="28" spans="1:7" x14ac:dyDescent="0.3">
      <c r="A28" s="252" t="s">
        <v>899</v>
      </c>
      <c r="B28" s="166" t="s">
        <v>900</v>
      </c>
      <c r="C28" s="166" t="s">
        <v>901</v>
      </c>
      <c r="D28" s="166" t="s">
        <v>902</v>
      </c>
    </row>
  </sheetData>
  <conditionalFormatting sqref="C6:C16">
    <cfRule type="cellIs" dxfId="4" priority="1" operator="greaterThanOrEqual">
      <formula>90</formula>
    </cfRule>
    <cfRule type="cellIs" dxfId="3" priority="2" operator="greaterThanOrEqual">
      <formula>70</formula>
    </cfRule>
    <cfRule type="cellIs" dxfId="2" priority="3" operator="greaterThanOrEqual">
      <formula>40</formula>
    </cfRule>
    <cfRule type="cellIs" dxfId="1" priority="4" operator="greaterThanOrEqual">
      <formula>20</formula>
    </cfRule>
    <cfRule type="cellIs" dxfId="0" priority="5" operator="lessThan">
      <formula>20</formula>
    </cfRule>
  </conditionalFormatting>
  <hyperlinks>
    <hyperlink ref="B1" location="'H00_ÍNDICE'!A1" display="⬅️ ÍNDICE GENERAL" xr:uid="{BEB3ACA4-16BF-4123-97F2-AEC802F0D88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FA63-E242-4732-BCE1-43DAC021D55D}">
  <sheetPr>
    <tabColor rgb="FFE53E3E"/>
  </sheetPr>
  <dimension ref="A1:F135"/>
  <sheetViews>
    <sheetView zoomScale="70" zoomScaleNormal="70" workbookViewId="0">
      <pane ySplit="2" topLeftCell="A109" activePane="bottomLeft" state="frozen"/>
      <selection pane="bottomLeft" activeCell="A135" sqref="A135"/>
    </sheetView>
  </sheetViews>
  <sheetFormatPr baseColWidth="10" defaultRowHeight="14.4" x14ac:dyDescent="0.3"/>
  <cols>
    <col min="1" max="1" width="55.5546875" customWidth="1"/>
    <col min="2" max="2" width="109.77734375" customWidth="1"/>
    <col min="3" max="3" width="64.44140625" bestFit="1" customWidth="1"/>
    <col min="4" max="4" width="15.77734375" bestFit="1" customWidth="1"/>
    <col min="5" max="5" width="16.44140625" bestFit="1" customWidth="1"/>
    <col min="6" max="6" width="44.44140625" bestFit="1" customWidth="1"/>
  </cols>
  <sheetData>
    <row r="1" spans="1:5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1159</v>
      </c>
      <c r="E1" s="212" t="str">
        <f ca="1">TEXT(TODAY(),"DD/MM/YYYY")</f>
        <v>05/04/2026</v>
      </c>
    </row>
    <row r="2" spans="1:5" ht="25.05" customHeight="1" x14ac:dyDescent="0.35">
      <c r="A2" s="225" t="s">
        <v>903</v>
      </c>
    </row>
    <row r="3" spans="1:5" ht="16.05" customHeight="1" x14ac:dyDescent="0.3">
      <c r="A3" s="224" t="s">
        <v>1178</v>
      </c>
    </row>
    <row r="5" spans="1:5" x14ac:dyDescent="0.3">
      <c r="A5" s="24" t="s">
        <v>904</v>
      </c>
    </row>
    <row r="6" spans="1:5" x14ac:dyDescent="0.3">
      <c r="A6" s="3" t="s">
        <v>905</v>
      </c>
      <c r="B6" t="str">
        <f>H01_PARÁMETROS!B6</f>
        <v>GAD Municipal de Montecristi</v>
      </c>
    </row>
    <row r="7" spans="1:5" x14ac:dyDescent="0.3">
      <c r="A7" s="3" t="s">
        <v>906</v>
      </c>
      <c r="B7" t="str">
        <f>H01_PARÁMETROS!B10</f>
        <v>2024-2027</v>
      </c>
    </row>
    <row r="8" spans="1:5" x14ac:dyDescent="0.3">
      <c r="A8" s="3" t="s">
        <v>907</v>
      </c>
      <c r="B8" t="str">
        <f>H01_PARÁMETROS!B11</f>
        <v>Ing. Jonathan Toro Largacha</v>
      </c>
    </row>
    <row r="9" spans="1:5" x14ac:dyDescent="0.3">
      <c r="A9" s="3" t="s">
        <v>908</v>
      </c>
      <c r="B9" t="str">
        <f ca="1">TEXT(TODAY(),"DD/MM/YYYY")</f>
        <v>05/04/2026</v>
      </c>
    </row>
    <row r="10" spans="1:5" x14ac:dyDescent="0.3">
      <c r="A10" s="3" t="s">
        <v>909</v>
      </c>
      <c r="B10" t="str">
        <f>INT(H12_MOTOR_ICPI_CANÓNICO!B28)&amp;","&amp;TEXT(MOD(H12_MOTOR_ICPI_CANÓNICO!B28,1)*10,"0")&amp;"%"</f>
        <v>72,9%</v>
      </c>
    </row>
    <row r="11" spans="1:5" ht="15.6" x14ac:dyDescent="0.3">
      <c r="A11" s="3" t="s">
        <v>830</v>
      </c>
      <c r="B11" s="11">
        <f>H12_MOTOR_ICPI_CANÓNICO!B28</f>
        <v>72.933457177838463</v>
      </c>
    </row>
    <row r="12" spans="1:5" x14ac:dyDescent="0.3">
      <c r="A12" s="3" t="s">
        <v>910</v>
      </c>
      <c r="B12" t="str">
        <f>INT(H12_MOTOR_ICPI_CANÓNICO!B28)&amp;","&amp;TEXT(MOD(H12_MOTOR_ICPI_CANÓNICO!B28,1)*10,"0")&amp;"%"</f>
        <v>72,9%</v>
      </c>
    </row>
    <row r="14" spans="1:5" x14ac:dyDescent="0.3">
      <c r="A14" s="24" t="s">
        <v>911</v>
      </c>
    </row>
    <row r="15" spans="1:5" x14ac:dyDescent="0.3">
      <c r="A15" s="175" t="str">
        <f>"Durante el período "&amp;H01_PARÁMETROS!B10&amp;", el GAD Municipal de "&amp;H01_PARÁMETROS!B6&amp;" registró un ICPI de "&amp;INT(H12_MOTOR_ICPI_CANÓNICO!B28)&amp;","&amp;TEXT(MOD(H12_MOTOR_ICPI_CANÓNICO!B28,1)*10,"0")&amp;"%, clasificado como '"&amp;H12_MOTOR_ICPI_CANÓNICO!B29&amp;"' según la Escala AVEP del Sistema TERRA SIAP-ICPI v2.0. El ICM auto-reportado al SIGAD fue de "&amp;INT(H12_MOTOR_ICPI_CANÓNICO!B30)&amp;","&amp;TEXT(MOD(H12_MOTOR_ICPI_CANÓNICO!B30,1)*10,"0")&amp;"%, generando una brecha de "&amp;INT(H12_MOTOR_ICPI_CANÓNICO!B31)&amp;","&amp;TEXT(MOD(H12_MOTOR_ICPI_CANÓNICO!B31,1)*10,"0")&amp;" puntos porcentuales que el sistema documenta con evidencia cruzada de 9 silos independientes."</f>
        <v>Durante el período 2024-2027, el GAD Municipal de GAD Municipal de Montecristi registró un ICPI de 72,9%, clasificado como '🟢 Gestión por Mandato' según la Escala AVEP del Sistema TERRA SIAP-ICPI v2.0. El ICM auto-reportado al SIGAD fue de 100,0%, generando una brecha de 27,1 puntos porcentuales que el sistema documenta con evidencia cruzada de 9 silos independientes.</v>
      </c>
    </row>
    <row r="17" spans="1:6" x14ac:dyDescent="0.3">
      <c r="A17" s="24" t="s">
        <v>912</v>
      </c>
    </row>
    <row r="18" spans="1:6" x14ac:dyDescent="0.3">
      <c r="A18" s="2" t="s">
        <v>192</v>
      </c>
      <c r="B18" s="2" t="s">
        <v>381</v>
      </c>
      <c r="C18" s="2" t="s">
        <v>913</v>
      </c>
      <c r="D18" s="2" t="s">
        <v>914</v>
      </c>
      <c r="E18" s="2" t="s">
        <v>915</v>
      </c>
      <c r="F18" s="2" t="s">
        <v>916</v>
      </c>
    </row>
    <row r="19" spans="1:6" x14ac:dyDescent="0.3">
      <c r="A19" s="169" t="str">
        <f>H04_S2_PLANIFICACIÓN_PDOT!A6</f>
        <v>SC-I-N-01</v>
      </c>
      <c r="B19" s="169" t="str">
        <f>H04_S2_PLANIFICACIÓN_PDOT!B6</f>
        <v>Agua potable: cobertura 39.25%→42.38%; calidad 100% INEN 1108; infraestructura BUENA 22.74%→41.64%</v>
      </c>
      <c r="C19" s="169">
        <f>H04_S2_PLANIFICACIÓN_PDOT!N6</f>
        <v>42.38</v>
      </c>
      <c r="D19" s="169" t="str">
        <f>INT(H12_MOTOR_ICPI_CANÓNICO!J6)&amp;","&amp;TEXT(MOD(H12_MOTOR_ICPI_CANÓNICO!J6,1)*10,"0")&amp;"%"</f>
        <v>95,0%</v>
      </c>
      <c r="E19" s="169" t="str">
        <f>H12_MOTOR_ICPI_CANÓNICO!K6</f>
        <v>🔵 Excelencia</v>
      </c>
      <c r="F19" s="169" t="str">
        <f>IFERROR(H09_S7_TRANSPARENCIA_LOTAIP!E7,"Sin URL registrada")</f>
        <v>https://montecristi.gob.ec/transparencia/k/pdot001</v>
      </c>
    </row>
    <row r="20" spans="1:6" x14ac:dyDescent="0.3">
      <c r="A20" s="166" t="str">
        <f>H04_S2_PLANIFICACIÓN_PDOT!A7</f>
        <v>SC-L-N-02</v>
      </c>
      <c r="B20" s="166" t="str">
        <f>H04_S2_PLANIFICACIÓN_PDOT!B7</f>
        <v>Gestión del talento humano municipal: desempeño 80%→90%; plan capacitación 90% anual</v>
      </c>
      <c r="C20" s="166">
        <f>H04_S2_PLANIFICACIÓN_PDOT!N7</f>
        <v>90</v>
      </c>
      <c r="D20" s="166" t="str">
        <f>INT(H12_MOTOR_ICPI_CANÓNICO!J7)&amp;","&amp;TEXT(MOD(H12_MOTOR_ICPI_CANÓNICO!J7,1)*10,"0")&amp;"%"</f>
        <v>85,0%</v>
      </c>
      <c r="E20" s="166" t="str">
        <f>H12_MOTOR_ICPI_CANÓNICO!K7</f>
        <v>🟢 Por Mandato</v>
      </c>
      <c r="F20" s="166" t="str">
        <f>IFERROR(H09_S7_TRANSPARENCIA_LOTAIP!E8,"Sin URL registrada")</f>
        <v>https://montecristi.gob.ec/transparencia/k/pdot002</v>
      </c>
    </row>
    <row r="21" spans="1:6" x14ac:dyDescent="0.3">
      <c r="A21" s="169" t="str">
        <f>H04_S2_PLANIFICACIÓN_PDOT!A8</f>
        <v>AH-I-X-01</v>
      </c>
      <c r="B21" s="169" t="str">
        <f>H04_S2_PLANIFICACIÓN_PDOT!B8</f>
        <v>Sostenibilidad financiera: autonomía 43.35%→45.30%; gestión cobros y coactivas</v>
      </c>
      <c r="C21" s="169">
        <f>H04_S2_PLANIFICACIÓN_PDOT!N8</f>
        <v>45.3</v>
      </c>
      <c r="D21" s="169" t="str">
        <f>INT(H12_MOTOR_ICPI_CANÓNICO!J8)&amp;","&amp;TEXT(MOD(H12_MOTOR_ICPI_CANÓNICO!J8,1)*10,"0")&amp;"%"</f>
        <v>58,3%</v>
      </c>
      <c r="E21" s="169" t="str">
        <f>H12_MOTOR_ICPI_CANÓNICO!K8</f>
        <v>🟡 Transición</v>
      </c>
      <c r="F21" s="169" t="str">
        <f>IFERROR(H09_S7_TRANSPARENCIA_LOTAIP!E9,"Sin URL registrada")</f>
        <v>https://montecristi.gob.ec/transparencia/a4/pdot003</v>
      </c>
    </row>
    <row r="22" spans="1:6" x14ac:dyDescent="0.3">
      <c r="A22" s="166" t="str">
        <f>H04_S2_PLANIFICACIÓN_PDOT!A9</f>
        <v>AH-I-X-02</v>
      </c>
      <c r="B22" s="166" t="str">
        <f>H04_S2_PLANIFICACIÓN_PDOT!B9</f>
        <v>Vialidad cantonal: mantenimiento 43.8 km vías CUP + 57.22 km rurales; 23.77 km tratamiento medio</v>
      </c>
      <c r="C22" s="166">
        <f>H04_S2_PLANIFICACIÓN_PDOT!N9</f>
        <v>130.21</v>
      </c>
      <c r="D22" s="166" t="str">
        <f>INT(H12_MOTOR_ICPI_CANÓNICO!J9)&amp;","&amp;TEXT(MOD(H12_MOTOR_ICPI_CANÓNICO!J9,1)*10,"0")&amp;"%"</f>
        <v>0,0%</v>
      </c>
      <c r="E22" s="166" t="str">
        <f>H12_MOTOR_ICPI_CANÓNICO!K9</f>
        <v>🔴 Ruptura</v>
      </c>
      <c r="F22" s="166" t="str">
        <f>IFERROR(H09_S7_TRANSPARENCIA_LOTAIP!E10,"Sin URL registrada")</f>
        <v>https://montecristi.gob.ec/transparencia/k/pdot004</v>
      </c>
    </row>
    <row r="23" spans="1:6" x14ac:dyDescent="0.3">
      <c r="A23" s="169" t="str">
        <f>H04_S2_PLANIFICACIÓN_PDOT!A10</f>
        <v>AH-I-X-03</v>
      </c>
      <c r="B23" s="169" t="str">
        <f>H04_S2_PLANIFICACIÓN_PDOT!B10</f>
        <v>Salud integral municipal: población atendida 57,401→84,041 personas (+10% anual)</v>
      </c>
      <c r="C23" s="169">
        <f>H04_S2_PLANIFICACIÓN_PDOT!N10</f>
        <v>84041</v>
      </c>
      <c r="D23" s="169" t="str">
        <f>INT(H12_MOTOR_ICPI_CANÓNICO!J10)&amp;","&amp;TEXT(MOD(H12_MOTOR_ICPI_CANÓNICO!J10,1)*10,"0")&amp;"%"</f>
        <v>58,3%</v>
      </c>
      <c r="E23" s="169" t="str">
        <f>H12_MOTOR_ICPI_CANÓNICO!K10</f>
        <v>🟡 Transición</v>
      </c>
      <c r="F23" s="169" t="str">
        <f>IFERROR(H09_S7_TRANSPARENCIA_LOTAIP!E11,"Sin URL registrada")</f>
        <v>https://montecristi.gob.ec/transparencia/a1/pdot005</v>
      </c>
    </row>
    <row r="24" spans="1:6" x14ac:dyDescent="0.3">
      <c r="A24" s="166" t="str">
        <f>H04_S2_PLANIFICACIÓN_PDOT!A11</f>
        <v>AH-I-N-01</v>
      </c>
      <c r="B24" s="166" t="str">
        <f>H04_S2_PLANIFICACIÓN_PDOT!B11</f>
        <v>Gestión integral desechos sólidos: 20,118→23,086 Tn/año; relleno sanitario; capacidad disposición 0%→20%</v>
      </c>
      <c r="C24" s="166">
        <f>H04_S2_PLANIFICACIÓN_PDOT!N11</f>
        <v>23086.94</v>
      </c>
      <c r="D24" s="166" t="str">
        <f>INT(H12_MOTOR_ICPI_CANÓNICO!J11)&amp;","&amp;TEXT(MOD(H12_MOTOR_ICPI_CANÓNICO!J11,1)*10,"0")&amp;"%"</f>
        <v>22,5%</v>
      </c>
      <c r="E24" s="166" t="str">
        <f>H12_MOTOR_ICPI_CANÓNICO!K11</f>
        <v>🟠 Por Ocurrencia</v>
      </c>
      <c r="F24" s="166" t="str">
        <f>IFERROR(H09_S7_TRANSPARENCIA_LOTAIP!E12,"Sin URL registrada")</f>
        <v>https://montecristi.gob.ec/transparencia/m/pdot006</v>
      </c>
    </row>
    <row r="25" spans="1:6" x14ac:dyDescent="0.3">
      <c r="A25" s="169" t="str">
        <f>H04_S2_PLANIFICACIÓN_PDOT!A12</f>
        <v>SC-L-G-01</v>
      </c>
      <c r="B25" s="169" t="str">
        <f>H04_S2_PLANIFICACIÓN_PDOT!B12</f>
        <v>Alcantarillado sanitario: cobertura 19.77%→24.32%; PTAR 0%→75%; estaciones bombeo 36%→72%</v>
      </c>
      <c r="C25" s="169">
        <f>H04_S2_PLANIFICACIÓN_PDOT!N12</f>
        <v>24.32</v>
      </c>
      <c r="D25" s="169" t="str">
        <f>INT(H12_MOTOR_ICPI_CANÓNICO!J12)&amp;","&amp;TEXT(MOD(H12_MOTOR_ICPI_CANÓNICO!J12,1)*10,"0")&amp;"%"</f>
        <v>47,8%</v>
      </c>
      <c r="E25" s="169" t="str">
        <f>H12_MOTOR_ICPI_CANÓNICO!K12</f>
        <v>🟡 Transición</v>
      </c>
      <c r="F25" s="169" t="str">
        <f>IFERROR(H09_S7_TRANSPARENCIA_LOTAIP!E13,"Sin URL registrada")</f>
        <v>https://montecristi.gob.ec/transparencia/m/pdot007</v>
      </c>
    </row>
    <row r="26" spans="1:6" x14ac:dyDescent="0.3">
      <c r="A26" s="166" t="str">
        <f>H04_S2_PLANIFICACIÓN_PDOT!A13</f>
        <v>AH-I-X-04</v>
      </c>
      <c r="B26" s="166" t="str">
        <f>H04_S2_PLANIFICACIÓN_PDOT!B13</f>
        <v>Modernización recursos administrativos: parque automotor, tecnología e infraestructura municipal</v>
      </c>
      <c r="C26" s="166">
        <f>H04_S2_PLANIFICACIÓN_PDOT!N13</f>
        <v>1</v>
      </c>
      <c r="D26" s="166" t="str">
        <f>INT(H12_MOTOR_ICPI_CANÓNICO!J13)&amp;","&amp;TEXT(MOD(H12_MOTOR_ICPI_CANÓNICO!J13,1)*10,"0")&amp;"%"</f>
        <v>40,5%</v>
      </c>
      <c r="E26" s="166" t="str">
        <f>H12_MOTOR_ICPI_CANÓNICO!K13</f>
        <v>🟡 Transición</v>
      </c>
      <c r="F26" s="166" t="str">
        <f>IFERROR(H09_S7_TRANSPARENCIA_LOTAIP!E14,"Sin URL registrada")</f>
        <v>https://montecristi.gob.ec/transparencia/k/pdot008</v>
      </c>
    </row>
    <row r="27" spans="1:6" x14ac:dyDescent="0.3">
      <c r="A27" s="169" t="str">
        <f>H04_S2_PLANIFICACIÓN_PDOT!A14</f>
        <v>PI-I-G-01</v>
      </c>
      <c r="B27" s="169" t="str">
        <f>H04_S2_PLANIFICACIÓN_PDOT!B14</f>
        <v>Equipamientos públicos: terminal terrestre, mercado, estación bomberil, centro salud tipo C, mantenimiento espacios recreativos</v>
      </c>
      <c r="C27" s="169">
        <f>H04_S2_PLANIFICACIÓN_PDOT!N14</f>
        <v>10.73</v>
      </c>
      <c r="D27" s="169" t="str">
        <f>INT(H12_MOTOR_ICPI_CANÓNICO!J14)&amp;","&amp;TEXT(MOD(H12_MOTOR_ICPI_CANÓNICO!J14,1)*10,"0")&amp;"%"</f>
        <v>85,0%</v>
      </c>
      <c r="E27" s="169" t="str">
        <f>H12_MOTOR_ICPI_CANÓNICO!K14</f>
        <v>🟢 Por Mandato</v>
      </c>
      <c r="F27" s="169" t="str">
        <f>IFERROR(H09_S7_TRANSPARENCIA_LOTAIP!E15,"Sin URL registrada")</f>
        <v>https://montecristi.gob.ec/transparencia/a4/pdot009</v>
      </c>
    </row>
    <row r="28" spans="1:6" x14ac:dyDescent="0.3">
      <c r="A28" s="166" t="str">
        <f>H04_S2_PLANIFICACIÓN_PDOT!A15</f>
        <v>AH-C-X-01</v>
      </c>
      <c r="B28" s="166" t="str">
        <f>H04_S2_PLANIFICACIÓN_PDOT!B15</f>
        <v>Protección derechos sociales: atenciones grupos prioritarios 943→1,649 (+15%/año); CDI; adultos mayores; violencia de género</v>
      </c>
      <c r="C28" s="166">
        <f>H04_S2_PLANIFICACIÓN_PDOT!N15</f>
        <v>1649</v>
      </c>
      <c r="D28" s="166" t="str">
        <f>INT(H12_MOTOR_ICPI_CANÓNICO!J15)&amp;","&amp;TEXT(MOD(H12_MOTOR_ICPI_CANÓNICO!J15,1)*10,"0")&amp;"%"</f>
        <v>72,0%</v>
      </c>
      <c r="E28" s="166" t="str">
        <f>H12_MOTOR_ICPI_CANÓNICO!K15</f>
        <v>🟢 Por Mandato</v>
      </c>
      <c r="F28" s="166" t="str">
        <f>IFERROR(H09_S7_TRANSPARENCIA_LOTAIP!E16,"Sin URL registrada")</f>
        <v>https://montecristi.gob.ec/transparencia/a4/pdot010</v>
      </c>
    </row>
    <row r="29" spans="1:6" x14ac:dyDescent="0.3">
      <c r="A29" s="169" t="str">
        <f>H04_S2_PLANIFICACIÓN_PDOT!A16</f>
        <v>AH-C-X-02</v>
      </c>
      <c r="B29" s="169" t="str">
        <f>H04_S2_PLANIFICACIÓN_PDOT!B16</f>
        <v>Sistema información territorial: catastro urbano-rural 19.52%→80%; 12 procesos sistematizados; 37 trámites en línea</v>
      </c>
      <c r="C29" s="169">
        <f>H04_S2_PLANIFICACIÓN_PDOT!N16</f>
        <v>80</v>
      </c>
      <c r="D29" s="169" t="str">
        <f>INT(H12_MOTOR_ICPI_CANÓNICO!J16)&amp;","&amp;TEXT(MOD(H12_MOTOR_ICPI_CANÓNICO!J16,1)*10,"0")&amp;"%"</f>
        <v>72,0%</v>
      </c>
      <c r="E29" s="169" t="str">
        <f>H12_MOTOR_ICPI_CANÓNICO!K16</f>
        <v>🟢 Por Mandato</v>
      </c>
      <c r="F29" s="169" t="str">
        <f>IFERROR(H09_S7_TRANSPARENCIA_LOTAIP!E17,"Sin URL registrada")</f>
        <v>https://montecristi.gob.ec/transparencia/a4/pdot011</v>
      </c>
    </row>
    <row r="30" spans="1:6" x14ac:dyDescent="0.3">
      <c r="A30" s="166" t="str">
        <f>H04_S2_PLANIFICACIÓN_PDOT!A17</f>
        <v>SC-I-N-03</v>
      </c>
      <c r="B30" s="166" t="str">
        <f>H04_S2_PLANIFICACIÓN_PDOT!B17</f>
        <v>Participación ciudadana: 50→100 Unidades Territoriales participativas; 2→4 instancias efectivas (COPFP Art.115)</v>
      </c>
      <c r="C30" s="166">
        <f>H04_S2_PLANIFICACIÓN_PDOT!N17</f>
        <v>100</v>
      </c>
      <c r="D30" s="166" t="str">
        <f>INT(H12_MOTOR_ICPI_CANÓNICO!J17)&amp;","&amp;TEXT(MOD(H12_MOTOR_ICPI_CANÓNICO!J17,1)*10,"0")&amp;"%"</f>
        <v>53,4%</v>
      </c>
      <c r="E30" s="166" t="str">
        <f>H12_MOTOR_ICPI_CANÓNICO!K17</f>
        <v>🟡 Transición</v>
      </c>
      <c r="F30" s="166">
        <f>IFERROR(H09_S7_TRANSPARENCIA_LOTAIP!E18,"Sin URL registrada")</f>
        <v>0</v>
      </c>
    </row>
    <row r="31" spans="1:6" x14ac:dyDescent="0.3">
      <c r="A31" s="169" t="str">
        <f>H04_S2_PLANIFICACIÓN_PDOT!A18</f>
        <v>FA-I-X-01</v>
      </c>
      <c r="B31" s="169" t="str">
        <f>H04_S2_PLANIFICACIÓN_PDOT!B18</f>
        <v>Gestión del riesgo: reducir 10% infraestructura susceptible (3,655→2,398 unidades); alerta temprana climática</v>
      </c>
      <c r="C31" s="169">
        <f>H04_S2_PLANIFICACIÓN_PDOT!N18</f>
        <v>2398.0500000000002</v>
      </c>
      <c r="D31" s="169" t="str">
        <f>INT(H12_MOTOR_ICPI_CANÓNICO!J18)&amp;","&amp;TEXT(MOD(H12_MOTOR_ICPI_CANÓNICO!J18,1)*10,"0")&amp;"%"</f>
        <v>65,10%</v>
      </c>
      <c r="E31" s="169" t="str">
        <f>H12_MOTOR_ICPI_CANÓNICO!K18</f>
        <v>🟡 Transición</v>
      </c>
      <c r="F31" s="169" t="str">
        <f>IFERROR(H09_S7_TRANSPARENCIA_LOTAIP!E19,"Sin URL registrada")</f>
        <v>https://montecristi.gob.ec/transparencia/k/pdot013</v>
      </c>
    </row>
    <row r="32" spans="1:6" x14ac:dyDescent="0.3">
      <c r="A32" s="166" t="str">
        <f>H04_S2_PLANIFICACIÓN_PDOT!A19</f>
        <v>FA-C-X-01</v>
      </c>
      <c r="B32" s="166" t="str">
        <f>H04_S2_PLANIFICACIÓN_PDOT!B19</f>
        <v>Áreas verdes y parques: IVU 10.94→17.32 m²/hab; parques inter-barriales; recuperación manglar perfil costero</v>
      </c>
      <c r="C32" s="166">
        <f>H04_S2_PLANIFICACIÓN_PDOT!N19</f>
        <v>17.32</v>
      </c>
      <c r="D32" s="166" t="str">
        <f>INT(H12_MOTOR_ICPI_CANÓNICO!J19)&amp;","&amp;TEXT(MOD(H12_MOTOR_ICPI_CANÓNICO!J19,1)*10,"0")&amp;"%"</f>
        <v>80,0%</v>
      </c>
      <c r="E32" s="166" t="str">
        <f>H12_MOTOR_ICPI_CANÓNICO!K19</f>
        <v>🟢 Por Mandato</v>
      </c>
      <c r="F32" s="166" t="str">
        <f>IFERROR(H09_S7_TRANSPARENCIA_LOTAIP!E20,"Sin URL registrada")</f>
        <v>https://montecristi.gob.ec/transparencia/a4/pdot014</v>
      </c>
    </row>
    <row r="33" spans="1:6" x14ac:dyDescent="0.3">
      <c r="A33" s="169" t="str">
        <f>H04_S2_PLANIFICACIÓN_PDOT!A20</f>
        <v>FA-I-X-02</v>
      </c>
      <c r="B33" s="169" t="str">
        <f>H04_S2_PLANIFICACIÓN_PDOT!B20</f>
        <v>Índice equipamiento urbano CUP 9.96→10.73 m²/hab; recolección desechos 91.95%→97.95%; 77.83→81.07 km/día barrido</v>
      </c>
      <c r="C33" s="169">
        <f>H04_S2_PLANIFICACIÓN_PDOT!N20</f>
        <v>97.95</v>
      </c>
      <c r="D33" s="169" t="str">
        <f>INT(H12_MOTOR_ICPI_CANÓNICO!J20)&amp;","&amp;TEXT(MOD(H12_MOTOR_ICPI_CANÓNICO!J20,1)*10,"0")&amp;"%"</f>
        <v>68,8%</v>
      </c>
      <c r="E33" s="169" t="str">
        <f>H12_MOTOR_ICPI_CANÓNICO!K20</f>
        <v>🟡 Transición</v>
      </c>
      <c r="F33" s="169">
        <f>IFERROR(H09_S7_TRANSPARENCIA_LOTAIP!E21,"Sin URL registrada")</f>
        <v>0</v>
      </c>
    </row>
    <row r="34" spans="1:6" x14ac:dyDescent="0.3">
      <c r="A34" s="166" t="str">
        <f>H04_S2_PLANIFICACIÓN_PDOT!A21</f>
        <v>FA-L-N-01</v>
      </c>
      <c r="B34" s="166" t="str">
        <f>H04_S2_PLANIFICACIÓN_PDOT!B21</f>
        <v>Inventario patrimonial 100% al 2026; 8,000→10,000 participantes eventos culturales; Museo del Sombrero</v>
      </c>
      <c r="C34" s="166">
        <f>H04_S2_PLANIFICACIÓN_PDOT!N21</f>
        <v>10000</v>
      </c>
      <c r="D34" s="166" t="str">
        <f>INT(H12_MOTOR_ICPI_CANÓNICO!J21)&amp;","&amp;TEXT(MOD(H12_MOTOR_ICPI_CANÓNICO!J21,1)*10,"0")&amp;"%"</f>
        <v>76,10%</v>
      </c>
      <c r="E34" s="166" t="str">
        <f>H12_MOTOR_ICPI_CANÓNICO!K21</f>
        <v>🟢 Por Mandato</v>
      </c>
      <c r="F34" s="166" t="str">
        <f>IFERROR(H09_S7_TRANSPARENCIA_LOTAIP!E22,"Sin URL registrada")</f>
        <v>https://montecristi.gob.ec/transparencia/a1/pdot016</v>
      </c>
    </row>
    <row r="35" spans="1:6" x14ac:dyDescent="0.3">
      <c r="A35" s="169" t="str">
        <f>H04_S2_PLANIFICACIÓN_PDOT!A22</f>
        <v>PI-I-G-02</v>
      </c>
      <c r="B35" s="169" t="str">
        <f>H04_S2_PLANIFICACIÓN_PDOT!B22</f>
        <v>Cumplimiento PDOT/PUGS 0%→80%; SIL 19.52%→80%; 37 trámites digitales implementados</v>
      </c>
      <c r="C35" s="169">
        <f>H04_S2_PLANIFICACIÓN_PDOT!N22</f>
        <v>80</v>
      </c>
      <c r="D35" s="169" t="str">
        <f>INT(H12_MOTOR_ICPI_CANÓNICO!J22)&amp;","&amp;TEXT(MOD(H12_MOTOR_ICPI_CANÓNICO!J22,1)*10,"0")&amp;"%"</f>
        <v>85,0%</v>
      </c>
      <c r="E35" s="169" t="str">
        <f>H12_MOTOR_ICPI_CANÓNICO!K22</f>
        <v>🟢 Por Mandato</v>
      </c>
      <c r="F35" s="169" t="str">
        <f>IFERROR(H09_S7_TRANSPARENCIA_LOTAIP!E23,"Sin URL registrada")</f>
        <v>https://montecristi.gob.ec/transparencia/k/pdot017</v>
      </c>
    </row>
    <row r="36" spans="1:6" x14ac:dyDescent="0.3">
      <c r="A36" s="166" t="str">
        <f>H04_S2_PLANIFICACIÓN_PDOT!A23</f>
        <v>PI-L-G-01</v>
      </c>
      <c r="B36" s="166" t="str">
        <f>H04_S2_PLANIFICACIÓN_PDOT!B23</f>
        <v>Señalización vial 0→10,000 m²; 0→8 semáforos; revisiones técnicas 4,000→20,000; educación vial 40 instituciones</v>
      </c>
      <c r="C36" s="166">
        <f>H04_S2_PLANIFICACIÓN_PDOT!N23</f>
        <v>20000</v>
      </c>
      <c r="D36" s="166" t="str">
        <f>INT(H12_MOTOR_ICPI_CANÓNICO!J23)&amp;","&amp;TEXT(MOD(H12_MOTOR_ICPI_CANÓNICO!J23,1)*10,"0")&amp;"%"</f>
        <v>53,4%</v>
      </c>
      <c r="E36" s="166" t="str">
        <f>H12_MOTOR_ICPI_CANÓNICO!K23</f>
        <v>🟡 Transición</v>
      </c>
      <c r="F36" s="166" t="str">
        <f>IFERROR(H09_S7_TRANSPARENCIA_LOTAIP!E24,"Sin URL registrada")</f>
        <v>https://montecristi.gob.ec/transparencia/m/pdot018</v>
      </c>
    </row>
    <row r="37" spans="1:6" x14ac:dyDescent="0.3">
      <c r="A37" s="169" t="str">
        <f>H04_S2_PLANIFICACIÓN_PDOT!A24</f>
        <v>EP-L-N-01</v>
      </c>
      <c r="B37" s="169" t="str">
        <f>H04_S2_PLANIFICACIÓN_PDOT!B24</f>
        <v>Vivienda de interés social: 50 VIS/VIP hasta 2027; reducción déficit habitacional cualitativo</v>
      </c>
      <c r="C37" s="169">
        <f>H04_S2_PLANIFICACIÓN_PDOT!N24</f>
        <v>50</v>
      </c>
      <c r="D37" s="169" t="str">
        <f>INT(H12_MOTOR_ICPI_CANÓNICO!J24)&amp;","&amp;TEXT(MOD(H12_MOTOR_ICPI_CANÓNICO!J24,1)*10,"0")&amp;"%"</f>
        <v>95,10%</v>
      </c>
      <c r="E37" s="169" t="str">
        <f>H12_MOTOR_ICPI_CANÓNICO!K24</f>
        <v>🔵 Excelencia</v>
      </c>
      <c r="F37" s="169" t="str">
        <f>IFERROR(H09_S7_TRANSPARENCIA_LOTAIP!E25,"Sin URL registrada")</f>
        <v>https://montecristi.gob.ec/transparencia/a1/pdot019</v>
      </c>
    </row>
    <row r="38" spans="1:6" x14ac:dyDescent="0.3">
      <c r="A38" s="166" t="str">
        <f>H04_S2_PLANIFICACIÓN_PDOT!A25</f>
        <v>EP-L-X-01</v>
      </c>
      <c r="B38" s="166" t="str">
        <f>H04_S2_PLANIFICACIÓN_PDOT!B25</f>
        <v>Fortalecimiento productivo: beneficiarios artesanos, mipymes, emprendedores, huertos comunitarios y cadenas de valor</v>
      </c>
      <c r="C38" s="166">
        <f>H04_S2_PLANIFICACIÓN_PDOT!N25</f>
        <v>500</v>
      </c>
      <c r="D38" s="166" t="str">
        <f>INT(H12_MOTOR_ICPI_CANÓNICO!J25)&amp;","&amp;TEXT(MOD(H12_MOTOR_ICPI_CANÓNICO!J25,1)*10,"0")&amp;"%"</f>
        <v>85,0%</v>
      </c>
      <c r="E38" s="166" t="str">
        <f>H12_MOTOR_ICPI_CANÓNICO!K25</f>
        <v>🟢 Por Mandato</v>
      </c>
      <c r="F38" s="166" t="str">
        <f>IFERROR(H09_S7_TRANSPARENCIA_LOTAIP!E26,"Sin URL registrada")</f>
        <v>https://montecristi.gob.ec/transparencia/k/pdot020</v>
      </c>
    </row>
    <row r="39" spans="1:6" x14ac:dyDescent="0.3">
      <c r="A39" s="3" t="s">
        <v>917</v>
      </c>
      <c r="B39" s="176" t="str">
        <f>INT(H12_MOTOR_ICPI_CANÓNICO!B28)&amp;","&amp;TEXT(MOD(H12_MOTOR_ICPI_CANÓNICO!B28,1)*10,"0")&amp;"%"</f>
        <v>72,9%</v>
      </c>
    </row>
    <row r="41" spans="1:6" x14ac:dyDescent="0.3">
      <c r="A41" s="24" t="s">
        <v>918</v>
      </c>
    </row>
    <row r="42" spans="1:6" x14ac:dyDescent="0.3">
      <c r="A42" s="2" t="s">
        <v>129</v>
      </c>
      <c r="B42" s="2" t="s">
        <v>790</v>
      </c>
      <c r="C42" s="2" t="s">
        <v>791</v>
      </c>
      <c r="D42" s="2" t="s">
        <v>919</v>
      </c>
    </row>
    <row r="43" spans="1:6" x14ac:dyDescent="0.3">
      <c r="A43" s="177" t="s">
        <v>9</v>
      </c>
      <c r="B43" s="169" t="s">
        <v>10</v>
      </c>
      <c r="C43" s="169" t="str">
        <f>'H21_SAT-I'!B24</f>
        <v>✅ Sin señal SAT-I</v>
      </c>
      <c r="D43" s="178" t="s">
        <v>104</v>
      </c>
    </row>
    <row r="44" spans="1:6" x14ac:dyDescent="0.3">
      <c r="A44" s="179" t="s">
        <v>11</v>
      </c>
      <c r="B44" s="166" t="s">
        <v>12</v>
      </c>
      <c r="C44" s="166" t="str">
        <f>'H22_SAT-II'!B38</f>
        <v>✅ Sin señal SAT-II</v>
      </c>
      <c r="D44" s="180" t="s">
        <v>792</v>
      </c>
    </row>
    <row r="45" spans="1:6" x14ac:dyDescent="0.3">
      <c r="A45" s="177" t="s">
        <v>13</v>
      </c>
      <c r="B45" s="169" t="s">
        <v>14</v>
      </c>
      <c r="C45" s="169" t="str">
        <f>'H23_SAT-III'!B24</f>
        <v>✅ Sin señal SAT-III</v>
      </c>
      <c r="D45" s="178" t="s">
        <v>793</v>
      </c>
    </row>
    <row r="46" spans="1:6" x14ac:dyDescent="0.3">
      <c r="A46" s="179" t="s">
        <v>15</v>
      </c>
      <c r="B46" s="166" t="s">
        <v>794</v>
      </c>
      <c r="C46" s="166" t="str">
        <f>'H24_SAT-IV'!B45</f>
        <v>✅ SAT-IV no aplica — Reforma no vigente o derogada por Corte Constitucional</v>
      </c>
      <c r="D46" s="180" t="s">
        <v>795</v>
      </c>
    </row>
    <row r="48" spans="1:6" x14ac:dyDescent="0.3">
      <c r="A48" s="24" t="s">
        <v>920</v>
      </c>
    </row>
    <row r="49" spans="1:6" x14ac:dyDescent="0.3">
      <c r="A49" s="8" t="s">
        <v>921</v>
      </c>
    </row>
    <row r="51" spans="1:6" x14ac:dyDescent="0.3">
      <c r="A51" t="s">
        <v>922</v>
      </c>
      <c r="B51" t="s">
        <v>922</v>
      </c>
    </row>
    <row r="52" spans="1:6" x14ac:dyDescent="0.3">
      <c r="A52" s="3" t="str">
        <f>H01_PARÁMETROS!B11</f>
        <v>Ing. Jonathan Toro Largacha</v>
      </c>
      <c r="B52" s="3" t="s">
        <v>924</v>
      </c>
    </row>
    <row r="53" spans="1:6" x14ac:dyDescent="0.3">
      <c r="A53" t="s">
        <v>923</v>
      </c>
      <c r="B53" t="s">
        <v>925</v>
      </c>
    </row>
    <row r="55" spans="1:6" ht="27.6" x14ac:dyDescent="0.3">
      <c r="A55" s="262" t="s">
        <v>1191</v>
      </c>
      <c r="B55" s="263"/>
      <c r="C55" s="263"/>
      <c r="D55" s="263"/>
      <c r="E55" s="263"/>
      <c r="F55" s="263"/>
    </row>
    <row r="56" spans="1:6" ht="36.6" x14ac:dyDescent="0.3">
      <c r="A56" s="264" t="s">
        <v>1192</v>
      </c>
      <c r="B56" s="265"/>
      <c r="C56" s="265"/>
      <c r="D56" s="265"/>
      <c r="E56" s="265"/>
      <c r="F56" s="265"/>
    </row>
    <row r="58" spans="1:6" ht="27.6" x14ac:dyDescent="0.3">
      <c r="A58" s="258" t="s">
        <v>1193</v>
      </c>
      <c r="B58" s="266"/>
      <c r="C58" s="266"/>
      <c r="D58" s="266"/>
      <c r="E58" s="266"/>
      <c r="F58" s="266"/>
    </row>
    <row r="59" spans="1:6" x14ac:dyDescent="0.3">
      <c r="A59" s="186" t="s">
        <v>192</v>
      </c>
      <c r="B59" s="186" t="s">
        <v>1194</v>
      </c>
      <c r="C59" s="186" t="s">
        <v>1195</v>
      </c>
      <c r="D59" s="186" t="s">
        <v>1196</v>
      </c>
      <c r="E59" s="186" t="s">
        <v>1197</v>
      </c>
      <c r="F59" s="186" t="s">
        <v>1198</v>
      </c>
    </row>
    <row r="60" spans="1:6" x14ac:dyDescent="0.3">
      <c r="A60" t="str">
        <f>H04_S2_PLANIFICACIÓN_PDOT!A6</f>
        <v>SC-I-N-01</v>
      </c>
      <c r="B60">
        <f>H04_S2_PLANIFICACIÓN_PDOT!N6</f>
        <v>42.38</v>
      </c>
      <c r="C60">
        <f>H12_MOTOR_ICPI_CANÓNICO!J6</f>
        <v>95</v>
      </c>
      <c r="D60">
        <f t="shared" ref="D60:D79" si="0">IF(C60&gt;0,C60,0)</f>
        <v>95</v>
      </c>
      <c r="E60" t="str">
        <f t="shared" ref="E60:E79" si="1">IF(D60&gt;=85,"● Cumplida",IF(D60&gt;=70,"● Parcialmente Cumplida",IF(D60&gt;0,"● Incumplida","● Extemporánea")))</f>
        <v>● Cumplida</v>
      </c>
      <c r="F60" t="str">
        <f t="shared" ref="F60:F79" si="2">IF(C60&gt;0,IF(C60&gt;=100,"↑ Superada",IF(C60=100,"→ En meta","↓ Por debajo")),"↓ Por debajo")</f>
        <v>↓ Por debajo</v>
      </c>
    </row>
    <row r="61" spans="1:6" x14ac:dyDescent="0.3">
      <c r="A61" t="str">
        <f>H04_S2_PLANIFICACIÓN_PDOT!A7</f>
        <v>SC-L-N-02</v>
      </c>
      <c r="B61">
        <f>H04_S2_PLANIFICACIÓN_PDOT!N7</f>
        <v>90</v>
      </c>
      <c r="C61">
        <f>H12_MOTOR_ICPI_CANÓNICO!J7</f>
        <v>85</v>
      </c>
      <c r="D61">
        <f t="shared" si="0"/>
        <v>85</v>
      </c>
      <c r="E61" t="str">
        <f t="shared" si="1"/>
        <v>● Cumplida</v>
      </c>
      <c r="F61" t="str">
        <f t="shared" si="2"/>
        <v>↓ Por debajo</v>
      </c>
    </row>
    <row r="62" spans="1:6" x14ac:dyDescent="0.3">
      <c r="A62" t="str">
        <f>H04_S2_PLANIFICACIÓN_PDOT!A8</f>
        <v>AH-I-X-01</v>
      </c>
      <c r="B62">
        <f>H04_S2_PLANIFICACIÓN_PDOT!N8</f>
        <v>45.3</v>
      </c>
      <c r="C62">
        <f>H12_MOTOR_ICPI_CANÓNICO!J8</f>
        <v>58.320000000000007</v>
      </c>
      <c r="D62">
        <f t="shared" si="0"/>
        <v>58.320000000000007</v>
      </c>
      <c r="E62" t="str">
        <f t="shared" si="1"/>
        <v>● Incumplida</v>
      </c>
      <c r="F62" t="str">
        <f t="shared" si="2"/>
        <v>↓ Por debajo</v>
      </c>
    </row>
    <row r="63" spans="1:6" x14ac:dyDescent="0.3">
      <c r="A63" t="str">
        <f>H04_S2_PLANIFICACIÓN_PDOT!A9</f>
        <v>AH-I-X-02</v>
      </c>
      <c r="B63">
        <f>H04_S2_PLANIFICACIÓN_PDOT!N9</f>
        <v>130.21</v>
      </c>
      <c r="C63">
        <f>H12_MOTOR_ICPI_CANÓNICO!J9</f>
        <v>0</v>
      </c>
      <c r="D63">
        <f t="shared" si="0"/>
        <v>0</v>
      </c>
      <c r="E63" t="str">
        <f t="shared" si="1"/>
        <v>● Extemporánea</v>
      </c>
      <c r="F63" t="str">
        <f t="shared" si="2"/>
        <v>↓ Por debajo</v>
      </c>
    </row>
    <row r="64" spans="1:6" x14ac:dyDescent="0.3">
      <c r="A64" t="str">
        <f>H04_S2_PLANIFICACIÓN_PDOT!A10</f>
        <v>AH-I-X-03</v>
      </c>
      <c r="B64">
        <f>H04_S2_PLANIFICACIÓN_PDOT!N10</f>
        <v>84041</v>
      </c>
      <c r="C64">
        <f>H12_MOTOR_ICPI_CANÓNICO!J10</f>
        <v>58.320000000000007</v>
      </c>
      <c r="D64">
        <f t="shared" si="0"/>
        <v>58.320000000000007</v>
      </c>
      <c r="E64" t="str">
        <f t="shared" si="1"/>
        <v>● Incumplida</v>
      </c>
      <c r="F64" t="str">
        <f t="shared" si="2"/>
        <v>↓ Por debajo</v>
      </c>
    </row>
    <row r="65" spans="1:6" x14ac:dyDescent="0.3">
      <c r="A65" t="str">
        <f>H04_S2_PLANIFICACIÓN_PDOT!A11</f>
        <v>AH-I-N-01</v>
      </c>
      <c r="B65">
        <f>H04_S2_PLANIFICACIÓN_PDOT!N11</f>
        <v>23086.94</v>
      </c>
      <c r="C65">
        <f>H12_MOTOR_ICPI_CANÓNICO!J11</f>
        <v>22.5</v>
      </c>
      <c r="D65">
        <f t="shared" si="0"/>
        <v>22.5</v>
      </c>
      <c r="E65" t="str">
        <f t="shared" si="1"/>
        <v>● Incumplida</v>
      </c>
      <c r="F65" t="str">
        <f t="shared" si="2"/>
        <v>↓ Por debajo</v>
      </c>
    </row>
    <row r="66" spans="1:6" x14ac:dyDescent="0.3">
      <c r="A66" t="str">
        <f>H04_S2_PLANIFICACIÓN_PDOT!A12</f>
        <v>SC-L-G-01</v>
      </c>
      <c r="B66">
        <f>H04_S2_PLANIFICACIÓN_PDOT!N12</f>
        <v>24.32</v>
      </c>
      <c r="C66">
        <f>H12_MOTOR_ICPI_CANÓNICO!J12</f>
        <v>47.8125</v>
      </c>
      <c r="D66">
        <f t="shared" si="0"/>
        <v>47.8125</v>
      </c>
      <c r="E66" t="str">
        <f t="shared" si="1"/>
        <v>● Incumplida</v>
      </c>
      <c r="F66" t="str">
        <f t="shared" si="2"/>
        <v>↓ Por debajo</v>
      </c>
    </row>
    <row r="67" spans="1:6" x14ac:dyDescent="0.3">
      <c r="A67" t="str">
        <f>H04_S2_PLANIFICACIÓN_PDOT!A13</f>
        <v>AH-I-X-04</v>
      </c>
      <c r="B67">
        <f>H04_S2_PLANIFICACIÓN_PDOT!N13</f>
        <v>1</v>
      </c>
      <c r="C67">
        <f>H12_MOTOR_ICPI_CANÓNICO!J13</f>
        <v>40.5</v>
      </c>
      <c r="D67">
        <f t="shared" si="0"/>
        <v>40.5</v>
      </c>
      <c r="E67" t="str">
        <f t="shared" si="1"/>
        <v>● Incumplida</v>
      </c>
      <c r="F67" t="str">
        <f t="shared" si="2"/>
        <v>↓ Por debajo</v>
      </c>
    </row>
    <row r="68" spans="1:6" x14ac:dyDescent="0.3">
      <c r="A68" t="str">
        <f>H04_S2_PLANIFICACIÓN_PDOT!A14</f>
        <v>PI-I-G-01</v>
      </c>
      <c r="B68">
        <f>H04_S2_PLANIFICACIÓN_PDOT!N14</f>
        <v>10.73</v>
      </c>
      <c r="C68">
        <f>H12_MOTOR_ICPI_CANÓNICO!J14</f>
        <v>85.000000000000014</v>
      </c>
      <c r="D68">
        <f t="shared" si="0"/>
        <v>85.000000000000014</v>
      </c>
      <c r="E68" t="str">
        <f t="shared" si="1"/>
        <v>● Cumplida</v>
      </c>
      <c r="F68" t="str">
        <f t="shared" si="2"/>
        <v>↓ Por debajo</v>
      </c>
    </row>
    <row r="69" spans="1:6" x14ac:dyDescent="0.3">
      <c r="A69" t="str">
        <f>H04_S2_PLANIFICACIÓN_PDOT!A15</f>
        <v>AH-C-X-01</v>
      </c>
      <c r="B69">
        <f>H04_S2_PLANIFICACIÓN_PDOT!N15</f>
        <v>1649</v>
      </c>
      <c r="C69">
        <f>H12_MOTOR_ICPI_CANÓNICO!J15</f>
        <v>72</v>
      </c>
      <c r="D69">
        <f t="shared" si="0"/>
        <v>72</v>
      </c>
      <c r="E69" t="str">
        <f t="shared" si="1"/>
        <v>● Parcialmente Cumplida</v>
      </c>
      <c r="F69" t="str">
        <f t="shared" si="2"/>
        <v>↓ Por debajo</v>
      </c>
    </row>
    <row r="70" spans="1:6" x14ac:dyDescent="0.3">
      <c r="A70" t="str">
        <f>H04_S2_PLANIFICACIÓN_PDOT!A16</f>
        <v>AH-C-X-02</v>
      </c>
      <c r="B70">
        <f>H04_S2_PLANIFICACIÓN_PDOT!N16</f>
        <v>80</v>
      </c>
      <c r="C70">
        <f>H12_MOTOR_ICPI_CANÓNICO!J16</f>
        <v>72.000000000000014</v>
      </c>
      <c r="D70">
        <f t="shared" si="0"/>
        <v>72.000000000000014</v>
      </c>
      <c r="E70" t="str">
        <f t="shared" si="1"/>
        <v>● Parcialmente Cumplida</v>
      </c>
      <c r="F70" t="str">
        <f t="shared" si="2"/>
        <v>↓ Por debajo</v>
      </c>
    </row>
    <row r="71" spans="1:6" x14ac:dyDescent="0.3">
      <c r="A71" t="str">
        <f>H04_S2_PLANIFICACIÓN_PDOT!A17</f>
        <v>SC-I-N-03</v>
      </c>
      <c r="B71">
        <f>H04_S2_PLANIFICACIÓN_PDOT!N17</f>
        <v>100</v>
      </c>
      <c r="C71">
        <f>H12_MOTOR_ICPI_CANÓNICO!J17</f>
        <v>53.437499999999993</v>
      </c>
      <c r="D71">
        <f t="shared" si="0"/>
        <v>53.437499999999993</v>
      </c>
      <c r="E71" t="str">
        <f t="shared" si="1"/>
        <v>● Incumplida</v>
      </c>
      <c r="F71" t="str">
        <f t="shared" si="2"/>
        <v>↓ Por debajo</v>
      </c>
    </row>
    <row r="72" spans="1:6" x14ac:dyDescent="0.3">
      <c r="A72" t="str">
        <f>H04_S2_PLANIFICACIÓN_PDOT!A18</f>
        <v>FA-I-X-01</v>
      </c>
      <c r="B72">
        <f>H04_S2_PLANIFICACIÓN_PDOT!N18</f>
        <v>2398.0500000000002</v>
      </c>
      <c r="C72">
        <f>H12_MOTOR_ICPI_CANÓNICO!J18</f>
        <v>64.999999999999986</v>
      </c>
      <c r="D72">
        <f t="shared" si="0"/>
        <v>64.999999999999986</v>
      </c>
      <c r="E72" t="str">
        <f t="shared" si="1"/>
        <v>● Incumplida</v>
      </c>
      <c r="F72" t="str">
        <f t="shared" si="2"/>
        <v>↓ Por debajo</v>
      </c>
    </row>
    <row r="73" spans="1:6" x14ac:dyDescent="0.3">
      <c r="A73" t="str">
        <f>H04_S2_PLANIFICACIÓN_PDOT!A19</f>
        <v>FA-C-X-01</v>
      </c>
      <c r="B73">
        <f>H04_S2_PLANIFICACIÓN_PDOT!N19</f>
        <v>17.32</v>
      </c>
      <c r="C73">
        <f>H12_MOTOR_ICPI_CANÓNICO!J19</f>
        <v>80</v>
      </c>
      <c r="D73">
        <f t="shared" si="0"/>
        <v>80</v>
      </c>
      <c r="E73" t="str">
        <f t="shared" si="1"/>
        <v>● Parcialmente Cumplida</v>
      </c>
      <c r="F73" t="str">
        <f t="shared" si="2"/>
        <v>↓ Por debajo</v>
      </c>
    </row>
    <row r="74" spans="1:6" x14ac:dyDescent="0.3">
      <c r="A74" t="str">
        <f>H04_S2_PLANIFICACIÓN_PDOT!A20</f>
        <v>FA-I-X-02</v>
      </c>
      <c r="B74">
        <f>H04_S2_PLANIFICACIÓN_PDOT!N20</f>
        <v>97.95</v>
      </c>
      <c r="C74">
        <f>H12_MOTOR_ICPI_CANÓNICO!J20</f>
        <v>68.849999999999994</v>
      </c>
      <c r="D74">
        <f t="shared" si="0"/>
        <v>68.849999999999994</v>
      </c>
      <c r="E74" t="str">
        <f t="shared" si="1"/>
        <v>● Incumplida</v>
      </c>
      <c r="F74" t="str">
        <f t="shared" si="2"/>
        <v>↓ Por debajo</v>
      </c>
    </row>
    <row r="75" spans="1:6" x14ac:dyDescent="0.3">
      <c r="A75" t="str">
        <f>H04_S2_PLANIFICACIÓN_PDOT!A21</f>
        <v>FA-L-N-01</v>
      </c>
      <c r="B75">
        <f>H04_S2_PLANIFICACIÓN_PDOT!N21</f>
        <v>10000</v>
      </c>
      <c r="C75">
        <f>H12_MOTOR_ICPI_CANÓNICO!J21</f>
        <v>76.95</v>
      </c>
      <c r="D75">
        <f t="shared" si="0"/>
        <v>76.95</v>
      </c>
      <c r="E75" t="str">
        <f t="shared" si="1"/>
        <v>● Parcialmente Cumplida</v>
      </c>
      <c r="F75" t="str">
        <f t="shared" si="2"/>
        <v>↓ Por debajo</v>
      </c>
    </row>
    <row r="76" spans="1:6" x14ac:dyDescent="0.3">
      <c r="A76" t="str">
        <f>H04_S2_PLANIFICACIÓN_PDOT!A22</f>
        <v>PI-I-G-02</v>
      </c>
      <c r="B76">
        <f>H04_S2_PLANIFICACIÓN_PDOT!N22</f>
        <v>80</v>
      </c>
      <c r="C76">
        <f>H12_MOTOR_ICPI_CANÓNICO!J22</f>
        <v>85</v>
      </c>
      <c r="D76">
        <f t="shared" si="0"/>
        <v>85</v>
      </c>
      <c r="E76" t="str">
        <f t="shared" si="1"/>
        <v>● Cumplida</v>
      </c>
      <c r="F76" t="str">
        <f t="shared" si="2"/>
        <v>↓ Por debajo</v>
      </c>
    </row>
    <row r="77" spans="1:6" x14ac:dyDescent="0.3">
      <c r="A77" t="str">
        <f>H04_S2_PLANIFICACIÓN_PDOT!A23</f>
        <v>PI-L-G-01</v>
      </c>
      <c r="B77">
        <f>H04_S2_PLANIFICACIÓN_PDOT!N23</f>
        <v>20000</v>
      </c>
      <c r="C77">
        <f>H12_MOTOR_ICPI_CANÓNICO!J23</f>
        <v>53.437499999999993</v>
      </c>
      <c r="D77">
        <f t="shared" si="0"/>
        <v>53.437499999999993</v>
      </c>
      <c r="E77" t="str">
        <f t="shared" si="1"/>
        <v>● Incumplida</v>
      </c>
      <c r="F77" t="str">
        <f t="shared" si="2"/>
        <v>↓ Por debajo</v>
      </c>
    </row>
    <row r="78" spans="1:6" x14ac:dyDescent="0.3">
      <c r="A78" t="str">
        <f>H04_S2_PLANIFICACIÓN_PDOT!A24</f>
        <v>EP-L-N-01</v>
      </c>
      <c r="B78">
        <f>H04_S2_PLANIFICACIÓN_PDOT!N24</f>
        <v>50</v>
      </c>
      <c r="C78">
        <f>H12_MOTOR_ICPI_CANÓNICO!J24</f>
        <v>94.999999999999986</v>
      </c>
      <c r="D78">
        <f t="shared" si="0"/>
        <v>94.999999999999986</v>
      </c>
      <c r="E78" t="str">
        <f t="shared" si="1"/>
        <v>● Cumplida</v>
      </c>
      <c r="F78" t="str">
        <f t="shared" si="2"/>
        <v>↓ Por debajo</v>
      </c>
    </row>
    <row r="79" spans="1:6" x14ac:dyDescent="0.3">
      <c r="A79" t="str">
        <f>H04_S2_PLANIFICACIÓN_PDOT!A25</f>
        <v>EP-L-X-01</v>
      </c>
      <c r="B79">
        <f>H04_S2_PLANIFICACIÓN_PDOT!N25</f>
        <v>500</v>
      </c>
      <c r="C79">
        <f>H12_MOTOR_ICPI_CANÓNICO!J25</f>
        <v>85</v>
      </c>
      <c r="D79">
        <f t="shared" si="0"/>
        <v>85</v>
      </c>
      <c r="E79" t="str">
        <f t="shared" si="1"/>
        <v>● Cumplida</v>
      </c>
      <c r="F79" t="str">
        <f t="shared" si="2"/>
        <v>↓ Por debajo</v>
      </c>
    </row>
    <row r="81" spans="1:6" ht="41.4" x14ac:dyDescent="0.3">
      <c r="A81" s="258" t="s">
        <v>1199</v>
      </c>
      <c r="B81" s="266"/>
      <c r="C81" s="266"/>
      <c r="D81" s="266"/>
      <c r="E81" s="266"/>
      <c r="F81" s="266"/>
    </row>
    <row r="82" spans="1:6" x14ac:dyDescent="0.3">
      <c r="A82" s="186" t="s">
        <v>192</v>
      </c>
      <c r="B82" s="186" t="s">
        <v>1200</v>
      </c>
      <c r="C82" s="186" t="s">
        <v>1201</v>
      </c>
      <c r="D82" s="186" t="s">
        <v>1202</v>
      </c>
      <c r="E82" s="186" t="s">
        <v>1203</v>
      </c>
      <c r="F82" s="186" t="s">
        <v>1204</v>
      </c>
    </row>
    <row r="83" spans="1:6" x14ac:dyDescent="0.3">
      <c r="A83" t="str">
        <f>H04_S2_PLANIFICACIÓN_PDOT!A6</f>
        <v>SC-I-N-01</v>
      </c>
      <c r="B83" t="str">
        <f>H04_S2_PLANIFICACIÓN_PDOT!B6</f>
        <v>Agua potable: cobertura 39.25%→42.38%; calidad 100% INEN 1108; infraestructura BUENA 22.74%→41.64%</v>
      </c>
      <c r="C83">
        <f>H07_S5_FINANCIERO_eSIGEF!E7</f>
        <v>45000</v>
      </c>
      <c r="D83">
        <f>H07_S5_FINANCIERO_eSIGEF!F7</f>
        <v>42750</v>
      </c>
      <c r="E83">
        <f t="shared" ref="E83:E102" si="3">IF(C83&gt;0,D83/C83*100,0)</f>
        <v>95</v>
      </c>
      <c r="F83" t="str">
        <f t="shared" ref="F83:F102" si="4">IF(E83&gt;=85,"● Cumplido",IF(E83&gt;=70,"● Parcialmente Cumplido",IF(E83&gt;0,"● Incumplido","● Sin ejecución")))</f>
        <v>● Cumplido</v>
      </c>
    </row>
    <row r="84" spans="1:6" x14ac:dyDescent="0.3">
      <c r="A84" t="str">
        <f>H04_S2_PLANIFICACIÓN_PDOT!A7</f>
        <v>SC-L-N-02</v>
      </c>
      <c r="B84" t="str">
        <f>H04_S2_PLANIFICACIÓN_PDOT!B7</f>
        <v>Gestión del talento humano municipal: desempeño 80%→90%; plan capacitación 90% anual</v>
      </c>
      <c r="C84">
        <f>H07_S5_FINANCIERO_eSIGEF!E8</f>
        <v>8900</v>
      </c>
      <c r="D84">
        <f>H07_S5_FINANCIERO_eSIGEF!F8</f>
        <v>7565</v>
      </c>
      <c r="E84">
        <f t="shared" si="3"/>
        <v>85</v>
      </c>
      <c r="F84" t="str">
        <f t="shared" si="4"/>
        <v>● Cumplido</v>
      </c>
    </row>
    <row r="85" spans="1:6" x14ac:dyDescent="0.3">
      <c r="A85" t="str">
        <f>H04_S2_PLANIFICACIÓN_PDOT!A8</f>
        <v>AH-I-X-01</v>
      </c>
      <c r="B85" t="str">
        <f>H04_S2_PLANIFICACIÓN_PDOT!B8</f>
        <v>Sostenibilidad financiera: autonomía 43.35%→45.30%; gestión cobros y coactivas</v>
      </c>
      <c r="C85">
        <f>H07_S5_FINANCIERO_eSIGEF!E9</f>
        <v>2206556</v>
      </c>
      <c r="D85">
        <f>H07_S5_FINANCIERO_eSIGEF!F9</f>
        <v>1588720.3199999998</v>
      </c>
      <c r="E85">
        <f t="shared" si="3"/>
        <v>72</v>
      </c>
      <c r="F85" t="str">
        <f t="shared" si="4"/>
        <v>● Parcialmente Cumplido</v>
      </c>
    </row>
    <row r="86" spans="1:6" x14ac:dyDescent="0.3">
      <c r="A86" t="str">
        <f>H04_S2_PLANIFICACIÓN_PDOT!A9</f>
        <v>AH-I-X-02</v>
      </c>
      <c r="B86" t="str">
        <f>H04_S2_PLANIFICACIÓN_PDOT!B9</f>
        <v>Vialidad cantonal: mantenimiento 43.8 km vías CUP + 57.22 km rurales; 23.77 km tratamiento medio</v>
      </c>
      <c r="C86">
        <f>H07_S5_FINANCIERO_eSIGEF!E10</f>
        <v>0</v>
      </c>
      <c r="D86">
        <f>H07_S5_FINANCIERO_eSIGEF!F10</f>
        <v>0</v>
      </c>
      <c r="E86">
        <f t="shared" si="3"/>
        <v>0</v>
      </c>
      <c r="F86" t="str">
        <f t="shared" si="4"/>
        <v>● Sin ejecución</v>
      </c>
    </row>
    <row r="87" spans="1:6" x14ac:dyDescent="0.3">
      <c r="A87" t="str">
        <f>H04_S2_PLANIFICACIÓN_PDOT!A10</f>
        <v>AH-I-X-03</v>
      </c>
      <c r="B87" t="str">
        <f>H04_S2_PLANIFICACIÓN_PDOT!B10</f>
        <v>Salud integral municipal: población atendida 57,401→84,041 personas (+10% anual)</v>
      </c>
      <c r="C87">
        <f>H07_S5_FINANCIERO_eSIGEF!E11</f>
        <v>675840</v>
      </c>
      <c r="D87">
        <f>H07_S5_FINANCIERO_eSIGEF!F11</f>
        <v>486604.79999999999</v>
      </c>
      <c r="E87">
        <f t="shared" si="3"/>
        <v>72</v>
      </c>
      <c r="F87" t="str">
        <f t="shared" si="4"/>
        <v>● Parcialmente Cumplido</v>
      </c>
    </row>
    <row r="88" spans="1:6" x14ac:dyDescent="0.3">
      <c r="A88" t="str">
        <f>H04_S2_PLANIFICACIÓN_PDOT!A11</f>
        <v>AH-I-N-01</v>
      </c>
      <c r="B88" t="str">
        <f>H04_S2_PLANIFICACIÓN_PDOT!B11</f>
        <v>Gestión integral desechos sólidos: 20,118→23,086 Tn/año; relleno sanitario; capacidad disposición 0%→20%</v>
      </c>
      <c r="C88">
        <f>H07_S5_FINANCIERO_eSIGEF!E12</f>
        <v>50400</v>
      </c>
      <c r="D88">
        <f>H07_S5_FINANCIERO_eSIGEF!F12</f>
        <v>40320</v>
      </c>
      <c r="E88">
        <f t="shared" si="3"/>
        <v>80</v>
      </c>
      <c r="F88" t="str">
        <f t="shared" si="4"/>
        <v>● Parcialmente Cumplido</v>
      </c>
    </row>
    <row r="89" spans="1:6" x14ac:dyDescent="0.3">
      <c r="A89" t="str">
        <f>H04_S2_PLANIFICACIÓN_PDOT!A12</f>
        <v>SC-L-G-01</v>
      </c>
      <c r="B89" t="str">
        <f>H04_S2_PLANIFICACIÓN_PDOT!B12</f>
        <v>Alcantarillado sanitario: cobertura 19.77%→24.32%; PTAR 0%→75%; estaciones bombeo 36%→72%</v>
      </c>
      <c r="C89">
        <f>H07_S5_FINANCIERO_eSIGEF!E13</f>
        <v>299271</v>
      </c>
      <c r="D89">
        <f>H07_S5_FINANCIERO_eSIGEF!F13</f>
        <v>254380.35</v>
      </c>
      <c r="E89">
        <f t="shared" si="3"/>
        <v>85</v>
      </c>
      <c r="F89" t="str">
        <f t="shared" si="4"/>
        <v>● Cumplido</v>
      </c>
    </row>
    <row r="90" spans="1:6" x14ac:dyDescent="0.3">
      <c r="A90" t="str">
        <f>H04_S2_PLANIFICACIÓN_PDOT!A13</f>
        <v>AH-I-X-04</v>
      </c>
      <c r="B90" t="str">
        <f>H04_S2_PLANIFICACIÓN_PDOT!B13</f>
        <v>Modernización recursos administrativos: parque automotor, tecnología e infraestructura municipal</v>
      </c>
      <c r="C90">
        <f>H07_S5_FINANCIERO_eSIGEF!E14</f>
        <v>422356</v>
      </c>
      <c r="D90">
        <f>H07_S5_FINANCIERO_eSIGEF!F14</f>
        <v>304096.32</v>
      </c>
      <c r="E90">
        <f t="shared" si="3"/>
        <v>72</v>
      </c>
      <c r="F90" t="str">
        <f t="shared" si="4"/>
        <v>● Parcialmente Cumplido</v>
      </c>
    </row>
    <row r="91" spans="1:6" x14ac:dyDescent="0.3">
      <c r="A91" t="str">
        <f>H04_S2_PLANIFICACIÓN_PDOT!A14</f>
        <v>PI-I-G-01</v>
      </c>
      <c r="B91" t="str">
        <f>H04_S2_PLANIFICACIÓN_PDOT!B14</f>
        <v>Equipamientos públicos: terminal terrestre, mercado, estación bomberil, centro salud tipo C, mantenimiento espacios recreativos</v>
      </c>
      <c r="C91">
        <f>H07_S5_FINANCIERO_eSIGEF!E15</f>
        <v>2183216</v>
      </c>
      <c r="D91">
        <f>H07_S5_FINANCIERO_eSIGEF!F15</f>
        <v>1855733.5999999999</v>
      </c>
      <c r="E91">
        <f t="shared" si="3"/>
        <v>85</v>
      </c>
      <c r="F91" t="str">
        <f t="shared" si="4"/>
        <v>● Cumplido</v>
      </c>
    </row>
    <row r="92" spans="1:6" x14ac:dyDescent="0.3">
      <c r="A92" t="str">
        <f>H04_S2_PLANIFICACIÓN_PDOT!A15</f>
        <v>AH-C-X-01</v>
      </c>
      <c r="B92" t="str">
        <f>H04_S2_PLANIFICACIÓN_PDOT!B15</f>
        <v>Protección derechos sociales: atenciones grupos prioritarios 943→1,649 (+15%/año); CDI; adultos mayores; violencia de género</v>
      </c>
      <c r="C92">
        <f>H07_S5_FINANCIERO_eSIGEF!E16</f>
        <v>558105</v>
      </c>
      <c r="D92">
        <f>H07_S5_FINANCIERO_eSIGEF!F16</f>
        <v>401835.6</v>
      </c>
      <c r="E92">
        <f t="shared" si="3"/>
        <v>72</v>
      </c>
      <c r="F92" t="str">
        <f t="shared" si="4"/>
        <v>● Parcialmente Cumplido</v>
      </c>
    </row>
    <row r="93" spans="1:6" x14ac:dyDescent="0.3">
      <c r="A93" t="str">
        <f>H04_S2_PLANIFICACIÓN_PDOT!A16</f>
        <v>AH-C-X-02</v>
      </c>
      <c r="B93" t="str">
        <f>H04_S2_PLANIFICACIÓN_PDOT!B16</f>
        <v>Sistema información territorial: catastro urbano-rural 19.52%→80%; 12 procesos sistematizados; 37 trámites en línea</v>
      </c>
      <c r="C93">
        <f>H07_S5_FINANCIERO_eSIGEF!E17</f>
        <v>625859</v>
      </c>
      <c r="D93">
        <f>H07_S5_FINANCIERO_eSIGEF!F17</f>
        <v>450618.48</v>
      </c>
      <c r="E93">
        <f t="shared" si="3"/>
        <v>72</v>
      </c>
      <c r="F93" t="str">
        <f t="shared" si="4"/>
        <v>● Parcialmente Cumplido</v>
      </c>
    </row>
    <row r="94" spans="1:6" x14ac:dyDescent="0.3">
      <c r="A94" t="str">
        <f>H04_S2_PLANIFICACIÓN_PDOT!A17</f>
        <v>SC-I-N-03</v>
      </c>
      <c r="B94" t="str">
        <f>H04_S2_PLANIFICACIÓN_PDOT!B17</f>
        <v>Participación ciudadana: 50→100 Unidades Territoriales participativas; 2→4 instancias efectivas (COPFP Art.115)</v>
      </c>
      <c r="C94">
        <f>H07_S5_FINANCIERO_eSIGEF!E18</f>
        <v>37000</v>
      </c>
      <c r="D94">
        <f>H07_S5_FINANCIERO_eSIGEF!F18</f>
        <v>35150</v>
      </c>
      <c r="E94">
        <f t="shared" si="3"/>
        <v>95</v>
      </c>
      <c r="F94" t="str">
        <f t="shared" si="4"/>
        <v>● Cumplido</v>
      </c>
    </row>
    <row r="95" spans="1:6" x14ac:dyDescent="0.3">
      <c r="A95" t="str">
        <f>H04_S2_PLANIFICACIÓN_PDOT!A18</f>
        <v>FA-I-X-01</v>
      </c>
      <c r="B95" t="str">
        <f>H04_S2_PLANIFICACIÓN_PDOT!B18</f>
        <v>Gestión del riesgo: reducir 10% infraestructura susceptible (3,655→2,398 unidades); alerta temprana climática</v>
      </c>
      <c r="C95">
        <f>H07_S5_FINANCIERO_eSIGEF!E19</f>
        <v>78500</v>
      </c>
      <c r="D95">
        <f>H07_S5_FINANCIERO_eSIGEF!F19</f>
        <v>51025</v>
      </c>
      <c r="E95">
        <f t="shared" si="3"/>
        <v>65</v>
      </c>
      <c r="F95" t="str">
        <f t="shared" si="4"/>
        <v>● Incumplido</v>
      </c>
    </row>
    <row r="96" spans="1:6" x14ac:dyDescent="0.3">
      <c r="A96" t="str">
        <f>H04_S2_PLANIFICACIÓN_PDOT!A19</f>
        <v>FA-C-X-01</v>
      </c>
      <c r="B96" t="str">
        <f>H04_S2_PLANIFICACIÓN_PDOT!B19</f>
        <v>Áreas verdes y parques: IVU 10.94→17.32 m²/hab; parques inter-barriales; recuperación manglar perfil costero</v>
      </c>
      <c r="C96">
        <f>H07_S5_FINANCIERO_eSIGEF!E20</f>
        <v>5000</v>
      </c>
      <c r="D96">
        <f>H07_S5_FINANCIERO_eSIGEF!F20</f>
        <v>4000</v>
      </c>
      <c r="E96">
        <f t="shared" si="3"/>
        <v>80</v>
      </c>
      <c r="F96" t="str">
        <f t="shared" si="4"/>
        <v>● Parcialmente Cumplido</v>
      </c>
    </row>
    <row r="97" spans="1:6" x14ac:dyDescent="0.3">
      <c r="A97" t="str">
        <f>H04_S2_PLANIFICACIÓN_PDOT!A20</f>
        <v>FA-I-X-02</v>
      </c>
      <c r="B97" t="str">
        <f>H04_S2_PLANIFICACIÓN_PDOT!B20</f>
        <v>Índice equipamiento urbano CUP 9.96→10.73 m²/hab; recolección desechos 91.95%→97.95%; 77.83→81.07 km/día barrido</v>
      </c>
      <c r="C97">
        <f>H07_S5_FINANCIERO_eSIGEF!E21</f>
        <v>37600</v>
      </c>
      <c r="D97">
        <f>H07_S5_FINANCIERO_eSIGEF!F21</f>
        <v>31960</v>
      </c>
      <c r="E97">
        <f t="shared" si="3"/>
        <v>85</v>
      </c>
      <c r="F97" t="str">
        <f t="shared" si="4"/>
        <v>● Cumplido</v>
      </c>
    </row>
    <row r="98" spans="1:6" x14ac:dyDescent="0.3">
      <c r="A98" t="str">
        <f>H04_S2_PLANIFICACIÓN_PDOT!A21</f>
        <v>FA-L-N-01</v>
      </c>
      <c r="B98" t="str">
        <f>H04_S2_PLANIFICACIÓN_PDOT!B21</f>
        <v>Inventario patrimonial 100% al 2026; 8,000→10,000 participantes eventos culturales; Museo del Sombrero</v>
      </c>
      <c r="C98">
        <f>H07_S5_FINANCIERO_eSIGEF!E22</f>
        <v>5000</v>
      </c>
      <c r="D98">
        <f>H07_S5_FINANCIERO_eSIGEF!F22</f>
        <v>4750</v>
      </c>
      <c r="E98">
        <f t="shared" si="3"/>
        <v>95</v>
      </c>
      <c r="F98" t="str">
        <f t="shared" si="4"/>
        <v>● Cumplido</v>
      </c>
    </row>
    <row r="99" spans="1:6" x14ac:dyDescent="0.3">
      <c r="A99" t="str">
        <f>H04_S2_PLANIFICACIÓN_PDOT!A22</f>
        <v>PI-I-G-02</v>
      </c>
      <c r="B99" t="str">
        <f>H04_S2_PLANIFICACIÓN_PDOT!B22</f>
        <v>Cumplimiento PDOT/PUGS 0%→80%; SIL 19.52%→80%; 37 trámites digitales implementados</v>
      </c>
      <c r="C99">
        <f>H07_S5_FINANCIERO_eSIGEF!E23</f>
        <v>422100</v>
      </c>
      <c r="D99">
        <f>H07_S5_FINANCIERO_eSIGEF!F23</f>
        <v>358785</v>
      </c>
      <c r="E99">
        <f t="shared" si="3"/>
        <v>85</v>
      </c>
      <c r="F99" t="str">
        <f t="shared" si="4"/>
        <v>● Cumplido</v>
      </c>
    </row>
    <row r="100" spans="1:6" x14ac:dyDescent="0.3">
      <c r="A100" t="str">
        <f>H04_S2_PLANIFICACIÓN_PDOT!A23</f>
        <v>PI-L-G-01</v>
      </c>
      <c r="B100" t="str">
        <f>H04_S2_PLANIFICACIÓN_PDOT!B23</f>
        <v>Señalización vial 0→10,000 m²; 0→8 semáforos; revisiones técnicas 4,000→20,000; educación vial 40 instituciones</v>
      </c>
      <c r="C100">
        <f>H07_S5_FINANCIERO_eSIGEF!E24</f>
        <v>20222</v>
      </c>
      <c r="D100">
        <f>H07_S5_FINANCIERO_eSIGEF!F24</f>
        <v>19210.899999999998</v>
      </c>
      <c r="E100">
        <f t="shared" si="3"/>
        <v>94.999999999999986</v>
      </c>
      <c r="F100" t="str">
        <f t="shared" si="4"/>
        <v>● Cumplido</v>
      </c>
    </row>
    <row r="101" spans="1:6" x14ac:dyDescent="0.3">
      <c r="A101" t="str">
        <f>H04_S2_PLANIFICACIÓN_PDOT!A24</f>
        <v>EP-L-N-01</v>
      </c>
      <c r="B101" t="str">
        <f>H04_S2_PLANIFICACIÓN_PDOT!B24</f>
        <v>Vivienda de interés social: 50 VIS/VIP hasta 2027; reducción déficit habitacional cualitativo</v>
      </c>
      <c r="C101">
        <f>H07_S5_FINANCIERO_eSIGEF!E25</f>
        <v>30600</v>
      </c>
      <c r="D101">
        <f>H07_S5_FINANCIERO_eSIGEF!F25</f>
        <v>29070</v>
      </c>
      <c r="E101">
        <f t="shared" si="3"/>
        <v>95</v>
      </c>
      <c r="F101" t="str">
        <f t="shared" si="4"/>
        <v>● Cumplido</v>
      </c>
    </row>
    <row r="102" spans="1:6" x14ac:dyDescent="0.3">
      <c r="A102" t="str">
        <f>H04_S2_PLANIFICACIÓN_PDOT!A25</f>
        <v>EP-L-X-01</v>
      </c>
      <c r="B102" t="str">
        <f>H04_S2_PLANIFICACIÓN_PDOT!B25</f>
        <v>Fortalecimiento productivo: beneficiarios artesanos, mipymes, emprendedores, huertos comunitarios y cadenas de valor</v>
      </c>
      <c r="C102">
        <f>H07_S5_FINANCIERO_eSIGEF!E26</f>
        <v>163400</v>
      </c>
      <c r="D102">
        <f>H07_S5_FINANCIERO_eSIGEF!F26</f>
        <v>138890</v>
      </c>
      <c r="E102">
        <f t="shared" si="3"/>
        <v>85</v>
      </c>
      <c r="F102" t="str">
        <f t="shared" si="4"/>
        <v>● Cumplido</v>
      </c>
    </row>
    <row r="104" spans="1:6" ht="27.6" x14ac:dyDescent="0.3">
      <c r="A104" s="258" t="s">
        <v>1205</v>
      </c>
      <c r="B104" s="266"/>
      <c r="C104" s="266"/>
      <c r="D104" s="266"/>
      <c r="E104" s="266"/>
      <c r="F104" s="266"/>
    </row>
    <row r="105" spans="1:6" ht="60.6" x14ac:dyDescent="0.3">
      <c r="A105" s="267" t="str">
        <f>"El GAD Municipal de "&amp;H01_PARÁMETROS!B6&amp;" registró un ICPI verificado de "&amp;TEXT(H12_MOTOR_ICPI_CANÓNICO!B28,"0.0")&amp;"%, clasificado como '"&amp;H12_MOTOR_ICPI_CANÓNICO!B29&amp;"' según la Escala AVEP del Sistema TERRA SIAP-ICPI v2.0. La brecha con el ICM auto-reportado es de "&amp;TEXT(H12_MOTOR_ICPI_CANÓNICO!B31,"0.0")&amp;" puntos porcentuales, documentada con evidencia cruzada de 9 silos independientes."</f>
        <v>El GAD Municipal de GAD Municipal de Montecristi registró un ICPI verificado de 73%, clasificado como '🟢 Gestión por Mandato' según la Escala AVEP del Sistema TERRA SIAP-ICPI v2.0. La brecha con el ICM auto-reportado es de 27 puntos porcentuales, documentada con evidencia cruzada de 9 silos independientes.</v>
      </c>
      <c r="B105" s="268"/>
      <c r="C105" s="268"/>
      <c r="D105" s="268"/>
      <c r="E105" s="268"/>
      <c r="F105" s="268"/>
    </row>
    <row r="106" spans="1:6" x14ac:dyDescent="0.3">
      <c r="A106" s="261" t="s">
        <v>1206</v>
      </c>
    </row>
    <row r="108" spans="1:6" ht="27.6" x14ac:dyDescent="0.3">
      <c r="A108" s="258" t="s">
        <v>1207</v>
      </c>
      <c r="B108" s="266"/>
      <c r="C108" s="266"/>
      <c r="D108" s="266"/>
      <c r="E108" s="266"/>
      <c r="F108" s="266"/>
    </row>
    <row r="109" spans="1:6" ht="24.6" x14ac:dyDescent="0.3">
      <c r="A109" s="267" t="str">
        <f>"El Sistema TERRA SIAP-ICPI recomienda:"&amp;IF('H21_SAT-I'!B13="✅ Sin señal SAT-I","",CHAR(10)&amp;"→ Revisar universo de metas reportadas [SAT-I activa]")&amp;IF('H22_SAT-II'!B10="✅ Sin señal SAT-II","",CHAR(10)&amp;"→ Verificar consistencia de unidades de medida [SAT-II activa]")&amp;IF('H23_SAT-III'!B14="✅ Sin señal SAT-III","",CHAR(10)&amp;"→ Revisar inflación de indicadores [SAT-III activa]")&amp;IF('H24_SAT-IV'!B13="✅ SAT-IV no aplica — Reforma no vigente o derogada por Corte Constitucional","",CHAR(10)&amp;"→ Documentar ejecución social con ordenanza municipal [SAT-IV activa]")</f>
        <v>El Sistema TERRA SIAP-ICPI recomienda:</v>
      </c>
      <c r="B109" s="259"/>
      <c r="C109" s="259"/>
      <c r="D109" s="259"/>
      <c r="E109" s="259"/>
      <c r="F109" s="259"/>
    </row>
    <row r="110" spans="1:6" x14ac:dyDescent="0.3">
      <c r="A110" s="261" t="s">
        <v>1208</v>
      </c>
    </row>
    <row r="112" spans="1:6" ht="27.6" x14ac:dyDescent="0.3">
      <c r="A112" s="258" t="s">
        <v>1209</v>
      </c>
      <c r="B112" s="266"/>
      <c r="C112" s="266"/>
      <c r="D112" s="266"/>
      <c r="E112" s="266"/>
      <c r="F112" s="266"/>
    </row>
    <row r="113" spans="1:6" x14ac:dyDescent="0.3">
      <c r="A113" s="186" t="s">
        <v>192</v>
      </c>
      <c r="B113" s="186" t="s">
        <v>1210</v>
      </c>
      <c r="C113" s="186" t="s">
        <v>1211</v>
      </c>
      <c r="D113" s="186" t="s">
        <v>1212</v>
      </c>
      <c r="E113" s="186" t="s">
        <v>1213</v>
      </c>
      <c r="F113" s="186" t="s">
        <v>1214</v>
      </c>
    </row>
    <row r="114" spans="1:6" x14ac:dyDescent="0.3">
      <c r="A114" t="str">
        <f>H04_S2_PLANIFICACIÓN_PDOT!A6</f>
        <v>SC-I-N-01</v>
      </c>
      <c r="B114" t="str">
        <f>H04_S2_PLANIFICACIÓN_PDOT!B6</f>
        <v>Agua potable: cobertura 39.25%→42.38%; calidad 100% INEN 1108; infraestructura BUENA 22.74%→41.64%</v>
      </c>
      <c r="C114" t="str">
        <f>IF(H12_MOTOR_ICPI_CANÓNICO!J6&lt;40,"Ruptura sistémica — revisar cadena CTI completa",IF(H12_MOTOR_ICPI_CANÓNICO!J6&lt;70,"Transición crítica — reforzar seguimiento mensual","En seguimiento normal"))</f>
        <v>En seguimiento normal</v>
      </c>
      <c r="D114" s="260" t="s">
        <v>1215</v>
      </c>
      <c r="E114" t="str">
        <f>H04_S2_PLANIFICACIÓN_PDOT!R6</f>
        <v>Patronato Municipal</v>
      </c>
      <c r="F114" s="260" t="s">
        <v>1216</v>
      </c>
    </row>
    <row r="115" spans="1:6" x14ac:dyDescent="0.3">
      <c r="A115" t="str">
        <f>H04_S2_PLANIFICACIÓN_PDOT!A7</f>
        <v>SC-L-N-02</v>
      </c>
      <c r="B115" t="str">
        <f>H04_S2_PLANIFICACIÓN_PDOT!B7</f>
        <v>Gestión del talento humano municipal: desempeño 80%→90%; plan capacitación 90% anual</v>
      </c>
      <c r="C115" t="str">
        <f>IF(H12_MOTOR_ICPI_CANÓNICO!J7&lt;40,"Ruptura sistémica — revisar cadena CTI completa",IF(H12_MOTOR_ICPI_CANÓNICO!J7&lt;70,"Transición crítica — reforzar seguimiento mensual","En seguimiento normal"))</f>
        <v>En seguimiento normal</v>
      </c>
      <c r="D115" s="260" t="s">
        <v>1215</v>
      </c>
      <c r="E115" t="str">
        <f>H04_S2_PLANIFICACIÓN_PDOT!R7</f>
        <v>Dirección TIC</v>
      </c>
      <c r="F115" s="260" t="s">
        <v>1216</v>
      </c>
    </row>
    <row r="116" spans="1:6" x14ac:dyDescent="0.3">
      <c r="A116" t="str">
        <f>H04_S2_PLANIFICACIÓN_PDOT!A8</f>
        <v>AH-I-X-01</v>
      </c>
      <c r="B116" t="str">
        <f>H04_S2_PLANIFICACIÓN_PDOT!B8</f>
        <v>Sostenibilidad financiera: autonomía 43.35%→45.30%; gestión cobros y coactivas</v>
      </c>
      <c r="C116" t="str">
        <f>IF(H12_MOTOR_ICPI_CANÓNICO!J8&lt;40,"Ruptura sistémica — revisar cadena CTI completa",IF(H12_MOTOR_ICPI_CANÓNICO!J8&lt;70,"Transición crítica — reforzar seguimiento mensual","En seguimiento normal"))</f>
        <v>Transición crítica — reforzar seguimiento mensual</v>
      </c>
      <c r="D116" s="260" t="s">
        <v>1215</v>
      </c>
      <c r="E116" t="str">
        <f>H04_S2_PLANIFICACIÓN_PDOT!R8</f>
        <v>Dirección de Obras Públicas</v>
      </c>
      <c r="F116" s="260" t="s">
        <v>1216</v>
      </c>
    </row>
    <row r="117" spans="1:6" x14ac:dyDescent="0.3">
      <c r="A117" t="str">
        <f>H04_S2_PLANIFICACIÓN_PDOT!A9</f>
        <v>AH-I-X-02</v>
      </c>
      <c r="B117" t="str">
        <f>H04_S2_PLANIFICACIÓN_PDOT!B9</f>
        <v>Vialidad cantonal: mantenimiento 43.8 km vías CUP + 57.22 km rurales; 23.77 km tratamiento medio</v>
      </c>
      <c r="C117" t="str">
        <f>IF(H12_MOTOR_ICPI_CANÓNICO!J9&lt;40,"Ruptura sistémica — revisar cadena CTI completa",IF(H12_MOTOR_ICPI_CANÓNICO!J9&lt;70,"Transición crítica — reforzar seguimiento mensual","En seguimiento normal"))</f>
        <v>Ruptura sistémica — revisar cadena CTI completa</v>
      </c>
      <c r="D117" s="260" t="s">
        <v>1215</v>
      </c>
      <c r="E117" t="str">
        <f>H04_S2_PLANIFICACIÓN_PDOT!R9</f>
        <v>Dirección de Obras Públicas</v>
      </c>
      <c r="F117" s="260" t="s">
        <v>1216</v>
      </c>
    </row>
    <row r="118" spans="1:6" x14ac:dyDescent="0.3">
      <c r="A118" t="str">
        <f>H04_S2_PLANIFICACIÓN_PDOT!A10</f>
        <v>AH-I-X-03</v>
      </c>
      <c r="B118" t="str">
        <f>H04_S2_PLANIFICACIÓN_PDOT!B10</f>
        <v>Salud integral municipal: población atendida 57,401→84,041 personas (+10% anual)</v>
      </c>
      <c r="C118" t="str">
        <f>IF(H12_MOTOR_ICPI_CANÓNICO!J10&lt;40,"Ruptura sistémica — revisar cadena CTI completa",IF(H12_MOTOR_ICPI_CANÓNICO!J10&lt;70,"Transición crítica — reforzar seguimiento mensual","En seguimiento normal"))</f>
        <v>Transición crítica — reforzar seguimiento mensual</v>
      </c>
      <c r="D118" s="260" t="s">
        <v>1215</v>
      </c>
      <c r="E118" t="str">
        <f>H04_S2_PLANIFICACIÓN_PDOT!R10</f>
        <v>Dirección de Obras Públicas</v>
      </c>
      <c r="F118" s="260" t="s">
        <v>1216</v>
      </c>
    </row>
    <row r="119" spans="1:6" x14ac:dyDescent="0.3">
      <c r="A119" t="str">
        <f>H04_S2_PLANIFICACIÓN_PDOT!A11</f>
        <v>AH-I-N-01</v>
      </c>
      <c r="B119" t="str">
        <f>H04_S2_PLANIFICACIÓN_PDOT!B11</f>
        <v>Gestión integral desechos sólidos: 20,118→23,086 Tn/año; relleno sanitario; capacidad disposición 0%→20%</v>
      </c>
      <c r="C119" t="str">
        <f>IF(H12_MOTOR_ICPI_CANÓNICO!J11&lt;40,"Ruptura sistémica — revisar cadena CTI completa",IF(H12_MOTOR_ICPI_CANÓNICO!J11&lt;70,"Transición crítica — reforzar seguimiento mensual","En seguimiento normal"))</f>
        <v>Ruptura sistémica — revisar cadena CTI completa</v>
      </c>
      <c r="D119" s="260" t="s">
        <v>1215</v>
      </c>
      <c r="E119" t="str">
        <f>H04_S2_PLANIFICACIÓN_PDOT!R11</f>
        <v>EP Montehogar</v>
      </c>
      <c r="F119" s="260" t="s">
        <v>1216</v>
      </c>
    </row>
    <row r="120" spans="1:6" x14ac:dyDescent="0.3">
      <c r="A120" t="str">
        <f>H04_S2_PLANIFICACIÓN_PDOT!A12</f>
        <v>SC-L-G-01</v>
      </c>
      <c r="B120" t="str">
        <f>H04_S2_PLANIFICACIÓN_PDOT!B12</f>
        <v>Alcantarillado sanitario: cobertura 19.77%→24.32%; PTAR 0%→75%; estaciones bombeo 36%→72%</v>
      </c>
      <c r="C120" t="str">
        <f>IF(H12_MOTOR_ICPI_CANÓNICO!J12&lt;40,"Ruptura sistémica — revisar cadena CTI completa",IF(H12_MOTOR_ICPI_CANÓNICO!J12&lt;70,"Transición crítica — reforzar seguimiento mensual","En seguimiento normal"))</f>
        <v>Transición crítica — reforzar seguimiento mensual</v>
      </c>
      <c r="D120" s="260" t="s">
        <v>1215</v>
      </c>
      <c r="E120" t="str">
        <f>H04_S2_PLANIFICACIÓN_PDOT!R12</f>
        <v>Dirección de Cultura y Deporte</v>
      </c>
      <c r="F120" s="260" t="s">
        <v>1216</v>
      </c>
    </row>
    <row r="121" spans="1:6" x14ac:dyDescent="0.3">
      <c r="A121" t="str">
        <f>H04_S2_PLANIFICACIÓN_PDOT!A13</f>
        <v>AH-I-X-04</v>
      </c>
      <c r="B121" t="str">
        <f>H04_S2_PLANIFICACIÓN_PDOT!B13</f>
        <v>Modernización recursos administrativos: parque automotor, tecnología e infraestructura municipal</v>
      </c>
      <c r="C121" t="str">
        <f>IF(H12_MOTOR_ICPI_CANÓNICO!J13&lt;40,"Ruptura sistémica — revisar cadena CTI completa",IF(H12_MOTOR_ICPI_CANÓNICO!J13&lt;70,"Transición crítica — reforzar seguimiento mensual","En seguimiento normal"))</f>
        <v>Transición crítica — reforzar seguimiento mensual</v>
      </c>
      <c r="D121" s="260" t="s">
        <v>1215</v>
      </c>
      <c r="E121" t="str">
        <f>H04_S2_PLANIFICACIÓN_PDOT!R13</f>
        <v>Dirección de Obras Públicas</v>
      </c>
      <c r="F121" s="260" t="s">
        <v>1216</v>
      </c>
    </row>
    <row r="122" spans="1:6" x14ac:dyDescent="0.3">
      <c r="A122" t="str">
        <f>H04_S2_PLANIFICACIÓN_PDOT!A14</f>
        <v>PI-I-G-01</v>
      </c>
      <c r="B122" t="str">
        <f>H04_S2_PLANIFICACIÓN_PDOT!B14</f>
        <v>Equipamientos públicos: terminal terrestre, mercado, estación bomberil, centro salud tipo C, mantenimiento espacios recreativos</v>
      </c>
      <c r="C122" t="str">
        <f>IF(H12_MOTOR_ICPI_CANÓNICO!J14&lt;40,"Ruptura sistémica — revisar cadena CTI completa",IF(H12_MOTOR_ICPI_CANÓNICO!J14&lt;70,"Transición crítica — reforzar seguimiento mensual","En seguimiento normal"))</f>
        <v>En seguimiento normal</v>
      </c>
      <c r="D122" s="260" t="s">
        <v>1215</v>
      </c>
      <c r="E122" t="str">
        <f>H04_S2_PLANIFICACIÓN_PDOT!R14</f>
        <v>Dirección Administrativa</v>
      </c>
      <c r="F122" s="260" t="s">
        <v>1216</v>
      </c>
    </row>
    <row r="123" spans="1:6" x14ac:dyDescent="0.3">
      <c r="A123" t="str">
        <f>H04_S2_PLANIFICACIÓN_PDOT!A15</f>
        <v>AH-C-X-01</v>
      </c>
      <c r="B123" t="str">
        <f>H04_S2_PLANIFICACIÓN_PDOT!B15</f>
        <v>Protección derechos sociales: atenciones grupos prioritarios 943→1,649 (+15%/año); CDI; adultos mayores; violencia de género</v>
      </c>
      <c r="C123" t="str">
        <f>IF(H12_MOTOR_ICPI_CANÓNICO!J15&lt;40,"Ruptura sistémica — revisar cadena CTI completa",IF(H12_MOTOR_ICPI_CANÓNICO!J15&lt;70,"Transición crítica — reforzar seguimiento mensual","En seguimiento normal"))</f>
        <v>En seguimiento normal</v>
      </c>
      <c r="D123" s="260" t="s">
        <v>1215</v>
      </c>
      <c r="E123" t="str">
        <f>H04_S2_PLANIFICACIÓN_PDOT!R15</f>
        <v>Dirección de Agua y Saneamiento</v>
      </c>
      <c r="F123" s="260" t="s">
        <v>1216</v>
      </c>
    </row>
    <row r="124" spans="1:6" x14ac:dyDescent="0.3">
      <c r="A124" t="str">
        <f>H04_S2_PLANIFICACIÓN_PDOT!A16</f>
        <v>AH-C-X-02</v>
      </c>
      <c r="B124" t="str">
        <f>H04_S2_PLANIFICACIÓN_PDOT!B16</f>
        <v>Sistema información territorial: catastro urbano-rural 19.52%→80%; 12 procesos sistematizados; 37 trámites en línea</v>
      </c>
      <c r="C124" t="str">
        <f>IF(H12_MOTOR_ICPI_CANÓNICO!J16&lt;40,"Ruptura sistémica — revisar cadena CTI completa",IF(H12_MOTOR_ICPI_CANÓNICO!J16&lt;70,"Transición crítica — reforzar seguimiento mensual","En seguimiento normal"))</f>
        <v>En seguimiento normal</v>
      </c>
      <c r="D124" s="260" t="s">
        <v>1215</v>
      </c>
      <c r="E124" t="str">
        <f>H04_S2_PLANIFICACIÓN_PDOT!R16</f>
        <v>Dirección de Agua y Saneamiento</v>
      </c>
      <c r="F124" s="260" t="s">
        <v>1216</v>
      </c>
    </row>
    <row r="125" spans="1:6" x14ac:dyDescent="0.3">
      <c r="A125" t="str">
        <f>H04_S2_PLANIFICACIÓN_PDOT!A17</f>
        <v>SC-I-N-03</v>
      </c>
      <c r="B125" t="str">
        <f>H04_S2_PLANIFICACIÓN_PDOT!B17</f>
        <v>Participación ciudadana: 50→100 Unidades Territoriales participativas; 2→4 instancias efectivas (COPFP Art.115)</v>
      </c>
      <c r="C125" t="str">
        <f>IF(H12_MOTOR_ICPI_CANÓNICO!J17&lt;40,"Ruptura sistémica — revisar cadena CTI completa",IF(H12_MOTOR_ICPI_CANÓNICO!J17&lt;70,"Transición crítica — reforzar seguimiento mensual","En seguimiento normal"))</f>
        <v>Transición crítica — reforzar seguimiento mensual</v>
      </c>
      <c r="D125" s="260" t="s">
        <v>1215</v>
      </c>
      <c r="E125" t="str">
        <f>H04_S2_PLANIFICACIÓN_PDOT!R17</f>
        <v>Patronato Municipal</v>
      </c>
      <c r="F125" s="260" t="s">
        <v>1216</v>
      </c>
    </row>
    <row r="126" spans="1:6" x14ac:dyDescent="0.3">
      <c r="A126" t="str">
        <f>H04_S2_PLANIFICACIÓN_PDOT!A18</f>
        <v>FA-I-X-01</v>
      </c>
      <c r="B126" t="str">
        <f>H04_S2_PLANIFICACIÓN_PDOT!B18</f>
        <v>Gestión del riesgo: reducir 10% infraestructura susceptible (3,655→2,398 unidades); alerta temprana climática</v>
      </c>
      <c r="C126" t="str">
        <f>IF(H12_MOTOR_ICPI_CANÓNICO!J18&lt;40,"Ruptura sistémica — revisar cadena CTI completa",IF(H12_MOTOR_ICPI_CANÓNICO!J18&lt;70,"Transición crítica — reforzar seguimiento mensual","En seguimiento normal"))</f>
        <v>Transición crítica — reforzar seguimiento mensual</v>
      </c>
      <c r="D126" s="260" t="s">
        <v>1215</v>
      </c>
      <c r="E126" t="str">
        <f>H04_S2_PLANIFICACIÓN_PDOT!R18</f>
        <v>Dirección Ambiental</v>
      </c>
      <c r="F126" s="260" t="s">
        <v>1216</v>
      </c>
    </row>
    <row r="127" spans="1:6" x14ac:dyDescent="0.3">
      <c r="A127" t="str">
        <f>H04_S2_PLANIFICACIÓN_PDOT!A19</f>
        <v>FA-C-X-01</v>
      </c>
      <c r="B127" t="str">
        <f>H04_S2_PLANIFICACIÓN_PDOT!B19</f>
        <v>Áreas verdes y parques: IVU 10.94→17.32 m²/hab; parques inter-barriales; recuperación manglar perfil costero</v>
      </c>
      <c r="C127" t="str">
        <f>IF(H12_MOTOR_ICPI_CANÓNICO!J19&lt;40,"Ruptura sistémica — revisar cadena CTI completa",IF(H12_MOTOR_ICPI_CANÓNICO!J19&lt;70,"Transición crítica — reforzar seguimiento mensual","En seguimiento normal"))</f>
        <v>En seguimiento normal</v>
      </c>
      <c r="D127" s="260" t="s">
        <v>1215</v>
      </c>
      <c r="E127" t="str">
        <f>H04_S2_PLANIFICACIÓN_PDOT!R19</f>
        <v>EP Aseo Montecristi</v>
      </c>
      <c r="F127" s="260" t="s">
        <v>1216</v>
      </c>
    </row>
    <row r="128" spans="1:6" x14ac:dyDescent="0.3">
      <c r="A128" t="str">
        <f>H04_S2_PLANIFICACIÓN_PDOT!A20</f>
        <v>FA-I-X-02</v>
      </c>
      <c r="B128" t="str">
        <f>H04_S2_PLANIFICACIÓN_PDOT!B20</f>
        <v>Índice equipamiento urbano CUP 9.96→10.73 m²/hab; recolección desechos 91.95%→97.95%; 77.83→81.07 km/día barrido</v>
      </c>
      <c r="C128" t="str">
        <f>IF(H12_MOTOR_ICPI_CANÓNICO!J20&lt;40,"Ruptura sistémica — revisar cadena CTI completa",IF(H12_MOTOR_ICPI_CANÓNICO!J20&lt;70,"Transición crítica — reforzar seguimiento mensual","En seguimiento normal"))</f>
        <v>Transición crítica — reforzar seguimiento mensual</v>
      </c>
      <c r="D128" s="260" t="s">
        <v>1215</v>
      </c>
      <c r="E128" t="str">
        <f>H04_S2_PLANIFICACIÓN_PDOT!R20</f>
        <v>Dirección Ambiental</v>
      </c>
      <c r="F128" s="260" t="s">
        <v>1216</v>
      </c>
    </row>
    <row r="129" spans="1:6" x14ac:dyDescent="0.3">
      <c r="A129" t="str">
        <f>H04_S2_PLANIFICACIÓN_PDOT!A21</f>
        <v>FA-L-N-01</v>
      </c>
      <c r="B129" t="str">
        <f>H04_S2_PLANIFICACIÓN_PDOT!B21</f>
        <v>Inventario patrimonial 100% al 2026; 8,000→10,000 participantes eventos culturales; Museo del Sombrero</v>
      </c>
      <c r="C129" t="str">
        <f>IF(H12_MOTOR_ICPI_CANÓNICO!J21&lt;40,"Ruptura sistémica — revisar cadena CTI completa",IF(H12_MOTOR_ICPI_CANÓNICO!J21&lt;70,"Transición crítica — reforzar seguimiento mensual","En seguimiento normal"))</f>
        <v>En seguimiento normal</v>
      </c>
      <c r="D129" s="260" t="s">
        <v>1215</v>
      </c>
      <c r="E129" t="str">
        <f>H04_S2_PLANIFICACIÓN_PDOT!R21</f>
        <v>Dirección Ambiental</v>
      </c>
      <c r="F129" s="260" t="s">
        <v>1216</v>
      </c>
    </row>
    <row r="130" spans="1:6" x14ac:dyDescent="0.3">
      <c r="A130" t="str">
        <f>H04_S2_PLANIFICACIÓN_PDOT!A22</f>
        <v>PI-I-G-02</v>
      </c>
      <c r="B130" t="str">
        <f>H04_S2_PLANIFICACIÓN_PDOT!B22</f>
        <v>Cumplimiento PDOT/PUGS 0%→80%; SIL 19.52%→80%; 37 trámites digitales implementados</v>
      </c>
      <c r="C130" t="str">
        <f>IF(H12_MOTOR_ICPI_CANÓNICO!J22&lt;40,"Ruptura sistémica — revisar cadena CTI completa",IF(H12_MOTOR_ICPI_CANÓNICO!J22&lt;70,"Transición crítica — reforzar seguimiento mensual","En seguimiento normal"))</f>
        <v>En seguimiento normal</v>
      </c>
      <c r="D130" s="260" t="s">
        <v>1215</v>
      </c>
      <c r="E130" t="str">
        <f>H04_S2_PLANIFICACIÓN_PDOT!R22</f>
        <v>Dirección Planificación</v>
      </c>
      <c r="F130" s="260" t="s">
        <v>1216</v>
      </c>
    </row>
    <row r="131" spans="1:6" x14ac:dyDescent="0.3">
      <c r="A131" t="str">
        <f>H04_S2_PLANIFICACIÓN_PDOT!A23</f>
        <v>PI-L-G-01</v>
      </c>
      <c r="B131" t="str">
        <f>H04_S2_PLANIFICACIÓN_PDOT!B23</f>
        <v>Señalización vial 0→10,000 m²; 0→8 semáforos; revisiones técnicas 4,000→20,000; educación vial 40 instituciones</v>
      </c>
      <c r="C131" t="str">
        <f>IF(H12_MOTOR_ICPI_CANÓNICO!J23&lt;40,"Ruptura sistémica — revisar cadena CTI completa",IF(H12_MOTOR_ICPI_CANÓNICO!J23&lt;70,"Transición crítica — reforzar seguimiento mensual","En seguimiento normal"))</f>
        <v>Transición crítica — reforzar seguimiento mensual</v>
      </c>
      <c r="D131" s="260" t="s">
        <v>1215</v>
      </c>
      <c r="E131" t="str">
        <f>H04_S2_PLANIFICACIÓN_PDOT!R23</f>
        <v>Dirección Planificación</v>
      </c>
      <c r="F131" s="260" t="s">
        <v>1216</v>
      </c>
    </row>
    <row r="132" spans="1:6" x14ac:dyDescent="0.3">
      <c r="A132" t="str">
        <f>H04_S2_PLANIFICACIÓN_PDOT!A24</f>
        <v>EP-L-N-01</v>
      </c>
      <c r="B132" t="str">
        <f>H04_S2_PLANIFICACIÓN_PDOT!B24</f>
        <v>Vivienda de interés social: 50 VIS/VIP hasta 2027; reducción déficit habitacional cualitativo</v>
      </c>
      <c r="C132" t="str">
        <f>IF(H12_MOTOR_ICPI_CANÓNICO!J24&lt;40,"Ruptura sistémica — revisar cadena CTI completa",IF(H12_MOTOR_ICPI_CANÓNICO!J24&lt;70,"Transición crítica — reforzar seguimiento mensual","En seguimiento normal"))</f>
        <v>En seguimiento normal</v>
      </c>
      <c r="D132" s="260" t="s">
        <v>1215</v>
      </c>
      <c r="E132" t="str">
        <f>H04_S2_PLANIFICACIÓN_PDOT!R24</f>
        <v>Dirección Económica</v>
      </c>
      <c r="F132" s="260" t="s">
        <v>1216</v>
      </c>
    </row>
    <row r="133" spans="1:6" x14ac:dyDescent="0.3">
      <c r="A133" t="str">
        <f>H04_S2_PLANIFICACIÓN_PDOT!A25</f>
        <v>EP-L-X-01</v>
      </c>
      <c r="B133" t="str">
        <f>H04_S2_PLANIFICACIÓN_PDOT!B25</f>
        <v>Fortalecimiento productivo: beneficiarios artesanos, mipymes, emprendedores, huertos comunitarios y cadenas de valor</v>
      </c>
      <c r="C133" t="str">
        <f>IF(H12_MOTOR_ICPI_CANÓNICO!J25&lt;40,"Ruptura sistémica — revisar cadena CTI completa",IF(H12_MOTOR_ICPI_CANÓNICO!J25&lt;70,"Transición crítica — reforzar seguimiento mensual","En seguimiento normal"))</f>
        <v>En seguimiento normal</v>
      </c>
      <c r="D133" s="260" t="s">
        <v>1215</v>
      </c>
      <c r="E133" t="str">
        <f>H04_S2_PLANIFICACIÓN_PDOT!R25</f>
        <v>Dirección Turismo</v>
      </c>
      <c r="F133" s="260" t="s">
        <v>1216</v>
      </c>
    </row>
    <row r="135" spans="1:6" ht="43.8" x14ac:dyDescent="0.3">
      <c r="A135" s="257" t="s">
        <v>1217</v>
      </c>
      <c r="B135" s="268"/>
      <c r="C135" s="268"/>
      <c r="D135" s="268"/>
      <c r="E135" s="268"/>
      <c r="F135" s="268"/>
    </row>
  </sheetData>
  <hyperlinks>
    <hyperlink ref="B1" location="'H00_ÍNDICE'!A1" display="⬅️ ÍNDICE GENERAL" xr:uid="{0701350B-05CA-43FF-A6C4-CB2BE2612036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45FF-A47E-4BB0-A9F9-F3E6AF294483}">
  <sheetPr>
    <tabColor rgb="FF6B46C1"/>
  </sheetPr>
  <dimension ref="A1:F41"/>
  <sheetViews>
    <sheetView workbookViewId="0">
      <pane ySplit="2" topLeftCell="A3" activePane="bottomLeft" state="frozen"/>
      <selection pane="bottomLeft" activeCell="D20" sqref="D20"/>
    </sheetView>
  </sheetViews>
  <sheetFormatPr baseColWidth="10" defaultRowHeight="14.4" x14ac:dyDescent="0.3"/>
  <cols>
    <col min="1" max="1" width="55.5546875" customWidth="1"/>
    <col min="2" max="2" width="63" customWidth="1"/>
    <col min="3" max="3" width="8.88671875" bestFit="1" customWidth="1"/>
    <col min="4" max="4" width="17.109375" bestFit="1" customWidth="1"/>
    <col min="5" max="5" width="23" bestFit="1" customWidth="1"/>
    <col min="6" max="6" width="18.109375" bestFit="1" customWidth="1"/>
  </cols>
  <sheetData>
    <row r="1" spans="1:5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1160</v>
      </c>
      <c r="E1" s="212" t="str">
        <f ca="1">TEXT(TODAY(),"DD/MM/YYYY")</f>
        <v>05/04/2026</v>
      </c>
    </row>
    <row r="2" spans="1:5" ht="25.05" customHeight="1" x14ac:dyDescent="0.35">
      <c r="A2" s="303" t="s">
        <v>926</v>
      </c>
      <c r="B2" s="303"/>
      <c r="C2" s="303"/>
      <c r="D2" s="303"/>
      <c r="E2" s="303"/>
    </row>
    <row r="3" spans="1:5" ht="16.05" customHeight="1" x14ac:dyDescent="0.3">
      <c r="A3" s="301" t="s">
        <v>1179</v>
      </c>
      <c r="B3" s="301"/>
      <c r="C3" s="301"/>
      <c r="D3" s="301"/>
      <c r="E3" s="301"/>
    </row>
    <row r="5" spans="1:5" x14ac:dyDescent="0.3">
      <c r="A5" s="26" t="s">
        <v>927</v>
      </c>
    </row>
    <row r="6" spans="1:5" ht="15.6" x14ac:dyDescent="0.3">
      <c r="A6" s="11" t="s">
        <v>928</v>
      </c>
    </row>
    <row r="7" spans="1:5" x14ac:dyDescent="0.3">
      <c r="A7" s="3" t="s">
        <v>929</v>
      </c>
      <c r="B7" s="285" t="s">
        <v>930</v>
      </c>
    </row>
    <row r="8" spans="1:5" x14ac:dyDescent="0.3">
      <c r="A8" s="3" t="s">
        <v>931</v>
      </c>
      <c r="B8" s="291">
        <f>H20_ICODS!D8</f>
        <v>75.735167022581891</v>
      </c>
    </row>
    <row r="9" spans="1:5" x14ac:dyDescent="0.3">
      <c r="A9" s="3" t="s">
        <v>817</v>
      </c>
      <c r="B9" s="285" t="str">
        <f>H20_ICODS!E8</f>
        <v>🟢 Gestión por Mandato</v>
      </c>
    </row>
    <row r="10" spans="1:5" x14ac:dyDescent="0.3">
      <c r="A10" s="3" t="s">
        <v>932</v>
      </c>
      <c r="B10" s="285" t="str">
        <f>IF(H20_ICODS!D8&gt;=50,"✅ ELEGIBLE — Base institucional certificada por ICPI","⚠️ Reforzar base institucional — ICPI Gobernanza &lt; 50%")</f>
        <v>✅ ELEGIBLE — Base institucional certificada por ICPI</v>
      </c>
    </row>
    <row r="11" spans="1:5" x14ac:dyDescent="0.3">
      <c r="A11" s="3" t="s">
        <v>933</v>
      </c>
      <c r="B11" s="285">
        <f>H20_ICODS!C8</f>
        <v>7</v>
      </c>
    </row>
    <row r="13" spans="1:5" ht="15.6" x14ac:dyDescent="0.3">
      <c r="A13" s="11" t="s">
        <v>934</v>
      </c>
    </row>
    <row r="14" spans="1:5" x14ac:dyDescent="0.3">
      <c r="A14" s="3" t="s">
        <v>929</v>
      </c>
      <c r="B14" s="285" t="s">
        <v>935</v>
      </c>
    </row>
    <row r="15" spans="1:5" x14ac:dyDescent="0.3">
      <c r="A15" s="3" t="s">
        <v>936</v>
      </c>
      <c r="B15" s="291">
        <f>H20_ICODS!D10</f>
        <v>63.510333371762016</v>
      </c>
    </row>
    <row r="16" spans="1:5" x14ac:dyDescent="0.3">
      <c r="A16" s="3" t="s">
        <v>817</v>
      </c>
      <c r="B16" s="285" t="str">
        <f>H20_ICODS!E10</f>
        <v>🟡 Transición Crítica</v>
      </c>
    </row>
    <row r="17" spans="1:6" x14ac:dyDescent="0.3">
      <c r="A17" s="3" t="s">
        <v>932</v>
      </c>
      <c r="B17" s="285" t="str">
        <f>IF(H20_ICODS!D10&lt;50,"✅ ELEGIBLE — Brecha social documentada algorítmicamente","ℹ️ Presentar como fortalecimiento — ICS en zona aceptable")</f>
        <v>ℹ️ Presentar como fortalecimiento — ICS en zona aceptable</v>
      </c>
    </row>
    <row r="18" spans="1:6" x14ac:dyDescent="0.3">
      <c r="A18" s="3" t="s">
        <v>933</v>
      </c>
      <c r="B18" s="285">
        <f>H20_ICODS!C10</f>
        <v>3</v>
      </c>
    </row>
    <row r="20" spans="1:6" ht="15.6" x14ac:dyDescent="0.3">
      <c r="A20" s="11" t="s">
        <v>937</v>
      </c>
    </row>
    <row r="21" spans="1:6" x14ac:dyDescent="0.3">
      <c r="A21" s="3" t="s">
        <v>929</v>
      </c>
      <c r="B21" s="285" t="s">
        <v>938</v>
      </c>
    </row>
    <row r="22" spans="1:6" x14ac:dyDescent="0.3">
      <c r="A22" s="3" t="s">
        <v>939</v>
      </c>
      <c r="B22" s="291">
        <f>H20_ICODS!D9</f>
        <v>71.274658627993574</v>
      </c>
    </row>
    <row r="23" spans="1:6" x14ac:dyDescent="0.3">
      <c r="A23" s="3" t="s">
        <v>817</v>
      </c>
      <c r="B23" s="285" t="str">
        <f>H20_ICODS!E9</f>
        <v>🟢 Gestión por Mandato</v>
      </c>
    </row>
    <row r="24" spans="1:6" x14ac:dyDescent="0.3">
      <c r="A24" s="3" t="s">
        <v>932</v>
      </c>
      <c r="B24" s="285" t="str">
        <f>IF(H20_ICODS!D9&gt;=60,"✅ ELEGIBLE — Base de infraestructura verificada","⚠️ Reforzar ejecución infraestructura")</f>
        <v>✅ ELEGIBLE — Base de infraestructura verificada</v>
      </c>
    </row>
    <row r="25" spans="1:6" x14ac:dyDescent="0.3">
      <c r="A25" s="3" t="s">
        <v>933</v>
      </c>
      <c r="B25" s="285">
        <f>H20_ICODS!C9</f>
        <v>10</v>
      </c>
    </row>
    <row r="28" spans="1:6" x14ac:dyDescent="0.3">
      <c r="A28" s="26" t="s">
        <v>940</v>
      </c>
    </row>
    <row r="29" spans="1:6" x14ac:dyDescent="0.3">
      <c r="A29" s="25" t="s">
        <v>364</v>
      </c>
      <c r="B29" s="25" t="s">
        <v>941</v>
      </c>
      <c r="C29" s="25" t="s">
        <v>528</v>
      </c>
      <c r="D29" s="25" t="s">
        <v>797</v>
      </c>
      <c r="E29" s="25" t="s">
        <v>368</v>
      </c>
      <c r="F29" s="25" t="s">
        <v>942</v>
      </c>
    </row>
    <row r="30" spans="1:6" x14ac:dyDescent="0.3">
      <c r="A30" s="166" t="s">
        <v>369</v>
      </c>
      <c r="B30" s="166" t="s">
        <v>370</v>
      </c>
      <c r="C30" s="168">
        <f>H20_ICODS!C8</f>
        <v>7</v>
      </c>
      <c r="D30" s="167">
        <f>H20_ICODS!D8</f>
        <v>75.735167022581891</v>
      </c>
      <c r="E30" s="166" t="str">
        <f>H20_ICODS!E8</f>
        <v>🟢 Gestión por Mandato</v>
      </c>
      <c r="F30" s="180" t="s">
        <v>943</v>
      </c>
    </row>
    <row r="31" spans="1:6" x14ac:dyDescent="0.3">
      <c r="A31" s="169" t="s">
        <v>371</v>
      </c>
      <c r="B31" s="169" t="s">
        <v>372</v>
      </c>
      <c r="C31" s="171">
        <f>H20_ICODS!C9</f>
        <v>10</v>
      </c>
      <c r="D31" s="170">
        <f>H20_ICODS!D9</f>
        <v>71.274658627993574</v>
      </c>
      <c r="E31" s="169" t="str">
        <f>H20_ICODS!E9</f>
        <v>🟢 Gestión por Mandato</v>
      </c>
      <c r="F31" s="178" t="s">
        <v>944</v>
      </c>
    </row>
    <row r="32" spans="1:6" x14ac:dyDescent="0.3">
      <c r="A32" s="166" t="s">
        <v>373</v>
      </c>
      <c r="B32" s="166" t="s">
        <v>374</v>
      </c>
      <c r="C32" s="168">
        <f>H20_ICODS!C10</f>
        <v>3</v>
      </c>
      <c r="D32" s="167">
        <f>H20_ICODS!D10</f>
        <v>63.510333371762016</v>
      </c>
      <c r="E32" s="166" t="str">
        <f>H20_ICODS!E10</f>
        <v>🟡 Transición Crítica</v>
      </c>
      <c r="F32" s="180" t="s">
        <v>945</v>
      </c>
    </row>
    <row r="34" spans="1:2" x14ac:dyDescent="0.3">
      <c r="A34" s="26" t="s">
        <v>946</v>
      </c>
    </row>
    <row r="35" spans="1:2" x14ac:dyDescent="0.3">
      <c r="A35" s="3" t="s">
        <v>947</v>
      </c>
      <c r="B35" s="10">
        <f>H20_ICODS!B14</f>
        <v>75.577876127377436</v>
      </c>
    </row>
    <row r="36" spans="1:2" x14ac:dyDescent="0.3">
      <c r="A36" s="3" t="s">
        <v>948</v>
      </c>
      <c r="B36" s="10">
        <f>H20_ICODS!B23</f>
        <v>30.394136134572079</v>
      </c>
    </row>
    <row r="37" spans="1:2" x14ac:dyDescent="0.3">
      <c r="A37" s="3" t="s">
        <v>949</v>
      </c>
      <c r="B37" s="10">
        <f>H01_PARÁMETROS!B37</f>
        <v>1.1499999999999999</v>
      </c>
    </row>
    <row r="38" spans="1:2" x14ac:dyDescent="0.3">
      <c r="A38" s="3" t="s">
        <v>950</v>
      </c>
      <c r="B38" s="10">
        <f>H01_PARÁMETROS!B36</f>
        <v>1.1499999999999999</v>
      </c>
    </row>
    <row r="40" spans="1:2" x14ac:dyDescent="0.3">
      <c r="A40" s="26" t="s">
        <v>951</v>
      </c>
    </row>
    <row r="41" spans="1:2" x14ac:dyDescent="0.3">
      <c r="A41" s="181" t="str">
        <f>"El presente portafolio se articula al Plan Nacional 'Ecuador No Se Detiene' 2025-2029 (Resolución CNP 0012-2025), cuyas 96 de 98 metas están alineadas con la Agenda 2030. El ICPI Global de "&amp;INT(H12_MOTOR_ICPI_CANÓNICO!B28)&amp;","&amp;TEXT(MOD(H12_MOTOR_ICPI_CANÓNICO!B28,1)*10,"0")&amp;"% certifica trazabilidad verificable de "&amp;H01_PARÁMETROS!B6&amp;" ante organismos multilaterales, con evidencia cruzada de 9 silos independientes ninguno controlado por el GAD."</f>
        <v>El presente portafolio se articula al Plan Nacional 'Ecuador No Se Detiene' 2025-2029 (Resolución CNP 0012-2025), cuyas 96 de 98 metas están alineadas con la Agenda 2030. El ICPI Global de 72,9% certifica trazabilidad verificable de GAD Municipal de Montecristi ante organismos multilaterales, con evidencia cruzada de 9 silos independientes ninguno controlado por el GAD.</v>
      </c>
    </row>
  </sheetData>
  <mergeCells count="2">
    <mergeCell ref="A2:E2"/>
    <mergeCell ref="A3:E3"/>
  </mergeCells>
  <hyperlinks>
    <hyperlink ref="B1" location="'H00_ÍNDICE'!A1" display="⬅️ ÍNDICE GENERAL" xr:uid="{DCAC5ABF-D973-4D8D-A44A-12756618796E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7EB2-1DC6-4159-9650-A84C7D4D7653}">
  <sheetPr>
    <tabColor rgb="FF38A169"/>
  </sheetPr>
  <dimension ref="A1:I72"/>
  <sheetViews>
    <sheetView tabSelected="1" zoomScale="62" zoomScaleNormal="62" workbookViewId="0">
      <pane ySplit="2" topLeftCell="A25" activePane="bottomLeft" state="frozen"/>
      <selection pane="bottomLeft" activeCell="L55" sqref="L55"/>
    </sheetView>
  </sheetViews>
  <sheetFormatPr baseColWidth="10" defaultRowHeight="14.4" x14ac:dyDescent="0.3"/>
  <cols>
    <col min="1" max="1" width="89.5546875" customWidth="1"/>
    <col min="2" max="2" width="63" customWidth="1"/>
    <col min="3" max="3" width="19.88671875" bestFit="1" customWidth="1"/>
    <col min="4" max="4" width="24.109375" bestFit="1" customWidth="1"/>
    <col min="5" max="5" width="33.77734375" bestFit="1" customWidth="1"/>
    <col min="6" max="6" width="4.5546875" bestFit="1" customWidth="1"/>
    <col min="7" max="7" width="5" bestFit="1" customWidth="1"/>
    <col min="9" max="9" width="18.77734375" bestFit="1" customWidth="1"/>
  </cols>
  <sheetData>
    <row r="1" spans="1:5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1161</v>
      </c>
      <c r="E1" s="212" t="str">
        <f ca="1">TEXT(TODAY(),"DD/MM/YYYY")</f>
        <v>05/04/2026</v>
      </c>
    </row>
    <row r="2" spans="1:5" ht="25.05" customHeight="1" x14ac:dyDescent="0.35">
      <c r="A2" s="303" t="s">
        <v>1180</v>
      </c>
      <c r="B2" s="303"/>
      <c r="C2" s="303"/>
      <c r="D2" s="303"/>
      <c r="E2" s="303"/>
    </row>
    <row r="3" spans="1:5" ht="16.05" customHeight="1" x14ac:dyDescent="0.3">
      <c r="A3" s="301" t="s">
        <v>1181</v>
      </c>
      <c r="B3" s="301"/>
      <c r="C3" s="301"/>
      <c r="D3" s="301"/>
      <c r="E3" s="301"/>
    </row>
    <row r="5" spans="1:5" ht="49.95" customHeight="1" x14ac:dyDescent="0.9">
      <c r="A5" s="23" t="s">
        <v>952</v>
      </c>
      <c r="B5" s="183" t="str">
        <f>IF(H12_MOTOR_ICPI_CANÓNICO!B28&gt;=90,"🔵",IF(H12_MOTOR_ICPI_CANÓNICO!B28&gt;=70,"🟢",IF(H12_MOTOR_ICPI_CANÓNICO!B28&gt;=40,"🟡",IF(H12_MOTOR_ICPI_CANÓNICO!B28&gt;=20,"🟠","🔴"))))</f>
        <v>🟢</v>
      </c>
      <c r="C5" s="292" t="str">
        <f>INT(H12_MOTOR_ICPI_CANÓNICO!B28)&amp;","&amp;TEXT(MOD(H12_MOTOR_ICPI_CANÓNICO!B28,1)*10,"0")&amp;"%"</f>
        <v>72,9%</v>
      </c>
    </row>
    <row r="6" spans="1:5" ht="17.399999999999999" x14ac:dyDescent="0.35">
      <c r="A6" s="182">
        <f>H12_MOTOR_ICPI_CANÓNICO!B28</f>
        <v>72.933457177838463</v>
      </c>
    </row>
    <row r="7" spans="1:5" x14ac:dyDescent="0.3">
      <c r="A7" s="9" t="str">
        <f>"El municipio declaró el 100% de cumplimiento. La verificación algorítmica arroja "&amp;INT(H12_MOTOR_ICPI_CANÓNICO!B28)&amp;","&amp;TEXT(MOD(H12_MOTOR_ICPI_CANÓNICO!B28,1)*10,"0")&amp;"%"</f>
        <v>El municipio declaró el 100% de cumplimiento. La verificación algorítmica arroja 72,9%</v>
      </c>
    </row>
    <row r="9" spans="1:5" x14ac:dyDescent="0.3">
      <c r="A9" s="3" t="s">
        <v>953</v>
      </c>
      <c r="B9" s="3">
        <f>COUNTIF(H12_MOTOR_ICPI_CANÓNICO!D6:D25,"&gt;0")</f>
        <v>19</v>
      </c>
    </row>
    <row r="10" spans="1:5" x14ac:dyDescent="0.3">
      <c r="A10" s="3" t="s">
        <v>954</v>
      </c>
      <c r="B10" t="str">
        <f>TEXT(H03_S1_ELECTORAL_CNE!B34,"0.0")&amp;"% de "&amp;H01_PARÁMETROS!B16&amp;" promesas electorales cumplidas en el PDOT"</f>
        <v>77% de 25 promesas electorales cumplidas en el PDOT</v>
      </c>
    </row>
    <row r="11" spans="1:5" x14ac:dyDescent="0.3">
      <c r="A11" s="3" t="s">
        <v>955</v>
      </c>
      <c r="B11" t="str">
        <f>INT(H18_ITAM!B6)&amp;","&amp;TEXT(MOD(H18_ITAM!B6,1)*10,"0")&amp;"% de obligaciones LOTAIP publicadas"</f>
        <v>70,0% de obligaciones LOTAIP publicadas</v>
      </c>
    </row>
    <row r="14" spans="1:5" ht="15.6" x14ac:dyDescent="0.3">
      <c r="A14" s="310" t="s">
        <v>956</v>
      </c>
      <c r="B14" s="310"/>
      <c r="C14" s="310"/>
      <c r="D14" s="310"/>
      <c r="E14" s="310"/>
    </row>
    <row r="15" spans="1:5" x14ac:dyDescent="0.3">
      <c r="A15" s="2" t="s">
        <v>957</v>
      </c>
      <c r="B15" s="2" t="s">
        <v>958</v>
      </c>
      <c r="C15" s="2" t="s">
        <v>959</v>
      </c>
      <c r="D15" s="2" t="s">
        <v>960</v>
      </c>
      <c r="E15" s="2" t="s">
        <v>961</v>
      </c>
    </row>
    <row r="16" spans="1:5" x14ac:dyDescent="0.3">
      <c r="A16" s="166" t="str">
        <f>H04_S2_PLANIFICACIÓN_PDOT!B6</f>
        <v>Agua potable: cobertura 39.25%→42.38%; calidad 100% INEN 1108; infraestructura BUENA 22.74%→41.64%</v>
      </c>
      <c r="B16" s="166" t="str">
        <f>H04_S2_PLANIFICACIÓN_PDOT!R6</f>
        <v>Patronato Municipal</v>
      </c>
      <c r="C16" s="166" t="str">
        <f>H12_MOTOR_ICPI_CANÓNICO!K6</f>
        <v>🔵 Excelencia</v>
      </c>
      <c r="D16" s="166" t="str">
        <f>IF(IFERROR(SEARCH("SÍ",H09_S7_TRANSPARENCIA_LOTAIP!G7),0)&gt;0,"✅ Accesible en línea","⚠️ Sin publicar")</f>
        <v>✅ Accesible en línea</v>
      </c>
      <c r="E16" s="166" t="str">
        <f>IF(H04_S2_PLANIFICACIÓN_PDOT!I6="Gobernanza","🏛️ Mejor gobierno y transparencia",IF(H04_S2_PLANIFICACIÓN_PDOT!I6="Infraestructura","🏗️ Obras y servicios básicos","🤝 Inclusión y bienestar social"))</f>
        <v>🏗️ Obras y servicios básicos</v>
      </c>
    </row>
    <row r="17" spans="1:5" x14ac:dyDescent="0.3">
      <c r="A17" s="169" t="str">
        <f>H04_S2_PLANIFICACIÓN_PDOT!B7</f>
        <v>Gestión del talento humano municipal: desempeño 80%→90%; plan capacitación 90% anual</v>
      </c>
      <c r="B17" s="169" t="str">
        <f>H04_S2_PLANIFICACIÓN_PDOT!R7</f>
        <v>Dirección TIC</v>
      </c>
      <c r="C17" s="169" t="str">
        <f>H12_MOTOR_ICPI_CANÓNICO!K7</f>
        <v>🟢 Por Mandato</v>
      </c>
      <c r="D17" s="169" t="str">
        <f>IF(IFERROR(SEARCH("SÍ",H09_S7_TRANSPARENCIA_LOTAIP!G8),0)&gt;0,"✅ Accesible en línea","⚠️ Sin publicar")</f>
        <v>✅ Accesible en línea</v>
      </c>
      <c r="E17" s="169" t="str">
        <f>IF(H04_S2_PLANIFICACIÓN_PDOT!I7="Gobernanza","🏛️ Mejor gobierno y transparencia",IF(H04_S2_PLANIFICACIÓN_PDOT!I7="Infraestructura","🏗️ Obras y servicios básicos","🤝 Inclusión y bienestar social"))</f>
        <v>🏛️ Mejor gobierno y transparencia</v>
      </c>
    </row>
    <row r="18" spans="1:5" x14ac:dyDescent="0.3">
      <c r="A18" s="166" t="str">
        <f>H04_S2_PLANIFICACIÓN_PDOT!B8</f>
        <v>Sostenibilidad financiera: autonomía 43.35%→45.30%; gestión cobros y coactivas</v>
      </c>
      <c r="B18" s="166" t="str">
        <f>H04_S2_PLANIFICACIÓN_PDOT!R8</f>
        <v>Dirección de Obras Públicas</v>
      </c>
      <c r="C18" s="166" t="str">
        <f>H12_MOTOR_ICPI_CANÓNICO!K8</f>
        <v>🟡 Transición</v>
      </c>
      <c r="D18" s="166" t="str">
        <f>IF(IFERROR(SEARCH("SÍ",H09_S7_TRANSPARENCIA_LOTAIP!G9),0)&gt;0,"✅ Accesible en línea","⚠️ Sin publicar")</f>
        <v>✅ Accesible en línea</v>
      </c>
      <c r="E18" s="166" t="str">
        <f>IF(H04_S2_PLANIFICACIÓN_PDOT!I8="Gobernanza","🏛️ Mejor gobierno y transparencia",IF(H04_S2_PLANIFICACIÓN_PDOT!I8="Infraestructura","🏗️ Obras y servicios básicos","🤝 Inclusión y bienestar social"))</f>
        <v>🏛️ Mejor gobierno y transparencia</v>
      </c>
    </row>
    <row r="19" spans="1:5" x14ac:dyDescent="0.3">
      <c r="A19" s="169" t="str">
        <f>H04_S2_PLANIFICACIÓN_PDOT!B9</f>
        <v>Vialidad cantonal: mantenimiento 43.8 km vías CUP + 57.22 km rurales; 23.77 km tratamiento medio</v>
      </c>
      <c r="B19" s="169" t="str">
        <f>H04_S2_PLANIFICACIÓN_PDOT!R9</f>
        <v>Dirección de Obras Públicas</v>
      </c>
      <c r="C19" s="169" t="str">
        <f>H12_MOTOR_ICPI_CANÓNICO!K9</f>
        <v>🔴 Ruptura</v>
      </c>
      <c r="D19" s="169" t="str">
        <f>IF(IFERROR(SEARCH("SÍ",H09_S7_TRANSPARENCIA_LOTAIP!G10),0)&gt;0,"✅ Accesible en línea","⚠️ Sin publicar")</f>
        <v>✅ Accesible en línea</v>
      </c>
      <c r="E19" s="169" t="str">
        <f>IF(H04_S2_PLANIFICACIÓN_PDOT!I9="Gobernanza","🏛️ Mejor gobierno y transparencia",IF(H04_S2_PLANIFICACIÓN_PDOT!I9="Infraestructura","🏗️ Obras y servicios básicos","🤝 Inclusión y bienestar social"))</f>
        <v>🏗️ Obras y servicios básicos</v>
      </c>
    </row>
    <row r="20" spans="1:5" x14ac:dyDescent="0.3">
      <c r="A20" s="166" t="str">
        <f>H04_S2_PLANIFICACIÓN_PDOT!B10</f>
        <v>Salud integral municipal: población atendida 57,401→84,041 personas (+10% anual)</v>
      </c>
      <c r="B20" s="166" t="str">
        <f>H04_S2_PLANIFICACIÓN_PDOT!R10</f>
        <v>Dirección de Obras Públicas</v>
      </c>
      <c r="C20" s="166" t="str">
        <f>H12_MOTOR_ICPI_CANÓNICO!K10</f>
        <v>🟡 Transición</v>
      </c>
      <c r="D20" s="166" t="str">
        <f>IF(IFERROR(SEARCH("SÍ",H09_S7_TRANSPARENCIA_LOTAIP!G11),0)&gt;0,"✅ Accesible en línea","⚠️ Sin publicar")</f>
        <v>✅ Accesible en línea</v>
      </c>
      <c r="E20" s="166" t="str">
        <f>IF(H04_S2_PLANIFICACIÓN_PDOT!I10="Gobernanza","🏛️ Mejor gobierno y transparencia",IF(H04_S2_PLANIFICACIÓN_PDOT!I10="Infraestructura","🏗️ Obras y servicios básicos","🤝 Inclusión y bienestar social"))</f>
        <v>🤝 Inclusión y bienestar social</v>
      </c>
    </row>
    <row r="21" spans="1:5" x14ac:dyDescent="0.3">
      <c r="A21" s="169" t="str">
        <f>H04_S2_PLANIFICACIÓN_PDOT!B11</f>
        <v>Gestión integral desechos sólidos: 20,118→23,086 Tn/año; relleno sanitario; capacidad disposición 0%→20%</v>
      </c>
      <c r="B21" s="169" t="str">
        <f>H04_S2_PLANIFICACIÓN_PDOT!R11</f>
        <v>EP Montehogar</v>
      </c>
      <c r="C21" s="169" t="str">
        <f>H12_MOTOR_ICPI_CANÓNICO!K11</f>
        <v>🟠 Por Ocurrencia</v>
      </c>
      <c r="D21" s="169" t="str">
        <f>IF(IFERROR(SEARCH("SÍ",H09_S7_TRANSPARENCIA_LOTAIP!G12),0)&gt;0,"✅ Accesible en línea","⚠️ Sin publicar")</f>
        <v>✅ Accesible en línea</v>
      </c>
      <c r="E21" s="169" t="str">
        <f>IF(H04_S2_PLANIFICACIÓN_PDOT!I11="Gobernanza","🏛️ Mejor gobierno y transparencia",IF(H04_S2_PLANIFICACIÓN_PDOT!I11="Infraestructura","🏗️ Obras y servicios básicos","🤝 Inclusión y bienestar social"))</f>
        <v>🏗️ Obras y servicios básicos</v>
      </c>
    </row>
    <row r="22" spans="1:5" x14ac:dyDescent="0.3">
      <c r="A22" s="166" t="str">
        <f>H04_S2_PLANIFICACIÓN_PDOT!B12</f>
        <v>Alcantarillado sanitario: cobertura 19.77%→24.32%; PTAR 0%→75%; estaciones bombeo 36%→72%</v>
      </c>
      <c r="B22" s="166" t="str">
        <f>H04_S2_PLANIFICACIÓN_PDOT!R12</f>
        <v>Dirección de Cultura y Deporte</v>
      </c>
      <c r="C22" s="166" t="str">
        <f>H12_MOTOR_ICPI_CANÓNICO!K12</f>
        <v>🟡 Transición</v>
      </c>
      <c r="D22" s="166" t="str">
        <f>IF(IFERROR(SEARCH("SÍ",H09_S7_TRANSPARENCIA_LOTAIP!G13),0)&gt;0,"✅ Accesible en línea","⚠️ Sin publicar")</f>
        <v>✅ Accesible en línea</v>
      </c>
      <c r="E22" s="166" t="str">
        <f>IF(H04_S2_PLANIFICACIÓN_PDOT!I12="Gobernanza","🏛️ Mejor gobierno y transparencia",IF(H04_S2_PLANIFICACIÓN_PDOT!I12="Infraestructura","🏗️ Obras y servicios básicos","🤝 Inclusión y bienestar social"))</f>
        <v>🏗️ Obras y servicios básicos</v>
      </c>
    </row>
    <row r="23" spans="1:5" x14ac:dyDescent="0.3">
      <c r="A23" s="169" t="str">
        <f>H04_S2_PLANIFICACIÓN_PDOT!B13</f>
        <v>Modernización recursos administrativos: parque automotor, tecnología e infraestructura municipal</v>
      </c>
      <c r="B23" s="169" t="str">
        <f>H04_S2_PLANIFICACIÓN_PDOT!R13</f>
        <v>Dirección de Obras Públicas</v>
      </c>
      <c r="C23" s="169" t="str">
        <f>H12_MOTOR_ICPI_CANÓNICO!K13</f>
        <v>🟡 Transición</v>
      </c>
      <c r="D23" s="169" t="str">
        <f>IF(IFERROR(SEARCH("SÍ",H09_S7_TRANSPARENCIA_LOTAIP!G14),0)&gt;0,"✅ Accesible en línea","⚠️ Sin publicar")</f>
        <v>✅ Accesible en línea</v>
      </c>
      <c r="E23" s="169" t="str">
        <f>IF(H04_S2_PLANIFICACIÓN_PDOT!I13="Gobernanza","🏛️ Mejor gobierno y transparencia",IF(H04_S2_PLANIFICACIÓN_PDOT!I13="Infraestructura","🏗️ Obras y servicios básicos","🤝 Inclusión y bienestar social"))</f>
        <v>🏛️ Mejor gobierno y transparencia</v>
      </c>
    </row>
    <row r="24" spans="1:5" x14ac:dyDescent="0.3">
      <c r="A24" s="166" t="str">
        <f>H04_S2_PLANIFICACIÓN_PDOT!B14</f>
        <v>Equipamientos públicos: terminal terrestre, mercado, estación bomberil, centro salud tipo C, mantenimiento espacios recreativos</v>
      </c>
      <c r="B24" s="166" t="str">
        <f>H04_S2_PLANIFICACIÓN_PDOT!R14</f>
        <v>Dirección Administrativa</v>
      </c>
      <c r="C24" s="166" t="str">
        <f>H12_MOTOR_ICPI_CANÓNICO!K14</f>
        <v>🟢 Por Mandato</v>
      </c>
      <c r="D24" s="166" t="str">
        <f>IF(IFERROR(SEARCH("SÍ",H09_S7_TRANSPARENCIA_LOTAIP!G15),0)&gt;0,"✅ Accesible en línea","⚠️ Sin publicar")</f>
        <v>✅ Accesible en línea</v>
      </c>
      <c r="E24" s="166" t="str">
        <f>IF(H04_S2_PLANIFICACIÓN_PDOT!I14="Gobernanza","🏛️ Mejor gobierno y transparencia",IF(H04_S2_PLANIFICACIÓN_PDOT!I14="Infraestructura","🏗️ Obras y servicios básicos","🤝 Inclusión y bienestar social"))</f>
        <v>🏗️ Obras y servicios básicos</v>
      </c>
    </row>
    <row r="25" spans="1:5" x14ac:dyDescent="0.3">
      <c r="A25" s="169" t="str">
        <f>H04_S2_PLANIFICACIÓN_PDOT!B15</f>
        <v>Protección derechos sociales: atenciones grupos prioritarios 943→1,649 (+15%/año); CDI; adultos mayores; violencia de género</v>
      </c>
      <c r="B25" s="169" t="str">
        <f>H04_S2_PLANIFICACIÓN_PDOT!R15</f>
        <v>Dirección de Agua y Saneamiento</v>
      </c>
      <c r="C25" s="169" t="str">
        <f>H12_MOTOR_ICPI_CANÓNICO!K15</f>
        <v>🟢 Por Mandato</v>
      </c>
      <c r="D25" s="169" t="str">
        <f>IF(IFERROR(SEARCH("SÍ",H09_S7_TRANSPARENCIA_LOTAIP!G16),0)&gt;0,"✅ Accesible en línea","⚠️ Sin publicar")</f>
        <v>✅ Accesible en línea</v>
      </c>
      <c r="E25" s="169" t="str">
        <f>IF(H04_S2_PLANIFICACIÓN_PDOT!I15="Gobernanza","🏛️ Mejor gobierno y transparencia",IF(H04_S2_PLANIFICACIÓN_PDOT!I15="Infraestructura","🏗️ Obras y servicios básicos","🤝 Inclusión y bienestar social"))</f>
        <v>🤝 Inclusión y bienestar social</v>
      </c>
    </row>
    <row r="26" spans="1:5" x14ac:dyDescent="0.3">
      <c r="A26" s="166" t="str">
        <f>H04_S2_PLANIFICACIÓN_PDOT!B16</f>
        <v>Sistema información territorial: catastro urbano-rural 19.52%→80%; 12 procesos sistematizados; 37 trámites en línea</v>
      </c>
      <c r="B26" s="166" t="str">
        <f>H04_S2_PLANIFICACIÓN_PDOT!R16</f>
        <v>Dirección de Agua y Saneamiento</v>
      </c>
      <c r="C26" s="166" t="str">
        <f>H12_MOTOR_ICPI_CANÓNICO!K16</f>
        <v>🟢 Por Mandato</v>
      </c>
      <c r="D26" s="166" t="str">
        <f>IF(IFERROR(SEARCH("SÍ",H09_S7_TRANSPARENCIA_LOTAIP!G17),0)&gt;0,"✅ Accesible en línea","⚠️ Sin publicar")</f>
        <v>✅ Accesible en línea</v>
      </c>
      <c r="E26" s="166" t="str">
        <f>IF(H04_S2_PLANIFICACIÓN_PDOT!I16="Gobernanza","🏛️ Mejor gobierno y transparencia",IF(H04_S2_PLANIFICACIÓN_PDOT!I16="Infraestructura","🏗️ Obras y servicios básicos","🤝 Inclusión y bienestar social"))</f>
        <v>🏛️ Mejor gobierno y transparencia</v>
      </c>
    </row>
    <row r="27" spans="1:5" x14ac:dyDescent="0.3">
      <c r="A27" s="169" t="str">
        <f>H04_S2_PLANIFICACIÓN_PDOT!B17</f>
        <v>Participación ciudadana: 50→100 Unidades Territoriales participativas; 2→4 instancias efectivas (COPFP Art.115)</v>
      </c>
      <c r="B27" s="169" t="str">
        <f>H04_S2_PLANIFICACIÓN_PDOT!R17</f>
        <v>Patronato Municipal</v>
      </c>
      <c r="C27" s="169" t="str">
        <f>H12_MOTOR_ICPI_CANÓNICO!K17</f>
        <v>🟡 Transición</v>
      </c>
      <c r="D27" s="169" t="str">
        <f>IF(IFERROR(SEARCH("SÍ",H09_S7_TRANSPARENCIA_LOTAIP!G18),0)&gt;0,"✅ Accesible en línea","⚠️ Sin publicar")</f>
        <v>⚠️ Sin publicar</v>
      </c>
      <c r="E27" s="169" t="str">
        <f>IF(H04_S2_PLANIFICACIÓN_PDOT!I17="Gobernanza","🏛️ Mejor gobierno y transparencia",IF(H04_S2_PLANIFICACIÓN_PDOT!I17="Infraestructura","🏗️ Obras y servicios básicos","🤝 Inclusión y bienestar social"))</f>
        <v>🏛️ Mejor gobierno y transparencia</v>
      </c>
    </row>
    <row r="28" spans="1:5" x14ac:dyDescent="0.3">
      <c r="A28" s="166" t="str">
        <f>H04_S2_PLANIFICACIÓN_PDOT!B18</f>
        <v>Gestión del riesgo: reducir 10% infraestructura susceptible (3,655→2,398 unidades); alerta temprana climática</v>
      </c>
      <c r="B28" s="166" t="str">
        <f>H04_S2_PLANIFICACIÓN_PDOT!R18</f>
        <v>Dirección Ambiental</v>
      </c>
      <c r="C28" s="166" t="str">
        <f>H12_MOTOR_ICPI_CANÓNICO!K18</f>
        <v>🟡 Transición</v>
      </c>
      <c r="D28" s="166" t="str">
        <f>IF(IFERROR(SEARCH("SÍ",H09_S7_TRANSPARENCIA_LOTAIP!G19),0)&gt;0,"✅ Accesible en línea","⚠️ Sin publicar")</f>
        <v>✅ Accesible en línea</v>
      </c>
      <c r="E28" s="166" t="str">
        <f>IF(H04_S2_PLANIFICACIÓN_PDOT!I18="Gobernanza","🏛️ Mejor gobierno y transparencia",IF(H04_S2_PLANIFICACIÓN_PDOT!I18="Infraestructura","🏗️ Obras y servicios básicos","🤝 Inclusión y bienestar social"))</f>
        <v>🏗️ Obras y servicios básicos</v>
      </c>
    </row>
    <row r="29" spans="1:5" x14ac:dyDescent="0.3">
      <c r="A29" s="169" t="str">
        <f>H04_S2_PLANIFICACIÓN_PDOT!B19</f>
        <v>Áreas verdes y parques: IVU 10.94→17.32 m²/hab; parques inter-barriales; recuperación manglar perfil costero</v>
      </c>
      <c r="B29" s="169" t="str">
        <f>H04_S2_PLANIFICACIÓN_PDOT!R19</f>
        <v>EP Aseo Montecristi</v>
      </c>
      <c r="C29" s="169" t="str">
        <f>H12_MOTOR_ICPI_CANÓNICO!K19</f>
        <v>🟢 Por Mandato</v>
      </c>
      <c r="D29" s="169" t="str">
        <f>IF(IFERROR(SEARCH("SÍ",H09_S7_TRANSPARENCIA_LOTAIP!G20),0)&gt;0,"✅ Accesible en línea","⚠️ Sin publicar")</f>
        <v>✅ Accesible en línea</v>
      </c>
      <c r="E29" s="169" t="str">
        <f>IF(H04_S2_PLANIFICACIÓN_PDOT!I19="Gobernanza","🏛️ Mejor gobierno y transparencia",IF(H04_S2_PLANIFICACIÓN_PDOT!I19="Infraestructura","🏗️ Obras y servicios básicos","🤝 Inclusión y bienestar social"))</f>
        <v>🏗️ Obras y servicios básicos</v>
      </c>
    </row>
    <row r="30" spans="1:5" x14ac:dyDescent="0.3">
      <c r="A30" s="166" t="str">
        <f>H04_S2_PLANIFICACIÓN_PDOT!B20</f>
        <v>Índice equipamiento urbano CUP 9.96→10.73 m²/hab; recolección desechos 91.95%→97.95%; 77.83→81.07 km/día barrido</v>
      </c>
      <c r="B30" s="166" t="str">
        <f>H04_S2_PLANIFICACIÓN_PDOT!R20</f>
        <v>Dirección Ambiental</v>
      </c>
      <c r="C30" s="166" t="str">
        <f>H12_MOTOR_ICPI_CANÓNICO!K20</f>
        <v>🟡 Transición</v>
      </c>
      <c r="D30" s="166" t="str">
        <f>IF(IFERROR(SEARCH("SÍ",H09_S7_TRANSPARENCIA_LOTAIP!G21),0)&gt;0,"✅ Accesible en línea","⚠️ Sin publicar")</f>
        <v>⚠️ Sin publicar</v>
      </c>
      <c r="E30" s="166" t="str">
        <f>IF(H04_S2_PLANIFICACIÓN_PDOT!I20="Gobernanza","🏛️ Mejor gobierno y transparencia",IF(H04_S2_PLANIFICACIÓN_PDOT!I20="Infraestructura","🏗️ Obras y servicios básicos","🤝 Inclusión y bienestar social"))</f>
        <v>🏗️ Obras y servicios básicos</v>
      </c>
    </row>
    <row r="31" spans="1:5" x14ac:dyDescent="0.3">
      <c r="A31" s="169" t="str">
        <f>H04_S2_PLANIFICACIÓN_PDOT!B21</f>
        <v>Inventario patrimonial 100% al 2026; 8,000→10,000 participantes eventos culturales; Museo del Sombrero</v>
      </c>
      <c r="B31" s="169" t="str">
        <f>H04_S2_PLANIFICACIÓN_PDOT!R21</f>
        <v>Dirección Ambiental</v>
      </c>
      <c r="C31" s="169" t="str">
        <f>H12_MOTOR_ICPI_CANÓNICO!K21</f>
        <v>🟢 Por Mandato</v>
      </c>
      <c r="D31" s="169" t="str">
        <f>IF(IFERROR(SEARCH("SÍ",H09_S7_TRANSPARENCIA_LOTAIP!G22),0)&gt;0,"✅ Accesible en línea","⚠️ Sin publicar")</f>
        <v>✅ Accesible en línea</v>
      </c>
      <c r="E31" s="169" t="str">
        <f>IF(H04_S2_PLANIFICACIÓN_PDOT!I21="Gobernanza","🏛️ Mejor gobierno y transparencia",IF(H04_S2_PLANIFICACIÓN_PDOT!I21="Infraestructura","🏗️ Obras y servicios básicos","🤝 Inclusión y bienestar social"))</f>
        <v>🤝 Inclusión y bienestar social</v>
      </c>
    </row>
    <row r="32" spans="1:5" x14ac:dyDescent="0.3">
      <c r="A32" s="166" t="str">
        <f>H04_S2_PLANIFICACIÓN_PDOT!B22</f>
        <v>Cumplimiento PDOT/PUGS 0%→80%; SIL 19.52%→80%; 37 trámites digitales implementados</v>
      </c>
      <c r="B32" s="166" t="str">
        <f>H04_S2_PLANIFICACIÓN_PDOT!R22</f>
        <v>Dirección Planificación</v>
      </c>
      <c r="C32" s="166" t="str">
        <f>H12_MOTOR_ICPI_CANÓNICO!K22</f>
        <v>🟢 Por Mandato</v>
      </c>
      <c r="D32" s="166" t="str">
        <f>IF(IFERROR(SEARCH("SÍ",H09_S7_TRANSPARENCIA_LOTAIP!G23),0)&gt;0,"✅ Accesible en línea","⚠️ Sin publicar")</f>
        <v>✅ Accesible en línea</v>
      </c>
      <c r="E32" s="166" t="str">
        <f>IF(H04_S2_PLANIFICACIÓN_PDOT!I22="Gobernanza","🏛️ Mejor gobierno y transparencia",IF(H04_S2_PLANIFICACIÓN_PDOT!I22="Infraestructura","🏗️ Obras y servicios básicos","🤝 Inclusión y bienestar social"))</f>
        <v>🏛️ Mejor gobierno y transparencia</v>
      </c>
    </row>
    <row r="33" spans="1:5" x14ac:dyDescent="0.3">
      <c r="A33" s="169" t="str">
        <f>H04_S2_PLANIFICACIÓN_PDOT!B23</f>
        <v>Señalización vial 0→10,000 m²; 0→8 semáforos; revisiones técnicas 4,000→20,000; educación vial 40 instituciones</v>
      </c>
      <c r="B33" s="169" t="str">
        <f>H04_S2_PLANIFICACIÓN_PDOT!R23</f>
        <v>Dirección Planificación</v>
      </c>
      <c r="C33" s="169" t="str">
        <f>H12_MOTOR_ICPI_CANÓNICO!K23</f>
        <v>🟡 Transición</v>
      </c>
      <c r="D33" s="169" t="str">
        <f>IF(IFERROR(SEARCH("SÍ",H09_S7_TRANSPARENCIA_LOTAIP!G24),0)&gt;0,"✅ Accesible en línea","⚠️ Sin publicar")</f>
        <v>✅ Accesible en línea</v>
      </c>
      <c r="E33" s="169" t="str">
        <f>IF(H04_S2_PLANIFICACIÓN_PDOT!I23="Gobernanza","🏛️ Mejor gobierno y transparencia",IF(H04_S2_PLANIFICACIÓN_PDOT!I23="Infraestructura","🏗️ Obras y servicios básicos","🤝 Inclusión y bienestar social"))</f>
        <v>🏗️ Obras y servicios básicos</v>
      </c>
    </row>
    <row r="34" spans="1:5" x14ac:dyDescent="0.3">
      <c r="A34" s="166" t="str">
        <f>H04_S2_PLANIFICACIÓN_PDOT!B24</f>
        <v>Vivienda de interés social: 50 VIS/VIP hasta 2027; reducción déficit habitacional cualitativo</v>
      </c>
      <c r="B34" s="166" t="str">
        <f>H04_S2_PLANIFICACIÓN_PDOT!R24</f>
        <v>Dirección Económica</v>
      </c>
      <c r="C34" s="166" t="str">
        <f>H12_MOTOR_ICPI_CANÓNICO!K24</f>
        <v>🔵 Excelencia</v>
      </c>
      <c r="D34" s="166" t="str">
        <f>IF(IFERROR(SEARCH("SÍ",H09_S7_TRANSPARENCIA_LOTAIP!G25),0)&gt;0,"✅ Accesible en línea","⚠️ Sin publicar")</f>
        <v>✅ Accesible en línea</v>
      </c>
      <c r="E34" s="166" t="str">
        <f>IF(H04_S2_PLANIFICACIÓN_PDOT!I24="Gobernanza","🏛️ Mejor gobierno y transparencia",IF(H04_S2_PLANIFICACIÓN_PDOT!I24="Infraestructura","🏗️ Obras y servicios básicos","🤝 Inclusión y bienestar social"))</f>
        <v>🏗️ Obras y servicios básicos</v>
      </c>
    </row>
    <row r="35" spans="1:5" x14ac:dyDescent="0.3">
      <c r="A35" s="169" t="str">
        <f>H04_S2_PLANIFICACIÓN_PDOT!B25</f>
        <v>Fortalecimiento productivo: beneficiarios artesanos, mipymes, emprendedores, huertos comunitarios y cadenas de valor</v>
      </c>
      <c r="B35" s="169" t="str">
        <f>H04_S2_PLANIFICACIÓN_PDOT!R25</f>
        <v>Dirección Turismo</v>
      </c>
      <c r="C35" s="169" t="str">
        <f>H12_MOTOR_ICPI_CANÓNICO!K25</f>
        <v>🟢 Por Mandato</v>
      </c>
      <c r="D35" s="169" t="str">
        <f>IF(IFERROR(SEARCH("SÍ",H09_S7_TRANSPARENCIA_LOTAIP!G26),0)&gt;0,"✅ Accesible en línea","⚠️ Sin publicar")</f>
        <v>✅ Accesible en línea</v>
      </c>
      <c r="E35" s="169" t="str">
        <f>IF(H04_S2_PLANIFICACIÓN_PDOT!I25="Gobernanza","🏛️ Mejor gobierno y transparencia",IF(H04_S2_PLANIFICACIÓN_PDOT!I25="Infraestructura","🏗️ Obras y servicios básicos","🤝 Inclusión y bienestar social"))</f>
        <v>🏛️ Mejor gobierno y transparencia</v>
      </c>
    </row>
    <row r="38" spans="1:5" ht="15.6" x14ac:dyDescent="0.3">
      <c r="A38" s="310" t="s">
        <v>962</v>
      </c>
      <c r="B38" s="310"/>
      <c r="C38" s="310"/>
      <c r="D38" s="310"/>
      <c r="E38" s="310"/>
    </row>
    <row r="39" spans="1:5" x14ac:dyDescent="0.3">
      <c r="A39" s="2" t="s">
        <v>754</v>
      </c>
      <c r="B39" s="2" t="s">
        <v>755</v>
      </c>
      <c r="C39" s="2" t="s">
        <v>826</v>
      </c>
      <c r="D39" s="2" t="s">
        <v>963</v>
      </c>
    </row>
    <row r="40" spans="1:5" x14ac:dyDescent="0.3">
      <c r="A40" s="179" t="s">
        <v>831</v>
      </c>
      <c r="B40" s="166" t="str">
        <f>INT(H12_MOTOR_ICPI_CANÓNICO!B28)&amp;","&amp;TEXT(MOD(H12_MOTOR_ICPI_CANÓNICO!B28,1)*10,"0")&amp;"%"</f>
        <v>72,9%</v>
      </c>
      <c r="C40" s="180" t="s">
        <v>834</v>
      </c>
      <c r="D40" s="184" t="s">
        <v>964</v>
      </c>
    </row>
    <row r="41" spans="1:5" x14ac:dyDescent="0.3">
      <c r="A41" s="177" t="s">
        <v>965</v>
      </c>
      <c r="B41" s="169" t="str">
        <f>INT(H12_MOTOR_ICPI_CANÓNICO!B28)&amp;","&amp;TEXT(MOD(H12_MOTOR_ICPI_CANÓNICO!B28,1)*10,"0")&amp;"%"</f>
        <v>72,9%</v>
      </c>
      <c r="C41" s="178" t="s">
        <v>966</v>
      </c>
      <c r="D41" s="185" t="s">
        <v>967</v>
      </c>
    </row>
    <row r="42" spans="1:5" x14ac:dyDescent="0.3">
      <c r="A42" s="179" t="s">
        <v>832</v>
      </c>
      <c r="B42" s="166" t="str">
        <f>INT(H12_MOTOR_ICPI_CANÓNICO!B30)&amp;","&amp;TEXT(MOD(H12_MOTOR_ICPI_CANÓNICO!B30,1)*10,"0")</f>
        <v>100,0</v>
      </c>
      <c r="C42" s="180" t="s">
        <v>834</v>
      </c>
      <c r="D42" s="184" t="s">
        <v>3</v>
      </c>
    </row>
    <row r="43" spans="1:5" x14ac:dyDescent="0.3">
      <c r="A43" s="177" t="s">
        <v>783</v>
      </c>
      <c r="B43" s="169">
        <f>H12_MOTOR_ICPI_CANÓNICO!B28</f>
        <v>72.933457177838463</v>
      </c>
      <c r="C43" s="178" t="s">
        <v>834</v>
      </c>
      <c r="D43" s="185" t="s">
        <v>3</v>
      </c>
    </row>
    <row r="44" spans="1:5" x14ac:dyDescent="0.3">
      <c r="A44" s="179" t="s">
        <v>828</v>
      </c>
      <c r="B44" s="166" t="str">
        <f>INT(H18_ITAM!B6)&amp;","&amp;TEXT(MOD(H18_ITAM!B6,1)*10,"0")&amp;"%"</f>
        <v>70,0%</v>
      </c>
      <c r="C44" s="180" t="s">
        <v>968</v>
      </c>
      <c r="D44" s="184" t="s">
        <v>969</v>
      </c>
    </row>
    <row r="45" spans="1:5" x14ac:dyDescent="0.3">
      <c r="A45" s="177" t="s">
        <v>970</v>
      </c>
      <c r="B45" s="169" t="str">
        <f>TEXT(H01_PARÁMETROS!B13,"DD/MM/YYYY")</f>
        <v>2024-12-31T05:00:00.000Z</v>
      </c>
      <c r="C45" s="178" t="s">
        <v>827</v>
      </c>
      <c r="D45" s="185" t="s">
        <v>3</v>
      </c>
    </row>
    <row r="46" spans="1:5" x14ac:dyDescent="0.3">
      <c r="A46" s="293" t="s">
        <v>971</v>
      </c>
      <c r="B46" s="290"/>
      <c r="C46" s="290"/>
      <c r="D46" s="290"/>
      <c r="E46" s="290"/>
    </row>
    <row r="49" spans="1:9" ht="15.6" x14ac:dyDescent="0.3">
      <c r="A49" s="310" t="s">
        <v>972</v>
      </c>
      <c r="B49" s="310"/>
      <c r="C49" s="310"/>
      <c r="D49" s="310"/>
      <c r="E49" s="310"/>
    </row>
    <row r="50" spans="1:9" x14ac:dyDescent="0.3">
      <c r="A50" s="311" t="s">
        <v>973</v>
      </c>
      <c r="B50" s="311"/>
      <c r="C50" s="311"/>
      <c r="D50" s="311"/>
      <c r="E50" s="311"/>
    </row>
    <row r="51" spans="1:9" x14ac:dyDescent="0.3">
      <c r="A51" s="269" t="s">
        <v>974</v>
      </c>
      <c r="B51" s="290"/>
      <c r="C51" s="290"/>
      <c r="D51" s="290"/>
      <c r="E51" s="290"/>
    </row>
    <row r="52" spans="1:9" x14ac:dyDescent="0.3">
      <c r="A52" s="2" t="s">
        <v>192</v>
      </c>
      <c r="B52" s="2" t="s">
        <v>975</v>
      </c>
      <c r="C52" s="2" t="s">
        <v>976</v>
      </c>
      <c r="D52" s="2" t="s">
        <v>977</v>
      </c>
      <c r="E52" s="2" t="s">
        <v>978</v>
      </c>
      <c r="F52" s="2" t="s">
        <v>979</v>
      </c>
      <c r="G52" s="2" t="s">
        <v>980</v>
      </c>
      <c r="H52" s="2" t="s">
        <v>981</v>
      </c>
      <c r="I52" s="2" t="s">
        <v>2</v>
      </c>
    </row>
    <row r="53" spans="1:9" x14ac:dyDescent="0.3">
      <c r="A53" s="169" t="str">
        <f>H12_MOTOR_ICPI_CANÓNICO!A6</f>
        <v>SC-I-N-01</v>
      </c>
      <c r="B53" s="294">
        <f>H12_MOTOR_ICPI_CANÓNICO!B6</f>
        <v>0.28912002443494439</v>
      </c>
      <c r="C53" s="294">
        <f>H12_MOTOR_ICPI_CANÓNICO!C6</f>
        <v>0.86956521739130443</v>
      </c>
      <c r="D53" s="296">
        <f>H12_MOTOR_ICPI_CANÓNICO!D6</f>
        <v>1</v>
      </c>
      <c r="E53" s="296">
        <f>H12_MOTOR_ICPI_CANÓNICO!E6</f>
        <v>1</v>
      </c>
      <c r="F53" s="297">
        <f>H12_MOTOR_ICPI_CANÓNICO!F6</f>
        <v>0.95</v>
      </c>
      <c r="G53" s="296">
        <f>H12_MOTOR_ICPI_CANÓNICO!G6</f>
        <v>1</v>
      </c>
      <c r="H53" s="298">
        <f>H12_MOTOR_ICPI_CANÓNICO!J6</f>
        <v>95</v>
      </c>
      <c r="I53" s="296" t="str">
        <f>H12_MOTOR_ICPI_CANÓNICO!K6</f>
        <v>🔵 Excelencia</v>
      </c>
    </row>
    <row r="54" spans="1:9" x14ac:dyDescent="0.3">
      <c r="A54" s="166" t="str">
        <f>H12_MOTOR_ICPI_CANÓNICO!A7</f>
        <v>SC-L-N-02</v>
      </c>
      <c r="B54" s="295">
        <f>H12_MOTOR_ICPI_CANÓNICO!B7</f>
        <v>0.32531485287798495</v>
      </c>
      <c r="C54" s="295">
        <f>H12_MOTOR_ICPI_CANÓNICO!C7</f>
        <v>0.57971014492753625</v>
      </c>
      <c r="D54" s="252">
        <f>H12_MOTOR_ICPI_CANÓNICO!D7</f>
        <v>1</v>
      </c>
      <c r="E54" s="252">
        <f>H12_MOTOR_ICPI_CANÓNICO!E7</f>
        <v>1</v>
      </c>
      <c r="F54" s="299">
        <f>H12_MOTOR_ICPI_CANÓNICO!F7</f>
        <v>0.85</v>
      </c>
      <c r="G54" s="252">
        <f>H12_MOTOR_ICPI_CANÓNICO!G7</f>
        <v>1</v>
      </c>
      <c r="H54" s="300">
        <f>H12_MOTOR_ICPI_CANÓNICO!J7</f>
        <v>85</v>
      </c>
      <c r="I54" s="252" t="str">
        <f>H12_MOTOR_ICPI_CANÓNICO!K7</f>
        <v>🟢 Por Mandato</v>
      </c>
    </row>
    <row r="55" spans="1:9" x14ac:dyDescent="0.3">
      <c r="A55" s="169" t="str">
        <f>H12_MOTOR_ICPI_CANÓNICO!A8</f>
        <v>AH-I-X-01</v>
      </c>
      <c r="B55" s="294">
        <f>H12_MOTOR_ICPI_CANÓNICO!B8</f>
        <v>0.12454728141026002</v>
      </c>
      <c r="C55" s="294">
        <f>H12_MOTOR_ICPI_CANÓNICO!C8</f>
        <v>0.57971014492753625</v>
      </c>
      <c r="D55" s="296">
        <f>H12_MOTOR_ICPI_CANÓNICO!D8</f>
        <v>1</v>
      </c>
      <c r="E55" s="296">
        <f>H12_MOTOR_ICPI_CANÓNICO!E8</f>
        <v>0.9</v>
      </c>
      <c r="F55" s="297">
        <f>H12_MOTOR_ICPI_CANÓNICO!F8</f>
        <v>0.72</v>
      </c>
      <c r="G55" s="296">
        <f>H12_MOTOR_ICPI_CANÓNICO!G8</f>
        <v>0.9</v>
      </c>
      <c r="H55" s="298">
        <f>H12_MOTOR_ICPI_CANÓNICO!J8</f>
        <v>58.320000000000007</v>
      </c>
      <c r="I55" s="296" t="str">
        <f>H12_MOTOR_ICPI_CANÓNICO!K8</f>
        <v>🟡 Transición</v>
      </c>
    </row>
    <row r="56" spans="1:9" x14ac:dyDescent="0.3">
      <c r="A56" s="166" t="str">
        <f>H12_MOTOR_ICPI_CANÓNICO!A9</f>
        <v>AH-I-X-02</v>
      </c>
      <c r="B56" s="295">
        <f>H12_MOTOR_ICPI_CANÓNICO!B9</f>
        <v>6.7296692948828146E-2</v>
      </c>
      <c r="C56" s="295">
        <f>H12_MOTOR_ICPI_CANÓNICO!C9</f>
        <v>0.86956521739130443</v>
      </c>
      <c r="D56" s="252">
        <f>H12_MOTOR_ICPI_CANÓNICO!D9</f>
        <v>0</v>
      </c>
      <c r="E56" s="252">
        <f>H12_MOTOR_ICPI_CANÓNICO!E9</f>
        <v>1</v>
      </c>
      <c r="F56" s="299">
        <f>H12_MOTOR_ICPI_CANÓNICO!F9</f>
        <v>0</v>
      </c>
      <c r="G56" s="252">
        <f>H12_MOTOR_ICPI_CANÓNICO!G9</f>
        <v>1</v>
      </c>
      <c r="H56" s="300">
        <f>H12_MOTOR_ICPI_CANÓNICO!J9</f>
        <v>0</v>
      </c>
      <c r="I56" s="252" t="str">
        <f>H12_MOTOR_ICPI_CANÓNICO!K9</f>
        <v>🔴 Ruptura</v>
      </c>
    </row>
    <row r="57" spans="1:9" x14ac:dyDescent="0.3">
      <c r="A57" s="169" t="str">
        <f>H12_MOTOR_ICPI_CANÓNICO!A10</f>
        <v>AH-I-X-03</v>
      </c>
      <c r="B57" s="294">
        <f>H12_MOTOR_ICPI_CANÓNICO!B10</f>
        <v>3.626041303300917E-2</v>
      </c>
      <c r="C57" s="294">
        <f>H12_MOTOR_ICPI_CANÓNICO!C10</f>
        <v>0.28985507246376813</v>
      </c>
      <c r="D57" s="296">
        <f>H12_MOTOR_ICPI_CANÓNICO!D10</f>
        <v>1</v>
      </c>
      <c r="E57" s="296">
        <f>H12_MOTOR_ICPI_CANÓNICO!E10</f>
        <v>0.9</v>
      </c>
      <c r="F57" s="297">
        <f>H12_MOTOR_ICPI_CANÓNICO!F10</f>
        <v>0.72</v>
      </c>
      <c r="G57" s="296">
        <f>H12_MOTOR_ICPI_CANÓNICO!G10</f>
        <v>0.9</v>
      </c>
      <c r="H57" s="298">
        <f>H12_MOTOR_ICPI_CANÓNICO!J10</f>
        <v>58.320000000000007</v>
      </c>
      <c r="I57" s="296" t="str">
        <f>H12_MOTOR_ICPI_CANÓNICO!K10</f>
        <v>🟡 Transición</v>
      </c>
    </row>
    <row r="58" spans="1:9" x14ac:dyDescent="0.3">
      <c r="A58" s="166" t="str">
        <f>H12_MOTOR_ICPI_CANÓNICO!A11</f>
        <v>AH-I-N-01</v>
      </c>
      <c r="B58" s="295">
        <f>H12_MOTOR_ICPI_CANÓNICO!B11</f>
        <v>3.5447386020146597E-2</v>
      </c>
      <c r="C58" s="295">
        <f>H12_MOTOR_ICPI_CANÓNICO!C11</f>
        <v>1</v>
      </c>
      <c r="D58" s="252">
        <f>H12_MOTOR_ICPI_CANÓNICO!D11</f>
        <v>0.5</v>
      </c>
      <c r="E58" s="252">
        <f>H12_MOTOR_ICPI_CANÓNICO!E11</f>
        <v>0.75</v>
      </c>
      <c r="F58" s="299">
        <f>H12_MOTOR_ICPI_CANÓNICO!F11</f>
        <v>0.8</v>
      </c>
      <c r="G58" s="252">
        <f>H12_MOTOR_ICPI_CANÓNICO!G11</f>
        <v>0.75</v>
      </c>
      <c r="H58" s="300">
        <f>H12_MOTOR_ICPI_CANÓNICO!J11</f>
        <v>22.5</v>
      </c>
      <c r="I58" s="252" t="str">
        <f>H12_MOTOR_ICPI_CANÓNICO!K11</f>
        <v>🟠 Por Ocurrencia</v>
      </c>
    </row>
    <row r="59" spans="1:9" x14ac:dyDescent="0.3">
      <c r="A59" s="169" t="str">
        <f>H12_MOTOR_ICPI_CANÓNICO!A12</f>
        <v>SC-L-G-01</v>
      </c>
      <c r="B59" s="294">
        <f>H12_MOTOR_ICPI_CANÓNICO!B12</f>
        <v>7.8273728775865112E-3</v>
      </c>
      <c r="C59" s="294">
        <f>H12_MOTOR_ICPI_CANÓNICO!C12</f>
        <v>0.86956521739130443</v>
      </c>
      <c r="D59" s="296">
        <f>H12_MOTOR_ICPI_CANÓNICO!D12</f>
        <v>1</v>
      </c>
      <c r="E59" s="296">
        <f>H12_MOTOR_ICPI_CANÓNICO!E12</f>
        <v>0.75</v>
      </c>
      <c r="F59" s="297">
        <f>H12_MOTOR_ICPI_CANÓNICO!F12</f>
        <v>0.85</v>
      </c>
      <c r="G59" s="296">
        <f>H12_MOTOR_ICPI_CANÓNICO!G12</f>
        <v>0.75</v>
      </c>
      <c r="H59" s="298">
        <f>H12_MOTOR_ICPI_CANÓNICO!J12</f>
        <v>47.8125</v>
      </c>
      <c r="I59" s="296" t="str">
        <f>H12_MOTOR_ICPI_CANÓNICO!K12</f>
        <v>🟡 Transición</v>
      </c>
    </row>
    <row r="60" spans="1:9" x14ac:dyDescent="0.3">
      <c r="A60" s="166" t="str">
        <f>H12_MOTOR_ICPI_CANÓNICO!A13</f>
        <v>AH-I-X-04</v>
      </c>
      <c r="B60" s="295">
        <f>H12_MOTOR_ICPI_CANÓNICO!B13</f>
        <v>2.3207452342439927E-2</v>
      </c>
      <c r="C60" s="295">
        <f>H12_MOTOR_ICPI_CANÓNICO!C13</f>
        <v>0.57971014492753625</v>
      </c>
      <c r="D60" s="252">
        <f>H12_MOTOR_ICPI_CANÓNICO!D13</f>
        <v>1</v>
      </c>
      <c r="E60" s="252">
        <f>H12_MOTOR_ICPI_CANÓNICO!E13</f>
        <v>0.75</v>
      </c>
      <c r="F60" s="299">
        <f>H12_MOTOR_ICPI_CANÓNICO!F13</f>
        <v>0.72</v>
      </c>
      <c r="G60" s="252">
        <f>H12_MOTOR_ICPI_CANÓNICO!G13</f>
        <v>0.75</v>
      </c>
      <c r="H60" s="300">
        <f>H12_MOTOR_ICPI_CANÓNICO!J13</f>
        <v>40.5</v>
      </c>
      <c r="I60" s="252" t="str">
        <f>H12_MOTOR_ICPI_CANÓNICO!K13</f>
        <v>🟡 Transición</v>
      </c>
    </row>
    <row r="61" spans="1:9" x14ac:dyDescent="0.3">
      <c r="A61" s="169" t="str">
        <f>H12_MOTOR_ICPI_CANÓNICO!A14</f>
        <v>PI-I-G-01</v>
      </c>
      <c r="B61" s="294">
        <f>H12_MOTOR_ICPI_CANÓNICO!B14</f>
        <v>1.5955769160784519E-2</v>
      </c>
      <c r="C61" s="294">
        <f>H12_MOTOR_ICPI_CANÓNICO!C14</f>
        <v>0.57971014492753625</v>
      </c>
      <c r="D61" s="296">
        <f>H12_MOTOR_ICPI_CANÓNICO!D14</f>
        <v>1</v>
      </c>
      <c r="E61" s="296">
        <f>H12_MOTOR_ICPI_CANÓNICO!E14</f>
        <v>1</v>
      </c>
      <c r="F61" s="297">
        <f>H12_MOTOR_ICPI_CANÓNICO!F14</f>
        <v>0.85</v>
      </c>
      <c r="G61" s="296">
        <f>H12_MOTOR_ICPI_CANÓNICO!G14</f>
        <v>1</v>
      </c>
      <c r="H61" s="298">
        <f>H12_MOTOR_ICPI_CANÓNICO!J14</f>
        <v>85.000000000000014</v>
      </c>
      <c r="I61" s="296" t="str">
        <f>H12_MOTOR_ICPI_CANÓNICO!K14</f>
        <v>🟢 Por Mandato</v>
      </c>
    </row>
    <row r="62" spans="1:9" x14ac:dyDescent="0.3">
      <c r="A62" s="166" t="str">
        <f>H12_MOTOR_ICPI_CANÓNICO!A15</f>
        <v>AH-C-X-01</v>
      </c>
      <c r="B62" s="295">
        <f>H12_MOTOR_ICPI_CANÓNICO!B15</f>
        <v>1.08181781153198E-2</v>
      </c>
      <c r="C62" s="295">
        <f>H12_MOTOR_ICPI_CANÓNICO!C15</f>
        <v>0.33333333333333331</v>
      </c>
      <c r="D62" s="252">
        <f>H12_MOTOR_ICPI_CANÓNICO!D15</f>
        <v>1</v>
      </c>
      <c r="E62" s="252">
        <f>H12_MOTOR_ICPI_CANÓNICO!E15</f>
        <v>1</v>
      </c>
      <c r="F62" s="299">
        <f>H12_MOTOR_ICPI_CANÓNICO!F15</f>
        <v>0.72</v>
      </c>
      <c r="G62" s="252">
        <f>H12_MOTOR_ICPI_CANÓNICO!G15</f>
        <v>1</v>
      </c>
      <c r="H62" s="300">
        <f>H12_MOTOR_ICPI_CANÓNICO!J15</f>
        <v>72</v>
      </c>
      <c r="I62" s="252" t="str">
        <f>H12_MOTOR_ICPI_CANÓNICO!K15</f>
        <v>🟢 Por Mandato</v>
      </c>
    </row>
    <row r="63" spans="1:9" x14ac:dyDescent="0.3">
      <c r="A63" s="169" t="str">
        <f>H12_MOTOR_ICPI_CANÓNICO!A16</f>
        <v>AH-C-X-02</v>
      </c>
      <c r="B63" s="294">
        <f>H12_MOTOR_ICPI_CANÓNICO!B16</f>
        <v>1.1215753872178297E-2</v>
      </c>
      <c r="C63" s="294">
        <f>H12_MOTOR_ICPI_CANÓNICO!C16</f>
        <v>0.57971014492753625</v>
      </c>
      <c r="D63" s="296">
        <f>H12_MOTOR_ICPI_CANÓNICO!D16</f>
        <v>1</v>
      </c>
      <c r="E63" s="296">
        <f>H12_MOTOR_ICPI_CANÓNICO!E16</f>
        <v>1</v>
      </c>
      <c r="F63" s="297">
        <f>H12_MOTOR_ICPI_CANÓNICO!F16</f>
        <v>0.72</v>
      </c>
      <c r="G63" s="296">
        <f>H12_MOTOR_ICPI_CANÓNICO!G16</f>
        <v>1</v>
      </c>
      <c r="H63" s="298">
        <f>H12_MOTOR_ICPI_CANÓNICO!J16</f>
        <v>72.000000000000014</v>
      </c>
      <c r="I63" s="296" t="str">
        <f>H12_MOTOR_ICPI_CANÓNICO!K16</f>
        <v>🟢 Por Mandato</v>
      </c>
    </row>
    <row r="64" spans="1:9" x14ac:dyDescent="0.3">
      <c r="A64" s="166" t="str">
        <f>H12_MOTOR_ICPI_CANÓNICO!A17</f>
        <v>SC-I-N-03</v>
      </c>
      <c r="B64" s="295">
        <f>H12_MOTOR_ICPI_CANÓNICO!B17</f>
        <v>8.5001080419824218E-4</v>
      </c>
      <c r="C64" s="295">
        <f>H12_MOTOR_ICPI_CANÓNICO!C17</f>
        <v>0.57971014492753625</v>
      </c>
      <c r="D64" s="252">
        <f>H12_MOTOR_ICPI_CANÓNICO!D17</f>
        <v>1</v>
      </c>
      <c r="E64" s="252">
        <f>H12_MOTOR_ICPI_CANÓNICO!E17</f>
        <v>0.75</v>
      </c>
      <c r="F64" s="299">
        <f>H12_MOTOR_ICPI_CANÓNICO!F17</f>
        <v>0.95</v>
      </c>
      <c r="G64" s="252">
        <f>H12_MOTOR_ICPI_CANÓNICO!G17</f>
        <v>0.75</v>
      </c>
      <c r="H64" s="300">
        <f>H12_MOTOR_ICPI_CANÓNICO!J17</f>
        <v>53.437499999999993</v>
      </c>
      <c r="I64" s="252" t="str">
        <f>H12_MOTOR_ICPI_CANÓNICO!K17</f>
        <v>🟡 Transición</v>
      </c>
    </row>
    <row r="65" spans="1:9" x14ac:dyDescent="0.3">
      <c r="A65" s="169" t="str">
        <f>H12_MOTOR_ICPI_CANÓNICO!A18</f>
        <v>FA-I-X-01</v>
      </c>
      <c r="B65" s="294">
        <f>H12_MOTOR_ICPI_CANÓNICO!B18</f>
        <v>5.8557669614817268E-3</v>
      </c>
      <c r="C65" s="294">
        <f>H12_MOTOR_ICPI_CANÓNICO!C18</f>
        <v>0.66666666666666663</v>
      </c>
      <c r="D65" s="296">
        <f>H12_MOTOR_ICPI_CANÓNICO!D18</f>
        <v>1</v>
      </c>
      <c r="E65" s="296">
        <f>H12_MOTOR_ICPI_CANÓNICO!E18</f>
        <v>1</v>
      </c>
      <c r="F65" s="297">
        <f>H12_MOTOR_ICPI_CANÓNICO!F18</f>
        <v>0.65</v>
      </c>
      <c r="G65" s="296">
        <f>H12_MOTOR_ICPI_CANÓNICO!G18</f>
        <v>1</v>
      </c>
      <c r="H65" s="298">
        <f>H12_MOTOR_ICPI_CANÓNICO!J18</f>
        <v>64.999999999999986</v>
      </c>
      <c r="I65" s="296" t="str">
        <f>H12_MOTOR_ICPI_CANÓNICO!K18</f>
        <v>🟡 Transición</v>
      </c>
    </row>
    <row r="66" spans="1:9" x14ac:dyDescent="0.3">
      <c r="A66" s="166" t="str">
        <f>H12_MOTOR_ICPI_CANÓNICO!A19</f>
        <v>FA-C-X-01</v>
      </c>
      <c r="B66" s="295">
        <f>H12_MOTOR_ICPI_CANÓNICO!B19</f>
        <v>4.3764153080547638E-3</v>
      </c>
      <c r="C66" s="295">
        <f>H12_MOTOR_ICPI_CANÓNICO!C19</f>
        <v>0.66666666666666663</v>
      </c>
      <c r="D66" s="252">
        <f>H12_MOTOR_ICPI_CANÓNICO!D19</f>
        <v>1</v>
      </c>
      <c r="E66" s="252">
        <f>H12_MOTOR_ICPI_CANÓNICO!E19</f>
        <v>1</v>
      </c>
      <c r="F66" s="299">
        <f>H12_MOTOR_ICPI_CANÓNICO!F19</f>
        <v>0.8</v>
      </c>
      <c r="G66" s="252">
        <f>H12_MOTOR_ICPI_CANÓNICO!G19</f>
        <v>1</v>
      </c>
      <c r="H66" s="300">
        <f>H12_MOTOR_ICPI_CANÓNICO!J19</f>
        <v>80</v>
      </c>
      <c r="I66" s="252" t="str">
        <f>H12_MOTOR_ICPI_CANÓNICO!K19</f>
        <v>🟢 Por Mandato</v>
      </c>
    </row>
    <row r="67" spans="1:9" x14ac:dyDescent="0.3">
      <c r="A67" s="169" t="str">
        <f>H12_MOTOR_ICPI_CANÓNICO!A20</f>
        <v>FA-I-X-02</v>
      </c>
      <c r="B67" s="294">
        <f>H12_MOTOR_ICPI_CANÓNICO!B20</f>
        <v>3.0831932140758928E-2</v>
      </c>
      <c r="C67" s="294">
        <f>H12_MOTOR_ICPI_CANÓNICO!C20</f>
        <v>0.57971014492753625</v>
      </c>
      <c r="D67" s="296">
        <f>H12_MOTOR_ICPI_CANÓNICO!D20</f>
        <v>1</v>
      </c>
      <c r="E67" s="296">
        <f>H12_MOTOR_ICPI_CANÓNICO!E20</f>
        <v>0.9</v>
      </c>
      <c r="F67" s="297">
        <f>H12_MOTOR_ICPI_CANÓNICO!F20</f>
        <v>0.85</v>
      </c>
      <c r="G67" s="296">
        <f>H12_MOTOR_ICPI_CANÓNICO!G20</f>
        <v>0.9</v>
      </c>
      <c r="H67" s="298">
        <f>H12_MOTOR_ICPI_CANÓNICO!J20</f>
        <v>68.849999999999994</v>
      </c>
      <c r="I67" s="296" t="str">
        <f>H12_MOTOR_ICPI_CANÓNICO!K20</f>
        <v>🟡 Transición</v>
      </c>
    </row>
    <row r="68" spans="1:9" x14ac:dyDescent="0.3">
      <c r="A68" s="166" t="str">
        <f>H12_MOTOR_ICPI_CANÓNICO!A21</f>
        <v>FA-L-N-01</v>
      </c>
      <c r="B68" s="295">
        <f>H12_MOTOR_ICPI_CANÓNICO!B21</f>
        <v>3.0724161372806774E-3</v>
      </c>
      <c r="C68" s="295">
        <f>H12_MOTOR_ICPI_CANÓNICO!C21</f>
        <v>0.57971014492753625</v>
      </c>
      <c r="D68" s="252">
        <f>H12_MOTOR_ICPI_CANÓNICO!D21</f>
        <v>1</v>
      </c>
      <c r="E68" s="252">
        <f>H12_MOTOR_ICPI_CANÓNICO!E21</f>
        <v>0.9</v>
      </c>
      <c r="F68" s="299">
        <f>H12_MOTOR_ICPI_CANÓNICO!F21</f>
        <v>0.95</v>
      </c>
      <c r="G68" s="252">
        <f>H12_MOTOR_ICPI_CANÓNICO!G21</f>
        <v>0.9</v>
      </c>
      <c r="H68" s="300">
        <f>H12_MOTOR_ICPI_CANÓNICO!J21</f>
        <v>76.95</v>
      </c>
      <c r="I68" s="252" t="str">
        <f>H12_MOTOR_ICPI_CANÓNICO!K21</f>
        <v>🟢 Por Mandato</v>
      </c>
    </row>
    <row r="69" spans="1:9" x14ac:dyDescent="0.3">
      <c r="A69" s="169" t="str">
        <f>H12_MOTOR_ICPI_CANÓNICO!A22</f>
        <v>PI-I-G-02</v>
      </c>
      <c r="B69" s="294">
        <f>H12_MOTOR_ICPI_CANÓNICO!B22</f>
        <v>2.9153829592694054E-3</v>
      </c>
      <c r="C69" s="294">
        <f>H12_MOTOR_ICPI_CANÓNICO!C22</f>
        <v>0.57971014492753625</v>
      </c>
      <c r="D69" s="296">
        <f>H12_MOTOR_ICPI_CANÓNICO!D22</f>
        <v>1</v>
      </c>
      <c r="E69" s="296">
        <f>H12_MOTOR_ICPI_CANÓNICO!E22</f>
        <v>1</v>
      </c>
      <c r="F69" s="297">
        <f>H12_MOTOR_ICPI_CANÓNICO!F22</f>
        <v>0.85</v>
      </c>
      <c r="G69" s="296">
        <f>H12_MOTOR_ICPI_CANÓNICO!G22</f>
        <v>1</v>
      </c>
      <c r="H69" s="298">
        <f>H12_MOTOR_ICPI_CANÓNICO!J22</f>
        <v>85</v>
      </c>
      <c r="I69" s="296" t="str">
        <f>H12_MOTOR_ICPI_CANÓNICO!K22</f>
        <v>🟢 Por Mandato</v>
      </c>
    </row>
    <row r="70" spans="1:9" x14ac:dyDescent="0.3">
      <c r="A70" s="166" t="str">
        <f>H12_MOTOR_ICPI_CANÓNICO!A23</f>
        <v>PI-L-G-01</v>
      </c>
      <c r="B70" s="295">
        <f>H12_MOTOR_ICPI_CANÓNICO!B23</f>
        <v>1.6698181788056838E-3</v>
      </c>
      <c r="C70" s="295">
        <f>H12_MOTOR_ICPI_CANÓNICO!C23</f>
        <v>0.57971014492753625</v>
      </c>
      <c r="D70" s="252">
        <f>H12_MOTOR_ICPI_CANÓNICO!D23</f>
        <v>1</v>
      </c>
      <c r="E70" s="252">
        <f>H12_MOTOR_ICPI_CANÓNICO!E23</f>
        <v>0.75</v>
      </c>
      <c r="F70" s="299">
        <f>H12_MOTOR_ICPI_CANÓNICO!F23</f>
        <v>0.94999999999999984</v>
      </c>
      <c r="G70" s="252">
        <f>H12_MOTOR_ICPI_CANÓNICO!G23</f>
        <v>0.75</v>
      </c>
      <c r="H70" s="300">
        <f>H12_MOTOR_ICPI_CANÓNICO!J23</f>
        <v>53.437499999999993</v>
      </c>
      <c r="I70" s="252" t="str">
        <f>H12_MOTOR_ICPI_CANÓNICO!K23</f>
        <v>🟡 Transición</v>
      </c>
    </row>
    <row r="71" spans="1:9" x14ac:dyDescent="0.3">
      <c r="A71" s="169" t="str">
        <f>H12_MOTOR_ICPI_CANÓNICO!A24</f>
        <v>EP-L-N-01</v>
      </c>
      <c r="B71" s="294">
        <f>H12_MOTOR_ICPI_CANÓNICO!B24</f>
        <v>1.9971247321263993E-3</v>
      </c>
      <c r="C71" s="294">
        <f>H12_MOTOR_ICPI_CANÓNICO!C24</f>
        <v>0.57971014492753625</v>
      </c>
      <c r="D71" s="296">
        <f>H12_MOTOR_ICPI_CANÓNICO!D24</f>
        <v>1</v>
      </c>
      <c r="E71" s="296">
        <f>H12_MOTOR_ICPI_CANÓNICO!E24</f>
        <v>1</v>
      </c>
      <c r="F71" s="297">
        <f>H12_MOTOR_ICPI_CANÓNICO!F24</f>
        <v>0.95</v>
      </c>
      <c r="G71" s="296">
        <f>H12_MOTOR_ICPI_CANÓNICO!G24</f>
        <v>1</v>
      </c>
      <c r="H71" s="298">
        <f>H12_MOTOR_ICPI_CANÓNICO!J24</f>
        <v>94.999999999999986</v>
      </c>
      <c r="I71" s="296" t="str">
        <f>H12_MOTOR_ICPI_CANÓNICO!K24</f>
        <v>🔵 Excelencia</v>
      </c>
    </row>
    <row r="72" spans="1:9" x14ac:dyDescent="0.3">
      <c r="A72" s="166" t="str">
        <f>H12_MOTOR_ICPI_CANÓNICO!A25</f>
        <v>EP-L-X-01</v>
      </c>
      <c r="B72" s="295">
        <f>H12_MOTOR_ICPI_CANÓNICO!B25</f>
        <v>1.4199556845418699E-3</v>
      </c>
      <c r="C72" s="295">
        <f>H12_MOTOR_ICPI_CANÓNICO!C25</f>
        <v>0.28985507246376813</v>
      </c>
      <c r="D72" s="252">
        <f>H12_MOTOR_ICPI_CANÓNICO!D25</f>
        <v>1</v>
      </c>
      <c r="E72" s="252">
        <f>H12_MOTOR_ICPI_CANÓNICO!E25</f>
        <v>1</v>
      </c>
      <c r="F72" s="299">
        <f>H12_MOTOR_ICPI_CANÓNICO!F25</f>
        <v>0.85</v>
      </c>
      <c r="G72" s="252">
        <f>H12_MOTOR_ICPI_CANÓNICO!G25</f>
        <v>1</v>
      </c>
      <c r="H72" s="300">
        <f>H12_MOTOR_ICPI_CANÓNICO!J25</f>
        <v>85</v>
      </c>
      <c r="I72" s="252" t="str">
        <f>H12_MOTOR_ICPI_CANÓNICO!K25</f>
        <v>🟢 Por Mandato</v>
      </c>
    </row>
  </sheetData>
  <mergeCells count="6">
    <mergeCell ref="A3:E3"/>
    <mergeCell ref="A2:E2"/>
    <mergeCell ref="A38:E38"/>
    <mergeCell ref="A49:E49"/>
    <mergeCell ref="A50:E50"/>
    <mergeCell ref="A14:E14"/>
  </mergeCells>
  <hyperlinks>
    <hyperlink ref="B1" location="'H00_ÍNDICE'!A1" display="⬅️ ÍNDICE GENERAL" xr:uid="{5674EE64-D609-4516-BE6C-855770462FA1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5080-307B-4BC2-98A3-03C1F7BB5388}">
  <sheetPr>
    <tabColor rgb="FFD4AF37"/>
  </sheetPr>
  <dimension ref="A1:E42"/>
  <sheetViews>
    <sheetView zoomScale="62" zoomScaleNormal="62" workbookViewId="0">
      <pane ySplit="2" topLeftCell="A3" activePane="bottomLeft" state="frozen"/>
      <selection pane="bottomLeft" activeCell="E14" sqref="E14"/>
    </sheetView>
  </sheetViews>
  <sheetFormatPr baseColWidth="10" defaultRowHeight="14.4" x14ac:dyDescent="0.3"/>
  <cols>
    <col min="1" max="1" width="55.5546875" customWidth="1"/>
    <col min="2" max="2" width="63" customWidth="1"/>
    <col min="3" max="3" width="11.6640625" bestFit="1" customWidth="1"/>
    <col min="4" max="4" width="14.21875" bestFit="1" customWidth="1"/>
    <col min="5" max="5" width="8.109375" bestFit="1" customWidth="1"/>
  </cols>
  <sheetData>
    <row r="1" spans="1:5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1162</v>
      </c>
      <c r="E1" s="212" t="str">
        <f ca="1">TEXT(TODAY(),"DD/MM/YYYY")</f>
        <v>05/04/2026</v>
      </c>
    </row>
    <row r="2" spans="1:5" ht="25.05" customHeight="1" x14ac:dyDescent="0.35">
      <c r="A2" s="16" t="s">
        <v>1182</v>
      </c>
    </row>
    <row r="3" spans="1:5" ht="16.05" customHeight="1" x14ac:dyDescent="0.3">
      <c r="A3" s="224" t="s">
        <v>1183</v>
      </c>
    </row>
    <row r="5" spans="1:5" ht="17.399999999999999" x14ac:dyDescent="0.35">
      <c r="A5" s="23" t="s">
        <v>982</v>
      </c>
    </row>
    <row r="6" spans="1:5" ht="15.6" x14ac:dyDescent="0.3">
      <c r="A6" s="11" t="str">
        <f>H01_PARÁMETROS!B6</f>
        <v>GAD Municipal de Montecristi</v>
      </c>
    </row>
    <row r="7" spans="1:5" x14ac:dyDescent="0.3">
      <c r="A7" s="8" t="s">
        <v>983</v>
      </c>
    </row>
    <row r="9" spans="1:5" x14ac:dyDescent="0.3">
      <c r="A9" s="2" t="s">
        <v>192</v>
      </c>
      <c r="B9" s="2" t="s">
        <v>381</v>
      </c>
      <c r="C9" s="2" t="s">
        <v>770</v>
      </c>
      <c r="D9" s="2" t="s">
        <v>408</v>
      </c>
      <c r="E9" s="2" t="s">
        <v>833</v>
      </c>
    </row>
    <row r="10" spans="1:5" x14ac:dyDescent="0.3">
      <c r="A10" s="166" t="str">
        <f>IF(H12_MOTOR_ICPI_CANÓNICO!J6&gt;=95,H12_MOTOR_ICPI_CANÓNICO!A6,"—")</f>
        <v>SC-I-N-01</v>
      </c>
      <c r="B10" s="166" t="str">
        <f>IF(H12_MOTOR_ICPI_CANÓNICO!J6&gt;=95,H04_S2_PLANIFICACIÓN_PDOT!B6,"—")</f>
        <v>Agua potable: cobertura 39.25%→42.38%; calidad 100% INEN 1108; infraestructura BUENA 22.74%→41.64%</v>
      </c>
      <c r="C10" s="167">
        <f>IF(H12_MOTOR_ICPI_CANÓNICO!J6&gt;=95,H12_MOTOR_ICPI_CANÓNICO!J6,"")</f>
        <v>95</v>
      </c>
      <c r="D10" s="166" t="str">
        <f>IF(H12_MOTOR_ICPI_CANÓNICO!J6&gt;=95,H12_MOTOR_ICPI_CANÓNICO!K6,"—")</f>
        <v>🔵 Excelencia</v>
      </c>
      <c r="E10" s="166" t="str">
        <f>IF(H12_MOTOR_ICPI_CANÓNICO!J6&gt;=95,H01_PARÁMETROS!B10,"—")</f>
        <v>2024-2027</v>
      </c>
    </row>
    <row r="11" spans="1:5" x14ac:dyDescent="0.3">
      <c r="A11" s="169" t="str">
        <f>IF(H12_MOTOR_ICPI_CANÓNICO!J7&gt;=95,H12_MOTOR_ICPI_CANÓNICO!A7,"—")</f>
        <v>—</v>
      </c>
      <c r="B11" s="169" t="str">
        <f>IF(H12_MOTOR_ICPI_CANÓNICO!J7&gt;=95,H04_S2_PLANIFICACIÓN_PDOT!B7,"—")</f>
        <v>—</v>
      </c>
      <c r="C11" s="170" t="str">
        <f>IF(H12_MOTOR_ICPI_CANÓNICO!J7&gt;=95,H12_MOTOR_ICPI_CANÓNICO!J7,"")</f>
        <v/>
      </c>
      <c r="D11" s="169" t="str">
        <f>IF(H12_MOTOR_ICPI_CANÓNICO!J7&gt;=95,H12_MOTOR_ICPI_CANÓNICO!K7,"—")</f>
        <v>—</v>
      </c>
      <c r="E11" s="169" t="str">
        <f>IF(H12_MOTOR_ICPI_CANÓNICO!J7&gt;=95,H01_PARÁMETROS!B10,"—")</f>
        <v>—</v>
      </c>
    </row>
    <row r="12" spans="1:5" x14ac:dyDescent="0.3">
      <c r="A12" s="166" t="str">
        <f>IF(H12_MOTOR_ICPI_CANÓNICO!J8&gt;=95,H12_MOTOR_ICPI_CANÓNICO!A8,"—")</f>
        <v>—</v>
      </c>
      <c r="B12" s="166" t="str">
        <f>IF(H12_MOTOR_ICPI_CANÓNICO!J8&gt;=95,H04_S2_PLANIFICACIÓN_PDOT!B8,"—")</f>
        <v>—</v>
      </c>
      <c r="C12" s="167" t="str">
        <f>IF(H12_MOTOR_ICPI_CANÓNICO!J8&gt;=95,H12_MOTOR_ICPI_CANÓNICO!J8,"")</f>
        <v/>
      </c>
      <c r="D12" s="166" t="str">
        <f>IF(H12_MOTOR_ICPI_CANÓNICO!J8&gt;=95,H12_MOTOR_ICPI_CANÓNICO!K8,"—")</f>
        <v>—</v>
      </c>
      <c r="E12" s="166" t="str">
        <f>IF(H12_MOTOR_ICPI_CANÓNICO!J8&gt;=95,H01_PARÁMETROS!B10,"—")</f>
        <v>—</v>
      </c>
    </row>
    <row r="13" spans="1:5" x14ac:dyDescent="0.3">
      <c r="A13" s="169" t="str">
        <f>IF(H12_MOTOR_ICPI_CANÓNICO!J9&gt;=95,H12_MOTOR_ICPI_CANÓNICO!A9,"—")</f>
        <v>—</v>
      </c>
      <c r="B13" s="169" t="str">
        <f>IF(H12_MOTOR_ICPI_CANÓNICO!J9&gt;=95,H04_S2_PLANIFICACIÓN_PDOT!B9,"—")</f>
        <v>—</v>
      </c>
      <c r="C13" s="170" t="str">
        <f>IF(H12_MOTOR_ICPI_CANÓNICO!J9&gt;=95,H12_MOTOR_ICPI_CANÓNICO!J9,"")</f>
        <v/>
      </c>
      <c r="D13" s="169" t="str">
        <f>IF(H12_MOTOR_ICPI_CANÓNICO!J9&gt;=95,H12_MOTOR_ICPI_CANÓNICO!K9,"—")</f>
        <v>—</v>
      </c>
      <c r="E13" s="169" t="str">
        <f>IF(H12_MOTOR_ICPI_CANÓNICO!J9&gt;=95,H01_PARÁMETROS!B10,"—")</f>
        <v>—</v>
      </c>
    </row>
    <row r="14" spans="1:5" x14ac:dyDescent="0.3">
      <c r="A14" s="166" t="str">
        <f>IF(H12_MOTOR_ICPI_CANÓNICO!J10&gt;=95,H12_MOTOR_ICPI_CANÓNICO!A10,"—")</f>
        <v>—</v>
      </c>
      <c r="B14" s="166" t="str">
        <f>IF(H12_MOTOR_ICPI_CANÓNICO!J10&gt;=95,H04_S2_PLANIFICACIÓN_PDOT!B10,"—")</f>
        <v>—</v>
      </c>
      <c r="C14" s="167" t="str">
        <f>IF(H12_MOTOR_ICPI_CANÓNICO!J10&gt;=95,H12_MOTOR_ICPI_CANÓNICO!J10,"")</f>
        <v/>
      </c>
      <c r="D14" s="166" t="str">
        <f>IF(H12_MOTOR_ICPI_CANÓNICO!J10&gt;=95,H12_MOTOR_ICPI_CANÓNICO!K10,"—")</f>
        <v>—</v>
      </c>
      <c r="E14" s="166" t="str">
        <f>IF(H12_MOTOR_ICPI_CANÓNICO!J10&gt;=95,H01_PARÁMETROS!B10,"—")</f>
        <v>—</v>
      </c>
    </row>
    <row r="15" spans="1:5" x14ac:dyDescent="0.3">
      <c r="A15" s="169" t="str">
        <f>IF(H12_MOTOR_ICPI_CANÓNICO!J11&gt;=95,H12_MOTOR_ICPI_CANÓNICO!A11,"—")</f>
        <v>—</v>
      </c>
      <c r="B15" s="169" t="str">
        <f>IF(H12_MOTOR_ICPI_CANÓNICO!J11&gt;=95,H04_S2_PLANIFICACIÓN_PDOT!B11,"—")</f>
        <v>—</v>
      </c>
      <c r="C15" s="170" t="str">
        <f>IF(H12_MOTOR_ICPI_CANÓNICO!J11&gt;=95,H12_MOTOR_ICPI_CANÓNICO!J11,"")</f>
        <v/>
      </c>
      <c r="D15" s="169" t="str">
        <f>IF(H12_MOTOR_ICPI_CANÓNICO!J11&gt;=95,H12_MOTOR_ICPI_CANÓNICO!K11,"—")</f>
        <v>—</v>
      </c>
      <c r="E15" s="169" t="str">
        <f>IF(H12_MOTOR_ICPI_CANÓNICO!J11&gt;=95,H01_PARÁMETROS!B10,"—")</f>
        <v>—</v>
      </c>
    </row>
    <row r="16" spans="1:5" x14ac:dyDescent="0.3">
      <c r="A16" s="166" t="str">
        <f>IF(H12_MOTOR_ICPI_CANÓNICO!J12&gt;=95,H12_MOTOR_ICPI_CANÓNICO!A12,"—")</f>
        <v>—</v>
      </c>
      <c r="B16" s="166" t="str">
        <f>IF(H12_MOTOR_ICPI_CANÓNICO!J12&gt;=95,H04_S2_PLANIFICACIÓN_PDOT!B12,"—")</f>
        <v>—</v>
      </c>
      <c r="C16" s="167" t="str">
        <f>IF(H12_MOTOR_ICPI_CANÓNICO!J12&gt;=95,H12_MOTOR_ICPI_CANÓNICO!J12,"")</f>
        <v/>
      </c>
      <c r="D16" s="166" t="str">
        <f>IF(H12_MOTOR_ICPI_CANÓNICO!J12&gt;=95,H12_MOTOR_ICPI_CANÓNICO!K12,"—")</f>
        <v>—</v>
      </c>
      <c r="E16" s="166" t="str">
        <f>IF(H12_MOTOR_ICPI_CANÓNICO!J12&gt;=95,H01_PARÁMETROS!B10,"—")</f>
        <v>—</v>
      </c>
    </row>
    <row r="17" spans="1:5" x14ac:dyDescent="0.3">
      <c r="A17" s="169" t="str">
        <f>IF(H12_MOTOR_ICPI_CANÓNICO!J13&gt;=95,H12_MOTOR_ICPI_CANÓNICO!A13,"—")</f>
        <v>—</v>
      </c>
      <c r="B17" s="169" t="str">
        <f>IF(H12_MOTOR_ICPI_CANÓNICO!J13&gt;=95,H04_S2_PLANIFICACIÓN_PDOT!B13,"—")</f>
        <v>—</v>
      </c>
      <c r="C17" s="170" t="str">
        <f>IF(H12_MOTOR_ICPI_CANÓNICO!J13&gt;=95,H12_MOTOR_ICPI_CANÓNICO!J13,"")</f>
        <v/>
      </c>
      <c r="D17" s="169" t="str">
        <f>IF(H12_MOTOR_ICPI_CANÓNICO!J13&gt;=95,H12_MOTOR_ICPI_CANÓNICO!K13,"—")</f>
        <v>—</v>
      </c>
      <c r="E17" s="169" t="str">
        <f>IF(H12_MOTOR_ICPI_CANÓNICO!J13&gt;=95,H01_PARÁMETROS!B10,"—")</f>
        <v>—</v>
      </c>
    </row>
    <row r="18" spans="1:5" x14ac:dyDescent="0.3">
      <c r="A18" s="166" t="str">
        <f>IF(H12_MOTOR_ICPI_CANÓNICO!J14&gt;=95,H12_MOTOR_ICPI_CANÓNICO!A14,"—")</f>
        <v>—</v>
      </c>
      <c r="B18" s="166" t="str">
        <f>IF(H12_MOTOR_ICPI_CANÓNICO!J14&gt;=95,H04_S2_PLANIFICACIÓN_PDOT!B14,"—")</f>
        <v>—</v>
      </c>
      <c r="C18" s="167" t="str">
        <f>IF(H12_MOTOR_ICPI_CANÓNICO!J14&gt;=95,H12_MOTOR_ICPI_CANÓNICO!J14,"")</f>
        <v/>
      </c>
      <c r="D18" s="166" t="str">
        <f>IF(H12_MOTOR_ICPI_CANÓNICO!J14&gt;=95,H12_MOTOR_ICPI_CANÓNICO!K14,"—")</f>
        <v>—</v>
      </c>
      <c r="E18" s="166" t="str">
        <f>IF(H12_MOTOR_ICPI_CANÓNICO!J14&gt;=95,H01_PARÁMETROS!B10,"—")</f>
        <v>—</v>
      </c>
    </row>
    <row r="19" spans="1:5" x14ac:dyDescent="0.3">
      <c r="A19" s="169" t="str">
        <f>IF(H12_MOTOR_ICPI_CANÓNICO!J15&gt;=95,H12_MOTOR_ICPI_CANÓNICO!A15,"—")</f>
        <v>—</v>
      </c>
      <c r="B19" s="169" t="str">
        <f>IF(H12_MOTOR_ICPI_CANÓNICO!J15&gt;=95,H04_S2_PLANIFICACIÓN_PDOT!B15,"—")</f>
        <v>—</v>
      </c>
      <c r="C19" s="170" t="str">
        <f>IF(H12_MOTOR_ICPI_CANÓNICO!J15&gt;=95,H12_MOTOR_ICPI_CANÓNICO!J15,"")</f>
        <v/>
      </c>
      <c r="D19" s="169" t="str">
        <f>IF(H12_MOTOR_ICPI_CANÓNICO!J15&gt;=95,H12_MOTOR_ICPI_CANÓNICO!K15,"—")</f>
        <v>—</v>
      </c>
      <c r="E19" s="169" t="str">
        <f>IF(H12_MOTOR_ICPI_CANÓNICO!J15&gt;=95,H01_PARÁMETROS!B10,"—")</f>
        <v>—</v>
      </c>
    </row>
    <row r="20" spans="1:5" x14ac:dyDescent="0.3">
      <c r="A20" s="166" t="str">
        <f>IF(H12_MOTOR_ICPI_CANÓNICO!J16&gt;=95,H12_MOTOR_ICPI_CANÓNICO!A16,"—")</f>
        <v>—</v>
      </c>
      <c r="B20" s="166" t="str">
        <f>IF(H12_MOTOR_ICPI_CANÓNICO!J16&gt;=95,H04_S2_PLANIFICACIÓN_PDOT!B16,"—")</f>
        <v>—</v>
      </c>
      <c r="C20" s="167" t="str">
        <f>IF(H12_MOTOR_ICPI_CANÓNICO!J16&gt;=95,H12_MOTOR_ICPI_CANÓNICO!J16,"")</f>
        <v/>
      </c>
      <c r="D20" s="166" t="str">
        <f>IF(H12_MOTOR_ICPI_CANÓNICO!J16&gt;=95,H12_MOTOR_ICPI_CANÓNICO!K16,"—")</f>
        <v>—</v>
      </c>
      <c r="E20" s="166" t="str">
        <f>IF(H12_MOTOR_ICPI_CANÓNICO!J16&gt;=95,H01_PARÁMETROS!B10,"—")</f>
        <v>—</v>
      </c>
    </row>
    <row r="21" spans="1:5" x14ac:dyDescent="0.3">
      <c r="A21" s="169" t="str">
        <f>IF(H12_MOTOR_ICPI_CANÓNICO!J17&gt;=95,H12_MOTOR_ICPI_CANÓNICO!A17,"—")</f>
        <v>—</v>
      </c>
      <c r="B21" s="169" t="str">
        <f>IF(H12_MOTOR_ICPI_CANÓNICO!J17&gt;=95,H04_S2_PLANIFICACIÓN_PDOT!B17,"—")</f>
        <v>—</v>
      </c>
      <c r="C21" s="170" t="str">
        <f>IF(H12_MOTOR_ICPI_CANÓNICO!J17&gt;=95,H12_MOTOR_ICPI_CANÓNICO!J17,"")</f>
        <v/>
      </c>
      <c r="D21" s="169" t="str">
        <f>IF(H12_MOTOR_ICPI_CANÓNICO!J17&gt;=95,H12_MOTOR_ICPI_CANÓNICO!K17,"—")</f>
        <v>—</v>
      </c>
      <c r="E21" s="169" t="str">
        <f>IF(H12_MOTOR_ICPI_CANÓNICO!J17&gt;=95,H01_PARÁMETROS!B10,"—")</f>
        <v>—</v>
      </c>
    </row>
    <row r="22" spans="1:5" x14ac:dyDescent="0.3">
      <c r="A22" s="166" t="str">
        <f>IF(H12_MOTOR_ICPI_CANÓNICO!J18&gt;=95,H12_MOTOR_ICPI_CANÓNICO!A18,"—")</f>
        <v>—</v>
      </c>
      <c r="B22" s="166" t="str">
        <f>IF(H12_MOTOR_ICPI_CANÓNICO!J18&gt;=95,H04_S2_PLANIFICACIÓN_PDOT!B18,"—")</f>
        <v>—</v>
      </c>
      <c r="C22" s="167" t="str">
        <f>IF(H12_MOTOR_ICPI_CANÓNICO!J18&gt;=95,H12_MOTOR_ICPI_CANÓNICO!J18,"")</f>
        <v/>
      </c>
      <c r="D22" s="166" t="str">
        <f>IF(H12_MOTOR_ICPI_CANÓNICO!J18&gt;=95,H12_MOTOR_ICPI_CANÓNICO!K18,"—")</f>
        <v>—</v>
      </c>
      <c r="E22" s="166" t="str">
        <f>IF(H12_MOTOR_ICPI_CANÓNICO!J18&gt;=95,H01_PARÁMETROS!B10,"—")</f>
        <v>—</v>
      </c>
    </row>
    <row r="23" spans="1:5" x14ac:dyDescent="0.3">
      <c r="A23" s="169" t="str">
        <f>IF(H12_MOTOR_ICPI_CANÓNICO!J19&gt;=95,H12_MOTOR_ICPI_CANÓNICO!A19,"—")</f>
        <v>—</v>
      </c>
      <c r="B23" s="169" t="str">
        <f>IF(H12_MOTOR_ICPI_CANÓNICO!J19&gt;=95,H04_S2_PLANIFICACIÓN_PDOT!B19,"—")</f>
        <v>—</v>
      </c>
      <c r="C23" s="170" t="str">
        <f>IF(H12_MOTOR_ICPI_CANÓNICO!J19&gt;=95,H12_MOTOR_ICPI_CANÓNICO!J19,"")</f>
        <v/>
      </c>
      <c r="D23" s="169" t="str">
        <f>IF(H12_MOTOR_ICPI_CANÓNICO!J19&gt;=95,H12_MOTOR_ICPI_CANÓNICO!K19,"—")</f>
        <v>—</v>
      </c>
      <c r="E23" s="169" t="str">
        <f>IF(H12_MOTOR_ICPI_CANÓNICO!J19&gt;=95,H01_PARÁMETROS!B10,"—")</f>
        <v>—</v>
      </c>
    </row>
    <row r="24" spans="1:5" x14ac:dyDescent="0.3">
      <c r="A24" s="166" t="str">
        <f>IF(H12_MOTOR_ICPI_CANÓNICO!J20&gt;=95,H12_MOTOR_ICPI_CANÓNICO!A20,"—")</f>
        <v>—</v>
      </c>
      <c r="B24" s="166" t="str">
        <f>IF(H12_MOTOR_ICPI_CANÓNICO!J20&gt;=95,H04_S2_PLANIFICACIÓN_PDOT!B20,"—")</f>
        <v>—</v>
      </c>
      <c r="C24" s="167" t="str">
        <f>IF(H12_MOTOR_ICPI_CANÓNICO!J20&gt;=95,H12_MOTOR_ICPI_CANÓNICO!J20,"")</f>
        <v/>
      </c>
      <c r="D24" s="166" t="str">
        <f>IF(H12_MOTOR_ICPI_CANÓNICO!J20&gt;=95,H12_MOTOR_ICPI_CANÓNICO!K20,"—")</f>
        <v>—</v>
      </c>
      <c r="E24" s="166" t="str">
        <f>IF(H12_MOTOR_ICPI_CANÓNICO!J20&gt;=95,H01_PARÁMETROS!B10,"—")</f>
        <v>—</v>
      </c>
    </row>
    <row r="25" spans="1:5" x14ac:dyDescent="0.3">
      <c r="A25" s="169" t="str">
        <f>IF(H12_MOTOR_ICPI_CANÓNICO!J21&gt;=95,H12_MOTOR_ICPI_CANÓNICO!A21,"—")</f>
        <v>—</v>
      </c>
      <c r="B25" s="169" t="str">
        <f>IF(H12_MOTOR_ICPI_CANÓNICO!J21&gt;=95,H04_S2_PLANIFICACIÓN_PDOT!B21,"—")</f>
        <v>—</v>
      </c>
      <c r="C25" s="170" t="str">
        <f>IF(H12_MOTOR_ICPI_CANÓNICO!J21&gt;=95,H12_MOTOR_ICPI_CANÓNICO!J21,"")</f>
        <v/>
      </c>
      <c r="D25" s="169" t="str">
        <f>IF(H12_MOTOR_ICPI_CANÓNICO!J21&gt;=95,H12_MOTOR_ICPI_CANÓNICO!K21,"—")</f>
        <v>—</v>
      </c>
      <c r="E25" s="169" t="str">
        <f>IF(H12_MOTOR_ICPI_CANÓNICO!J21&gt;=95,H01_PARÁMETROS!B10,"—")</f>
        <v>—</v>
      </c>
    </row>
    <row r="26" spans="1:5" x14ac:dyDescent="0.3">
      <c r="A26" s="166" t="str">
        <f>IF(H12_MOTOR_ICPI_CANÓNICO!J22&gt;=95,H12_MOTOR_ICPI_CANÓNICO!A22,"—")</f>
        <v>—</v>
      </c>
      <c r="B26" s="166" t="str">
        <f>IF(H12_MOTOR_ICPI_CANÓNICO!J22&gt;=95,H04_S2_PLANIFICACIÓN_PDOT!B22,"—")</f>
        <v>—</v>
      </c>
      <c r="C26" s="167" t="str">
        <f>IF(H12_MOTOR_ICPI_CANÓNICO!J22&gt;=95,H12_MOTOR_ICPI_CANÓNICO!J22,"")</f>
        <v/>
      </c>
      <c r="D26" s="166" t="str">
        <f>IF(H12_MOTOR_ICPI_CANÓNICO!J22&gt;=95,H12_MOTOR_ICPI_CANÓNICO!K22,"—")</f>
        <v>—</v>
      </c>
      <c r="E26" s="166" t="str">
        <f>IF(H12_MOTOR_ICPI_CANÓNICO!J22&gt;=95,H01_PARÁMETROS!B10,"—")</f>
        <v>—</v>
      </c>
    </row>
    <row r="27" spans="1:5" x14ac:dyDescent="0.3">
      <c r="A27" s="169" t="str">
        <f>IF(H12_MOTOR_ICPI_CANÓNICO!J23&gt;=95,H12_MOTOR_ICPI_CANÓNICO!A23,"—")</f>
        <v>—</v>
      </c>
      <c r="B27" s="169" t="str">
        <f>IF(H12_MOTOR_ICPI_CANÓNICO!J23&gt;=95,H04_S2_PLANIFICACIÓN_PDOT!B23,"—")</f>
        <v>—</v>
      </c>
      <c r="C27" s="170" t="str">
        <f>IF(H12_MOTOR_ICPI_CANÓNICO!J23&gt;=95,H12_MOTOR_ICPI_CANÓNICO!J23,"")</f>
        <v/>
      </c>
      <c r="D27" s="169" t="str">
        <f>IF(H12_MOTOR_ICPI_CANÓNICO!J23&gt;=95,H12_MOTOR_ICPI_CANÓNICO!K23,"—")</f>
        <v>—</v>
      </c>
      <c r="E27" s="169" t="str">
        <f>IF(H12_MOTOR_ICPI_CANÓNICO!J23&gt;=95,H01_PARÁMETROS!B10,"—")</f>
        <v>—</v>
      </c>
    </row>
    <row r="28" spans="1:5" x14ac:dyDescent="0.3">
      <c r="A28" s="166" t="str">
        <f>IF(H12_MOTOR_ICPI_CANÓNICO!J24&gt;=95,H12_MOTOR_ICPI_CANÓNICO!A24,"—")</f>
        <v>EP-L-N-01</v>
      </c>
      <c r="B28" s="166" t="str">
        <f>IF(H12_MOTOR_ICPI_CANÓNICO!J24&gt;=95,H04_S2_PLANIFICACIÓN_PDOT!B24,"—")</f>
        <v>Vivienda de interés social: 50 VIS/VIP hasta 2027; reducción déficit habitacional cualitativo</v>
      </c>
      <c r="C28" s="167">
        <f>IF(H12_MOTOR_ICPI_CANÓNICO!J24&gt;=95,H12_MOTOR_ICPI_CANÓNICO!J24,"")</f>
        <v>94.999999999999986</v>
      </c>
      <c r="D28" s="166" t="str">
        <f>IF(H12_MOTOR_ICPI_CANÓNICO!J24&gt;=95,H12_MOTOR_ICPI_CANÓNICO!K24,"—")</f>
        <v>🔵 Excelencia</v>
      </c>
      <c r="E28" s="166" t="str">
        <f>IF(H12_MOTOR_ICPI_CANÓNICO!J24&gt;=95,H01_PARÁMETROS!B10,"—")</f>
        <v>2024-2027</v>
      </c>
    </row>
    <row r="29" spans="1:5" x14ac:dyDescent="0.3">
      <c r="A29" s="169" t="str">
        <f>IF(H12_MOTOR_ICPI_CANÓNICO!J25&gt;=95,H12_MOTOR_ICPI_CANÓNICO!A25,"—")</f>
        <v>—</v>
      </c>
      <c r="B29" s="169" t="str">
        <f>IF(H12_MOTOR_ICPI_CANÓNICO!J25&gt;=95,H04_S2_PLANIFICACIÓN_PDOT!B25,"—")</f>
        <v>—</v>
      </c>
      <c r="C29" s="170" t="str">
        <f>IF(H12_MOTOR_ICPI_CANÓNICO!J25&gt;=95,H12_MOTOR_ICPI_CANÓNICO!J25,"")</f>
        <v/>
      </c>
      <c r="D29" s="169" t="str">
        <f>IF(H12_MOTOR_ICPI_CANÓNICO!J25&gt;=95,H12_MOTOR_ICPI_CANÓNICO!K25,"—")</f>
        <v>—</v>
      </c>
      <c r="E29" s="169" t="str">
        <f>IF(H12_MOTOR_ICPI_CANÓNICO!J25&gt;=95,H01_PARÁMETROS!B10,"—")</f>
        <v>—</v>
      </c>
    </row>
    <row r="30" spans="1:5" x14ac:dyDescent="0.3">
      <c r="A30" s="3" t="s">
        <v>984</v>
      </c>
      <c r="B30" s="176">
        <f>COUNTIF(H12_MOTOR_ICPI_CANÓNICO!J6:J25,"&gt;=95")</f>
        <v>2</v>
      </c>
    </row>
    <row r="32" spans="1:5" x14ac:dyDescent="0.3">
      <c r="A32" s="4" t="s">
        <v>985</v>
      </c>
    </row>
    <row r="33" spans="1:2" x14ac:dyDescent="0.3">
      <c r="A33" s="8" t="s">
        <v>986</v>
      </c>
    </row>
    <row r="35" spans="1:2" x14ac:dyDescent="0.3">
      <c r="A35" s="3" t="s">
        <v>987</v>
      </c>
    </row>
    <row r="36" spans="1:2" x14ac:dyDescent="0.3">
      <c r="A36" s="3" t="s">
        <v>988</v>
      </c>
      <c r="B36" s="27" t="s">
        <v>964</v>
      </c>
    </row>
    <row r="37" spans="1:2" x14ac:dyDescent="0.3">
      <c r="A37" s="3" t="s">
        <v>989</v>
      </c>
      <c r="B37" t="s">
        <v>806</v>
      </c>
    </row>
    <row r="38" spans="1:2" x14ac:dyDescent="0.3">
      <c r="A38" s="3" t="s">
        <v>990</v>
      </c>
      <c r="B38" t="str">
        <f ca="1">TEXT(TODAY(),"DD/MM/YYYY")</f>
        <v>05/04/2026</v>
      </c>
    </row>
    <row r="40" spans="1:2" x14ac:dyDescent="0.3">
      <c r="A40" s="3" t="s">
        <v>991</v>
      </c>
    </row>
    <row r="41" spans="1:2" x14ac:dyDescent="0.3">
      <c r="A41" s="3" t="s">
        <v>924</v>
      </c>
    </row>
    <row r="42" spans="1:2" x14ac:dyDescent="0.3">
      <c r="A42" s="3" t="s">
        <v>992</v>
      </c>
    </row>
  </sheetData>
  <hyperlinks>
    <hyperlink ref="B1" location="'H00_ÍNDICE'!A1" display="⬅️ ÍNDICE GENERAL" xr:uid="{7AD58148-A10E-4EEC-B2D8-730EB988455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C90-1672-44DB-A133-010471A0C5ED}">
  <sheetPr>
    <tabColor rgb="FF0891B2"/>
  </sheetPr>
  <dimension ref="A1:V28"/>
  <sheetViews>
    <sheetView zoomScale="49" zoomScaleNormal="49" workbookViewId="0">
      <pane ySplit="2" topLeftCell="A3" activePane="bottomLeft" state="frozen"/>
      <selection pane="bottomLeft" activeCell="A2" sqref="A2"/>
    </sheetView>
  </sheetViews>
  <sheetFormatPr baseColWidth="10" defaultRowHeight="14.4" x14ac:dyDescent="0.3"/>
  <cols>
    <col min="1" max="1" width="55.5546875" customWidth="1"/>
    <col min="2" max="2" width="63" customWidth="1"/>
    <col min="3" max="3" width="13" bestFit="1" customWidth="1"/>
    <col min="4" max="4" width="11.88671875" bestFit="1" customWidth="1"/>
    <col min="6" max="6" width="9.44140625" bestFit="1" customWidth="1"/>
    <col min="7" max="7" width="10.5546875" bestFit="1" customWidth="1"/>
  </cols>
  <sheetData>
    <row r="1" spans="1:22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1163</v>
      </c>
      <c r="E1" s="212" t="str">
        <f ca="1">TEXT(TODAY(),"DD/MM/YYYY")</f>
        <v>05/04/2026</v>
      </c>
    </row>
    <row r="2" spans="1:22" ht="25.05" customHeight="1" x14ac:dyDescent="0.35">
      <c r="A2" s="16" t="s">
        <v>1184</v>
      </c>
    </row>
    <row r="3" spans="1:22" ht="16.05" customHeight="1" x14ac:dyDescent="0.3">
      <c r="A3" s="224" t="s">
        <v>1185</v>
      </c>
    </row>
    <row r="5" spans="1:22" x14ac:dyDescent="0.3">
      <c r="A5" s="186" t="s">
        <v>192</v>
      </c>
      <c r="B5" s="186" t="s">
        <v>381</v>
      </c>
      <c r="C5" s="186" t="s">
        <v>195</v>
      </c>
      <c r="D5" s="186" t="s">
        <v>196</v>
      </c>
      <c r="E5" s="186" t="s">
        <v>149</v>
      </c>
      <c r="F5" s="186" t="s">
        <v>465</v>
      </c>
      <c r="G5" s="186" t="s">
        <v>993</v>
      </c>
      <c r="H5" s="186" t="s">
        <v>197</v>
      </c>
      <c r="I5" s="186" t="s">
        <v>198</v>
      </c>
      <c r="J5" s="186" t="s">
        <v>994</v>
      </c>
      <c r="K5" s="186" t="s">
        <v>271</v>
      </c>
      <c r="L5" s="186" t="s">
        <v>283</v>
      </c>
      <c r="M5" s="186" t="s">
        <v>306</v>
      </c>
      <c r="N5" s="186" t="s">
        <v>358</v>
      </c>
      <c r="O5" s="186" t="s">
        <v>995</v>
      </c>
      <c r="P5" s="186" t="s">
        <v>996</v>
      </c>
      <c r="Q5" s="186" t="s">
        <v>997</v>
      </c>
      <c r="R5" s="186" t="s">
        <v>998</v>
      </c>
      <c r="S5" s="186" t="s">
        <v>999</v>
      </c>
      <c r="T5" s="186" t="s">
        <v>407</v>
      </c>
      <c r="U5" s="186" t="s">
        <v>408</v>
      </c>
      <c r="V5" s="186" t="s">
        <v>284</v>
      </c>
    </row>
    <row r="6" spans="1:22" x14ac:dyDescent="0.3">
      <c r="A6" s="166" t="s">
        <v>1351</v>
      </c>
      <c r="B6" s="166" t="str">
        <f>H04_S2_PLANIFICACIÓN_PDOT!B6</f>
        <v>Agua potable: cobertura 39.25%→42.38%; calidad 100% INEN 1108; infraestructura BUENA 22.74%→41.64%</v>
      </c>
      <c r="C6" s="166" t="str">
        <f>H04_S2_PLANIFICACIÓN_PDOT!I6</f>
        <v>Infraestructura</v>
      </c>
      <c r="D6" s="166" t="str">
        <f>H04_S2_PLANIFICACIÓN_PDOT!J6</f>
        <v>6,3,11</v>
      </c>
      <c r="E6" s="166" t="str">
        <f>H04_S2_PLANIFICACIÓN_PDOT!C6</f>
        <v>Territorial</v>
      </c>
      <c r="F6" s="187">
        <f>H04_S2_PLANIFICACIÓN_PDOT!H6</f>
        <v>0.28912002443494439</v>
      </c>
      <c r="G6" s="187">
        <f>H04_S2_PLANIFICACIÓN_PDOT!E6</f>
        <v>1.5</v>
      </c>
      <c r="H6" s="187">
        <f>H04_S2_PLANIFICACIÓN_PDOT!K6</f>
        <v>1</v>
      </c>
      <c r="I6" s="187">
        <f>H04_S2_PLANIFICACIÓN_PDOT!L6</f>
        <v>0.86956521739130443</v>
      </c>
      <c r="J6" s="187">
        <f>H07_S5_FINANCIERO_eSIGEF!G7</f>
        <v>0.95</v>
      </c>
      <c r="K6" s="166">
        <f>H06_S4_CONTRATACIÓN_SERCOP!H7</f>
        <v>1</v>
      </c>
      <c r="L6" s="166">
        <f>H07_S5_FINANCIERO_eSIGEF!H7</f>
        <v>1</v>
      </c>
      <c r="M6" s="166">
        <f>H09_S7_TRANSPARENCIA_LOTAIP!H7</f>
        <v>0.5</v>
      </c>
      <c r="N6" s="166">
        <f>H10_S8_PARTICIPACIÓN_CPCCS!G7</f>
        <v>1</v>
      </c>
      <c r="O6" s="166">
        <f>H12_MOTOR_ICPI_CANÓNICO!D6</f>
        <v>1</v>
      </c>
      <c r="P6" s="166">
        <f>H12_MOTOR_ICPI_CANÓNICO!E6</f>
        <v>1</v>
      </c>
      <c r="Q6" s="166">
        <f>H12_MOTOR_ICPI_CANÓNICO!G6</f>
        <v>1</v>
      </c>
      <c r="R6" s="187">
        <f>H12_MOTOR_ICPI_CANÓNICO!H6</f>
        <v>0.23883828105495405</v>
      </c>
      <c r="S6" s="187">
        <f>H12_MOTOR_ICPI_CANÓNICO!I6</f>
        <v>0.25140871689995165</v>
      </c>
      <c r="T6" s="187">
        <f>H12_MOTOR_ICPI_CANÓNICO!J6</f>
        <v>95</v>
      </c>
      <c r="U6" s="166" t="str">
        <f>H12_MOTOR_ICPI_CANÓNICO!K6</f>
        <v>🔵 Excelencia</v>
      </c>
      <c r="V6" s="166" t="str">
        <f>H07_S5_FINANCIERO_eSIGEF!I7</f>
        <v>✅ OK</v>
      </c>
    </row>
    <row r="7" spans="1:22" x14ac:dyDescent="0.3">
      <c r="A7" s="169" t="s">
        <v>1352</v>
      </c>
      <c r="B7" s="169" t="str">
        <f>H04_S2_PLANIFICACIÓN_PDOT!B7</f>
        <v>Gestión del talento humano municipal: desempeño 80%→90%; plan capacitación 90% anual</v>
      </c>
      <c r="C7" s="169" t="str">
        <f>H04_S2_PLANIFICACIÓN_PDOT!I7</f>
        <v>Gobernanza</v>
      </c>
      <c r="D7" s="169">
        <f>H04_S2_PLANIFICACIÓN_PDOT!J7</f>
        <v>16</v>
      </c>
      <c r="E7" s="169" t="str">
        <f>H04_S2_PLANIFICACIÓN_PDOT!C7</f>
        <v>Institucional</v>
      </c>
      <c r="F7" s="188">
        <f>H04_S2_PLANIFICACIÓN_PDOT!H7</f>
        <v>0.32531485287798495</v>
      </c>
      <c r="G7" s="188">
        <f>H04_S2_PLANIFICACIÓN_PDOT!E7</f>
        <v>1</v>
      </c>
      <c r="H7" s="188">
        <f>H04_S2_PLANIFICACIÓN_PDOT!K7</f>
        <v>1</v>
      </c>
      <c r="I7" s="188">
        <f>H04_S2_PLANIFICACIÓN_PDOT!L7</f>
        <v>0.57971014492753625</v>
      </c>
      <c r="J7" s="188">
        <f>H07_S5_FINANCIERO_eSIGEF!G8</f>
        <v>0.85</v>
      </c>
      <c r="K7" s="169">
        <f>H06_S4_CONTRATACIÓN_SERCOP!H8</f>
        <v>1</v>
      </c>
      <c r="L7" s="169">
        <f>H07_S5_FINANCIERO_eSIGEF!H8</f>
        <v>1</v>
      </c>
      <c r="M7" s="169">
        <f>H09_S7_TRANSPARENCIA_LOTAIP!H8</f>
        <v>0.5</v>
      </c>
      <c r="N7" s="169">
        <f>H10_S8_PARTICIPACIÓN_CPCCS!G8</f>
        <v>0.5</v>
      </c>
      <c r="O7" s="169">
        <f>H12_MOTOR_ICPI_CANÓNICO!D7</f>
        <v>1</v>
      </c>
      <c r="P7" s="169">
        <f>H12_MOTOR_ICPI_CANÓNICO!E7</f>
        <v>1</v>
      </c>
      <c r="Q7" s="169">
        <f>H12_MOTOR_ICPI_CANÓNICO!G7</f>
        <v>1</v>
      </c>
      <c r="R7" s="188">
        <f>H12_MOTOR_ICPI_CANÓNICO!H7</f>
        <v>0.16030007243263025</v>
      </c>
      <c r="S7" s="188">
        <f>H12_MOTOR_ICPI_CANÓNICO!I7</f>
        <v>0.18858832050897678</v>
      </c>
      <c r="T7" s="188">
        <f>H12_MOTOR_ICPI_CANÓNICO!J7</f>
        <v>85</v>
      </c>
      <c r="U7" s="169" t="str">
        <f>H12_MOTOR_ICPI_CANÓNICO!K7</f>
        <v>🟢 Por Mandato</v>
      </c>
      <c r="V7" s="169" t="str">
        <f>H07_S5_FINANCIERO_eSIGEF!I8</f>
        <v>✅ OK</v>
      </c>
    </row>
    <row r="8" spans="1:22" x14ac:dyDescent="0.3">
      <c r="A8" s="166" t="s">
        <v>1353</v>
      </c>
      <c r="B8" s="166" t="str">
        <f>H04_S2_PLANIFICACIÓN_PDOT!B8</f>
        <v>Sostenibilidad financiera: autonomía 43.35%→45.30%; gestión cobros y coactivas</v>
      </c>
      <c r="C8" s="166" t="str">
        <f>H04_S2_PLANIFICACIÓN_PDOT!I8</f>
        <v>Gobernanza</v>
      </c>
      <c r="D8" s="166" t="str">
        <f>H04_S2_PLANIFICACIÓN_PDOT!J8</f>
        <v>16,17</v>
      </c>
      <c r="E8" s="166" t="str">
        <f>H04_S2_PLANIFICACIÓN_PDOT!C8</f>
        <v>Institucional</v>
      </c>
      <c r="F8" s="187">
        <f>H04_S2_PLANIFICACIÓN_PDOT!H8</f>
        <v>0.12454728141026002</v>
      </c>
      <c r="G8" s="187">
        <f>H04_S2_PLANIFICACIÓN_PDOT!E8</f>
        <v>1</v>
      </c>
      <c r="H8" s="187">
        <f>H04_S2_PLANIFICACIÓN_PDOT!K8</f>
        <v>1</v>
      </c>
      <c r="I8" s="187">
        <f>H04_S2_PLANIFICACIÓN_PDOT!L8</f>
        <v>0.57971014492753625</v>
      </c>
      <c r="J8" s="187">
        <f>H07_S5_FINANCIERO_eSIGEF!G9</f>
        <v>0.72</v>
      </c>
      <c r="K8" s="166">
        <f>H06_S4_CONTRATACIÓN_SERCOP!H9</f>
        <v>1</v>
      </c>
      <c r="L8" s="166">
        <f>H07_S5_FINANCIERO_eSIGEF!H9</f>
        <v>1</v>
      </c>
      <c r="M8" s="166">
        <f>H09_S7_TRANSPARENCIA_LOTAIP!H9</f>
        <v>1</v>
      </c>
      <c r="N8" s="166">
        <f>H10_S8_PARTICIPACIÓN_CPCCS!G9</f>
        <v>1</v>
      </c>
      <c r="O8" s="166">
        <f>H12_MOTOR_ICPI_CANÓNICO!D8</f>
        <v>1</v>
      </c>
      <c r="P8" s="166">
        <f>H12_MOTOR_ICPI_CANÓNICO!E8</f>
        <v>0.9</v>
      </c>
      <c r="Q8" s="166">
        <f>H12_MOTOR_ICPI_CANÓNICO!G8</f>
        <v>0.9</v>
      </c>
      <c r="R8" s="187">
        <f>H12_MOTOR_ICPI_CANÓNICO!H8</f>
        <v>4.210781131505139E-2</v>
      </c>
      <c r="S8" s="187">
        <f>H12_MOTOR_ICPI_CANÓNICO!I8</f>
        <v>7.220132255667247E-2</v>
      </c>
      <c r="T8" s="187">
        <f>H12_MOTOR_ICPI_CANÓNICO!J8</f>
        <v>58.320000000000007</v>
      </c>
      <c r="U8" s="166" t="str">
        <f>H12_MOTOR_ICPI_CANÓNICO!K8</f>
        <v>🟡 Transición</v>
      </c>
      <c r="V8" s="166" t="str">
        <f>H07_S5_FINANCIERO_eSIGEF!I9</f>
        <v>✅ OK</v>
      </c>
    </row>
    <row r="9" spans="1:22" x14ac:dyDescent="0.3">
      <c r="A9" s="169" t="s">
        <v>1354</v>
      </c>
      <c r="B9" s="169" t="str">
        <f>H04_S2_PLANIFICACIÓN_PDOT!B9</f>
        <v>Vialidad cantonal: mantenimiento 43.8 km vías CUP + 57.22 km rurales; 23.77 km tratamiento medio</v>
      </c>
      <c r="C9" s="169" t="str">
        <f>H04_S2_PLANIFICACIÓN_PDOT!I9</f>
        <v>Infraestructura</v>
      </c>
      <c r="D9" s="169" t="str">
        <f>H04_S2_PLANIFICACIÓN_PDOT!J9</f>
        <v>9,11</v>
      </c>
      <c r="E9" s="169" t="str">
        <f>H04_S2_PLANIFICACIÓN_PDOT!C9</f>
        <v>Territorial</v>
      </c>
      <c r="F9" s="188">
        <f>H04_S2_PLANIFICACIÓN_PDOT!H9</f>
        <v>6.7296692948828146E-2</v>
      </c>
      <c r="G9" s="188">
        <f>H04_S2_PLANIFICACIÓN_PDOT!E9</f>
        <v>1.5</v>
      </c>
      <c r="H9" s="188">
        <f>H04_S2_PLANIFICACIÓN_PDOT!K9</f>
        <v>1</v>
      </c>
      <c r="I9" s="188">
        <f>H04_S2_PLANIFICACIÓN_PDOT!L9</f>
        <v>0.86956521739130443</v>
      </c>
      <c r="J9" s="188">
        <f>H07_S5_FINANCIERO_eSIGEF!G10</f>
        <v>0</v>
      </c>
      <c r="K9" s="169">
        <f>H06_S4_CONTRATACIÓN_SERCOP!H10</f>
        <v>0</v>
      </c>
      <c r="L9" s="169">
        <f>H07_S5_FINANCIERO_eSIGEF!H10</f>
        <v>0</v>
      </c>
      <c r="M9" s="169">
        <f>H09_S7_TRANSPARENCIA_LOTAIP!H10</f>
        <v>0</v>
      </c>
      <c r="N9" s="169">
        <f>H10_S8_PARTICIPACIÓN_CPCCS!G10</f>
        <v>0.5</v>
      </c>
      <c r="O9" s="169">
        <f>H12_MOTOR_ICPI_CANÓNICO!D9</f>
        <v>0</v>
      </c>
      <c r="P9" s="169">
        <f>H12_MOTOR_ICPI_CANÓNICO!E9</f>
        <v>1</v>
      </c>
      <c r="Q9" s="169">
        <f>H12_MOTOR_ICPI_CANÓNICO!G9</f>
        <v>1</v>
      </c>
      <c r="R9" s="188">
        <f>H12_MOTOR_ICPI_CANÓNICO!H9</f>
        <v>0</v>
      </c>
      <c r="S9" s="188">
        <f>H12_MOTOR_ICPI_CANÓNICO!I9</f>
        <v>5.8518863433763613E-2</v>
      </c>
      <c r="T9" s="188">
        <f>H12_MOTOR_ICPI_CANÓNICO!J9</f>
        <v>0</v>
      </c>
      <c r="U9" s="169" t="str">
        <f>H12_MOTOR_ICPI_CANÓNICO!K9</f>
        <v>🔴 Ruptura</v>
      </c>
      <c r="V9" s="169" t="str">
        <f>H07_S5_FINANCIERO_eSIGEF!I10</f>
        <v>✅ OK</v>
      </c>
    </row>
    <row r="10" spans="1:22" x14ac:dyDescent="0.3">
      <c r="A10" s="166" t="s">
        <v>1355</v>
      </c>
      <c r="B10" s="166" t="str">
        <f>H04_S2_PLANIFICACIÓN_PDOT!B10</f>
        <v>Salud integral municipal: población atendida 57,401→84,041 personas (+10% anual)</v>
      </c>
      <c r="C10" s="166" t="str">
        <f>H04_S2_PLANIFICACIÓN_PDOT!I10</f>
        <v>Inclusion</v>
      </c>
      <c r="D10" s="166" t="str">
        <f>H04_S2_PLANIFICACIÓN_PDOT!J10</f>
        <v>3,1,10</v>
      </c>
      <c r="E10" s="166" t="str">
        <f>H04_S2_PLANIFICACIÓN_PDOT!C10</f>
        <v>Social</v>
      </c>
      <c r="F10" s="187">
        <f>H04_S2_PLANIFICACIÓN_PDOT!H10</f>
        <v>3.626041303300917E-2</v>
      </c>
      <c r="G10" s="187">
        <f>H04_S2_PLANIFICACIÓN_PDOT!E10</f>
        <v>0.5</v>
      </c>
      <c r="H10" s="187">
        <f>H04_S2_PLANIFICACIÓN_PDOT!K10</f>
        <v>1</v>
      </c>
      <c r="I10" s="187">
        <f>H04_S2_PLANIFICACIÓN_PDOT!L10</f>
        <v>0.28985507246376813</v>
      </c>
      <c r="J10" s="187">
        <f>H07_S5_FINANCIERO_eSIGEF!G11</f>
        <v>0.72</v>
      </c>
      <c r="K10" s="166">
        <f>H06_S4_CONTRATACIÓN_SERCOP!H11</f>
        <v>1</v>
      </c>
      <c r="L10" s="166">
        <f>H07_S5_FINANCIERO_eSIGEF!H11</f>
        <v>1</v>
      </c>
      <c r="M10" s="166">
        <f>H09_S7_TRANSPARENCIA_LOTAIP!H11</f>
        <v>1</v>
      </c>
      <c r="N10" s="166">
        <f>H10_S8_PARTICIPACIÓN_CPCCS!G11</f>
        <v>1</v>
      </c>
      <c r="O10" s="166">
        <f>H12_MOTOR_ICPI_CANÓNICO!D10</f>
        <v>1</v>
      </c>
      <c r="P10" s="166">
        <f>H12_MOTOR_ICPI_CANÓNICO!E10</f>
        <v>0.9</v>
      </c>
      <c r="Q10" s="166">
        <f>H12_MOTOR_ICPI_CANÓNICO!G10</f>
        <v>0.9</v>
      </c>
      <c r="R10" s="187">
        <f>H12_MOTOR_ICPI_CANÓNICO!H10</f>
        <v>6.1295863422756378E-3</v>
      </c>
      <c r="S10" s="187">
        <f>H12_MOTOR_ICPI_CANÓNICO!I10</f>
        <v>1.0510264647249036E-2</v>
      </c>
      <c r="T10" s="187">
        <f>H12_MOTOR_ICPI_CANÓNICO!J10</f>
        <v>58.320000000000007</v>
      </c>
      <c r="U10" s="166" t="str">
        <f>H12_MOTOR_ICPI_CANÓNICO!K10</f>
        <v>🟡 Transición</v>
      </c>
      <c r="V10" s="166" t="str">
        <f>H07_S5_FINANCIERO_eSIGEF!I11</f>
        <v>✅ OK</v>
      </c>
    </row>
    <row r="11" spans="1:22" x14ac:dyDescent="0.3">
      <c r="A11" s="169" t="s">
        <v>1356</v>
      </c>
      <c r="B11" s="169" t="str">
        <f>H04_S2_PLANIFICACIÓN_PDOT!B11</f>
        <v>Gestión integral desechos sólidos: 20,118→23,086 Tn/año; relleno sanitario; capacidad disposición 0%→20%</v>
      </c>
      <c r="C11" s="169" t="str">
        <f>H04_S2_PLANIFICACIÓN_PDOT!I11</f>
        <v>Infraestructura</v>
      </c>
      <c r="D11" s="169" t="str">
        <f>H04_S2_PLANIFICACIÓN_PDOT!J11</f>
        <v>11,13,3</v>
      </c>
      <c r="E11" s="169" t="str">
        <f>H04_S2_PLANIFICACIÓN_PDOT!C11</f>
        <v>Ambiental</v>
      </c>
      <c r="F11" s="188">
        <f>H04_S2_PLANIFICACIÓN_PDOT!H11</f>
        <v>3.5447386020146597E-2</v>
      </c>
      <c r="G11" s="188">
        <f>H04_S2_PLANIFICACIÓN_PDOT!E11</f>
        <v>1.5</v>
      </c>
      <c r="H11" s="188">
        <f>H04_S2_PLANIFICACIÓN_PDOT!K11</f>
        <v>1.1499999999999999</v>
      </c>
      <c r="I11" s="188">
        <f>H04_S2_PLANIFICACIÓN_PDOT!L11</f>
        <v>1</v>
      </c>
      <c r="J11" s="188">
        <f>H07_S5_FINANCIERO_eSIGEF!G12</f>
        <v>0.8</v>
      </c>
      <c r="K11" s="169">
        <f>H06_S4_CONTRATACIÓN_SERCOP!H12</f>
        <v>0.5</v>
      </c>
      <c r="L11" s="169">
        <f>H07_S5_FINANCIERO_eSIGEF!H12</f>
        <v>1</v>
      </c>
      <c r="M11" s="169">
        <f>H09_S7_TRANSPARENCIA_LOTAIP!H12</f>
        <v>0</v>
      </c>
      <c r="N11" s="169">
        <f>H10_S8_PARTICIPACIÓN_CPCCS!G12</f>
        <v>1</v>
      </c>
      <c r="O11" s="169">
        <f>H12_MOTOR_ICPI_CANÓNICO!D11</f>
        <v>0.5</v>
      </c>
      <c r="P11" s="169">
        <f>H12_MOTOR_ICPI_CANÓNICO!E11</f>
        <v>0.75</v>
      </c>
      <c r="Q11" s="169">
        <f>H12_MOTOR_ICPI_CANÓNICO!G11</f>
        <v>0.75</v>
      </c>
      <c r="R11" s="188">
        <f>H12_MOTOR_ICPI_CANÓNICO!H11</f>
        <v>7.9756618545329845E-3</v>
      </c>
      <c r="S11" s="188">
        <f>H12_MOTOR_ICPI_CANÓNICO!I11</f>
        <v>3.5447386020146597E-2</v>
      </c>
      <c r="T11" s="188">
        <f>H12_MOTOR_ICPI_CANÓNICO!J11</f>
        <v>22.5</v>
      </c>
      <c r="U11" s="169" t="str">
        <f>H12_MOTOR_ICPI_CANÓNICO!K11</f>
        <v>🟠 Por Ocurrencia</v>
      </c>
      <c r="V11" s="169" t="str">
        <f>H07_S5_FINANCIERO_eSIGEF!I12</f>
        <v>✅ OK</v>
      </c>
    </row>
    <row r="12" spans="1:22" x14ac:dyDescent="0.3">
      <c r="A12" s="166" t="s">
        <v>1357</v>
      </c>
      <c r="B12" s="166" t="str">
        <f>H04_S2_PLANIFICACIÓN_PDOT!B12</f>
        <v>Alcantarillado sanitario: cobertura 19.77%→24.32%; PTAR 0%→75%; estaciones bombeo 36%→72%</v>
      </c>
      <c r="C12" s="166" t="str">
        <f>H04_S2_PLANIFICACIÓN_PDOT!I12</f>
        <v>Infraestructura</v>
      </c>
      <c r="D12" s="166" t="str">
        <f>H04_S2_PLANIFICACIÓN_PDOT!J12</f>
        <v>6,3,11</v>
      </c>
      <c r="E12" s="166" t="str">
        <f>H04_S2_PLANIFICACIÓN_PDOT!C12</f>
        <v>Territorial</v>
      </c>
      <c r="F12" s="187">
        <f>H04_S2_PLANIFICACIÓN_PDOT!H12</f>
        <v>7.8273728775865112E-3</v>
      </c>
      <c r="G12" s="187">
        <f>H04_S2_PLANIFICACIÓN_PDOT!E12</f>
        <v>1.5</v>
      </c>
      <c r="H12" s="187">
        <f>H04_S2_PLANIFICACIÓN_PDOT!K12</f>
        <v>1</v>
      </c>
      <c r="I12" s="187">
        <f>H04_S2_PLANIFICACIÓN_PDOT!L12</f>
        <v>0.86956521739130443</v>
      </c>
      <c r="J12" s="187">
        <f>H07_S5_FINANCIERO_eSIGEF!G13</f>
        <v>0.85</v>
      </c>
      <c r="K12" s="166">
        <f>H06_S4_CONTRATACIÓN_SERCOP!H13</f>
        <v>0.5</v>
      </c>
      <c r="L12" s="166">
        <f>H07_S5_FINANCIERO_eSIGEF!H13</f>
        <v>1</v>
      </c>
      <c r="M12" s="166">
        <f>H09_S7_TRANSPARENCIA_LOTAIP!H13</f>
        <v>0.5</v>
      </c>
      <c r="N12" s="166">
        <f>H10_S8_PARTICIPACIÓN_CPCCS!G13</f>
        <v>1</v>
      </c>
      <c r="O12" s="166">
        <f>H12_MOTOR_ICPI_CANÓNICO!D12</f>
        <v>1</v>
      </c>
      <c r="P12" s="166">
        <f>H12_MOTOR_ICPI_CANÓNICO!E12</f>
        <v>0.75</v>
      </c>
      <c r="Q12" s="166">
        <f>H12_MOTOR_ICPI_CANÓNICO!G12</f>
        <v>0.75</v>
      </c>
      <c r="R12" s="187">
        <f>H12_MOTOR_ICPI_CANÓNICO!H12</f>
        <v>3.2543153539965662E-3</v>
      </c>
      <c r="S12" s="187">
        <f>H12_MOTOR_ICPI_CANÓNICO!I12</f>
        <v>6.8064111979013152E-3</v>
      </c>
      <c r="T12" s="187">
        <f>H12_MOTOR_ICPI_CANÓNICO!J12</f>
        <v>47.8125</v>
      </c>
      <c r="U12" s="166" t="str">
        <f>H12_MOTOR_ICPI_CANÓNICO!K12</f>
        <v>🟡 Transición</v>
      </c>
      <c r="V12" s="166" t="str">
        <f>H07_S5_FINANCIERO_eSIGEF!I13</f>
        <v>✅ OK</v>
      </c>
    </row>
    <row r="13" spans="1:22" x14ac:dyDescent="0.3">
      <c r="A13" s="169" t="s">
        <v>1358</v>
      </c>
      <c r="B13" s="169" t="str">
        <f>H04_S2_PLANIFICACIÓN_PDOT!B13</f>
        <v>Modernización recursos administrativos: parque automotor, tecnología e infraestructura municipal</v>
      </c>
      <c r="C13" s="169" t="str">
        <f>H04_S2_PLANIFICACIÓN_PDOT!I13</f>
        <v>Gobernanza</v>
      </c>
      <c r="D13" s="169">
        <f>H04_S2_PLANIFICACIÓN_PDOT!J13</f>
        <v>16</v>
      </c>
      <c r="E13" s="169" t="str">
        <f>H04_S2_PLANIFICACIÓN_PDOT!C13</f>
        <v>Institucional</v>
      </c>
      <c r="F13" s="188">
        <f>H04_S2_PLANIFICACIÓN_PDOT!H13</f>
        <v>2.3207452342439927E-2</v>
      </c>
      <c r="G13" s="188">
        <f>H04_S2_PLANIFICACIÓN_PDOT!E13</f>
        <v>1</v>
      </c>
      <c r="H13" s="188">
        <f>H04_S2_PLANIFICACIÓN_PDOT!K13</f>
        <v>1</v>
      </c>
      <c r="I13" s="188">
        <f>H04_S2_PLANIFICACIÓN_PDOT!L13</f>
        <v>0.57971014492753625</v>
      </c>
      <c r="J13" s="188">
        <f>H07_S5_FINANCIERO_eSIGEF!G14</f>
        <v>0.72</v>
      </c>
      <c r="K13" s="169">
        <f>H06_S4_CONTRATACIÓN_SERCOP!H14</f>
        <v>1</v>
      </c>
      <c r="L13" s="169">
        <f>H07_S5_FINANCIERO_eSIGEF!H14</f>
        <v>1</v>
      </c>
      <c r="M13" s="169">
        <f>H09_S7_TRANSPARENCIA_LOTAIP!H14</f>
        <v>1</v>
      </c>
      <c r="N13" s="169">
        <f>H10_S8_PARTICIPACIÓN_CPCCS!G14</f>
        <v>0.5</v>
      </c>
      <c r="O13" s="169">
        <f>H12_MOTOR_ICPI_CANÓNICO!D13</f>
        <v>1</v>
      </c>
      <c r="P13" s="169">
        <f>H12_MOTOR_ICPI_CANÓNICO!E13</f>
        <v>0.75</v>
      </c>
      <c r="Q13" s="169">
        <f>H12_MOTOR_ICPI_CANÓNICO!G13</f>
        <v>0.75</v>
      </c>
      <c r="R13" s="188">
        <f>H12_MOTOR_ICPI_CANÓNICO!H13</f>
        <v>5.4487062021380695E-3</v>
      </c>
      <c r="S13" s="188">
        <f>H12_MOTOR_ICPI_CANÓNICO!I13</f>
        <v>1.345359556083474E-2</v>
      </c>
      <c r="T13" s="188">
        <f>H12_MOTOR_ICPI_CANÓNICO!J13</f>
        <v>40.5</v>
      </c>
      <c r="U13" s="169" t="str">
        <f>H12_MOTOR_ICPI_CANÓNICO!K13</f>
        <v>🟡 Transición</v>
      </c>
      <c r="V13" s="169" t="str">
        <f>H07_S5_FINANCIERO_eSIGEF!I14</f>
        <v>✅ OK</v>
      </c>
    </row>
    <row r="14" spans="1:22" x14ac:dyDescent="0.3">
      <c r="A14" s="166" t="s">
        <v>1359</v>
      </c>
      <c r="B14" s="166" t="str">
        <f>H04_S2_PLANIFICACIÓN_PDOT!B14</f>
        <v>Equipamientos públicos: terminal terrestre, mercado, estación bomberil, centro salud tipo C, mantenimiento espacios recreativos</v>
      </c>
      <c r="C14" s="166" t="str">
        <f>H04_S2_PLANIFICACIÓN_PDOT!I14</f>
        <v>Infraestructura</v>
      </c>
      <c r="D14" s="166" t="str">
        <f>H04_S2_PLANIFICACIÓN_PDOT!J14</f>
        <v>11,3,4</v>
      </c>
      <c r="E14" s="166" t="str">
        <f>H04_S2_PLANIFICACIÓN_PDOT!C14</f>
        <v>Territorial</v>
      </c>
      <c r="F14" s="187">
        <f>H04_S2_PLANIFICACIÓN_PDOT!H14</f>
        <v>1.5955769160784519E-2</v>
      </c>
      <c r="G14" s="187">
        <f>H04_S2_PLANIFICACIÓN_PDOT!E14</f>
        <v>1</v>
      </c>
      <c r="H14" s="187">
        <f>H04_S2_PLANIFICACIÓN_PDOT!K14</f>
        <v>1</v>
      </c>
      <c r="I14" s="187">
        <f>H04_S2_PLANIFICACIÓN_PDOT!L14</f>
        <v>0.57971014492753625</v>
      </c>
      <c r="J14" s="187">
        <f>H07_S5_FINANCIERO_eSIGEF!G15</f>
        <v>0.85</v>
      </c>
      <c r="K14" s="166">
        <f>H06_S4_CONTRATACIÓN_SERCOP!H15</f>
        <v>1</v>
      </c>
      <c r="L14" s="166">
        <f>H07_S5_FINANCIERO_eSIGEF!H15</f>
        <v>1</v>
      </c>
      <c r="M14" s="166">
        <f>H09_S7_TRANSPARENCIA_LOTAIP!H15</f>
        <v>1</v>
      </c>
      <c r="N14" s="166">
        <f>H10_S8_PARTICIPACIÓN_CPCCS!G15</f>
        <v>1</v>
      </c>
      <c r="O14" s="166">
        <f>H12_MOTOR_ICPI_CANÓNICO!D14</f>
        <v>1</v>
      </c>
      <c r="P14" s="166">
        <f>H12_MOTOR_ICPI_CANÓNICO!E14</f>
        <v>1</v>
      </c>
      <c r="Q14" s="166">
        <f>H12_MOTOR_ICPI_CANÓNICO!G14</f>
        <v>1</v>
      </c>
      <c r="R14" s="187">
        <f>H12_MOTOR_ICPI_CANÓNICO!H14</f>
        <v>7.8622630647344014E-3</v>
      </c>
      <c r="S14" s="187">
        <f>H12_MOTOR_ICPI_CANÓNICO!I14</f>
        <v>9.2497212526287068E-3</v>
      </c>
      <c r="T14" s="187">
        <f>H12_MOTOR_ICPI_CANÓNICO!J14</f>
        <v>85.000000000000014</v>
      </c>
      <c r="U14" s="166" t="str">
        <f>H12_MOTOR_ICPI_CANÓNICO!K14</f>
        <v>🟢 Por Mandato</v>
      </c>
      <c r="V14" s="166" t="str">
        <f>H07_S5_FINANCIERO_eSIGEF!I15</f>
        <v>✅ OK</v>
      </c>
    </row>
    <row r="15" spans="1:22" x14ac:dyDescent="0.3">
      <c r="A15" s="169" t="s">
        <v>1360</v>
      </c>
      <c r="B15" s="169" t="str">
        <f>H04_S2_PLANIFICACIÓN_PDOT!B15</f>
        <v>Protección derechos sociales: atenciones grupos prioritarios 943→1,649 (+15%/año); CDI; adultos mayores; violencia de género</v>
      </c>
      <c r="C15" s="169" t="str">
        <f>H04_S2_PLANIFICACIÓN_PDOT!I15</f>
        <v>Inclusion</v>
      </c>
      <c r="D15" s="169" t="str">
        <f>H04_S2_PLANIFICACIÓN_PDOT!J15</f>
        <v>1,3,5,10</v>
      </c>
      <c r="E15" s="169" t="str">
        <f>H04_S2_PLANIFICACIÓN_PDOT!C15</f>
        <v>Social</v>
      </c>
      <c r="F15" s="188">
        <f>H04_S2_PLANIFICACIÓN_PDOT!H15</f>
        <v>1.08181781153198E-2</v>
      </c>
      <c r="G15" s="188">
        <f>H04_S2_PLANIFICACIÓN_PDOT!E15</f>
        <v>0.5</v>
      </c>
      <c r="H15" s="188">
        <f>H04_S2_PLANIFICACIÓN_PDOT!K15</f>
        <v>1.1499999999999999</v>
      </c>
      <c r="I15" s="188">
        <f>H04_S2_PLANIFICACIÓN_PDOT!L15</f>
        <v>0.33333333333333331</v>
      </c>
      <c r="J15" s="188">
        <f>H07_S5_FINANCIERO_eSIGEF!G16</f>
        <v>0.72</v>
      </c>
      <c r="K15" s="169">
        <f>H06_S4_CONTRATACIÓN_SERCOP!H16</f>
        <v>1</v>
      </c>
      <c r="L15" s="169">
        <f>H07_S5_FINANCIERO_eSIGEF!H16</f>
        <v>1</v>
      </c>
      <c r="M15" s="169">
        <f>H09_S7_TRANSPARENCIA_LOTAIP!H16</f>
        <v>1</v>
      </c>
      <c r="N15" s="169">
        <f>H10_S8_PARTICIPACIÓN_CPCCS!G16</f>
        <v>1</v>
      </c>
      <c r="O15" s="169">
        <f>H12_MOTOR_ICPI_CANÓNICO!D15</f>
        <v>1</v>
      </c>
      <c r="P15" s="169">
        <f>H12_MOTOR_ICPI_CANÓNICO!E15</f>
        <v>1</v>
      </c>
      <c r="Q15" s="169">
        <f>H12_MOTOR_ICPI_CANÓNICO!G15</f>
        <v>1</v>
      </c>
      <c r="R15" s="188">
        <f>H12_MOTOR_ICPI_CANÓNICO!H15</f>
        <v>2.5963627476767517E-3</v>
      </c>
      <c r="S15" s="188">
        <f>H12_MOTOR_ICPI_CANÓNICO!I15</f>
        <v>3.6060593717732667E-3</v>
      </c>
      <c r="T15" s="188">
        <f>H12_MOTOR_ICPI_CANÓNICO!J15</f>
        <v>72</v>
      </c>
      <c r="U15" s="169" t="str">
        <f>H12_MOTOR_ICPI_CANÓNICO!K15</f>
        <v>🟢 Por Mandato</v>
      </c>
      <c r="V15" s="169" t="str">
        <f>H07_S5_FINANCIERO_eSIGEF!I16</f>
        <v>✅ OK</v>
      </c>
    </row>
    <row r="16" spans="1:22" x14ac:dyDescent="0.3">
      <c r="A16" s="166" t="s">
        <v>1361</v>
      </c>
      <c r="B16" s="166" t="str">
        <f>H04_S2_PLANIFICACIÓN_PDOT!B16</f>
        <v>Sistema información territorial: catastro urbano-rural 19.52%→80%; 12 procesos sistematizados; 37 trámites en línea</v>
      </c>
      <c r="C16" s="166" t="str">
        <f>H04_S2_PLANIFICACIÓN_PDOT!I16</f>
        <v>Gobernanza</v>
      </c>
      <c r="D16" s="166" t="str">
        <f>H04_S2_PLANIFICACIÓN_PDOT!J16</f>
        <v>11,16</v>
      </c>
      <c r="E16" s="166" t="str">
        <f>H04_S2_PLANIFICACIÓN_PDOT!C16</f>
        <v>Institucional</v>
      </c>
      <c r="F16" s="187">
        <f>H04_S2_PLANIFICACIÓN_PDOT!H16</f>
        <v>1.1215753872178297E-2</v>
      </c>
      <c r="G16" s="187">
        <f>H04_S2_PLANIFICACIÓN_PDOT!E16</f>
        <v>1</v>
      </c>
      <c r="H16" s="187">
        <f>H04_S2_PLANIFICACIÓN_PDOT!K16</f>
        <v>1</v>
      </c>
      <c r="I16" s="187">
        <f>H04_S2_PLANIFICACIÓN_PDOT!L16</f>
        <v>0.57971014492753625</v>
      </c>
      <c r="J16" s="187">
        <f>H07_S5_FINANCIERO_eSIGEF!G17</f>
        <v>0.72</v>
      </c>
      <c r="K16" s="166">
        <f>H06_S4_CONTRATACIÓN_SERCOP!H17</f>
        <v>1</v>
      </c>
      <c r="L16" s="166">
        <f>H07_S5_FINANCIERO_eSIGEF!H17</f>
        <v>1</v>
      </c>
      <c r="M16" s="166">
        <f>H09_S7_TRANSPARENCIA_LOTAIP!H17</f>
        <v>1</v>
      </c>
      <c r="N16" s="166">
        <f>H10_S8_PARTICIPACIÓN_CPCCS!G17</f>
        <v>0.5</v>
      </c>
      <c r="O16" s="166">
        <f>H12_MOTOR_ICPI_CANÓNICO!D16</f>
        <v>1</v>
      </c>
      <c r="P16" s="166">
        <f>H12_MOTOR_ICPI_CANÓNICO!E16</f>
        <v>1</v>
      </c>
      <c r="Q16" s="166">
        <f>H12_MOTOR_ICPI_CANÓNICO!G16</f>
        <v>1</v>
      </c>
      <c r="R16" s="187">
        <f>H12_MOTOR_ICPI_CANÓNICO!H16</f>
        <v>4.6813581379526806E-3</v>
      </c>
      <c r="S16" s="187">
        <f>H12_MOTOR_ICPI_CANÓNICO!I16</f>
        <v>6.5018863027120561E-3</v>
      </c>
      <c r="T16" s="187">
        <f>H12_MOTOR_ICPI_CANÓNICO!J16</f>
        <v>72.000000000000014</v>
      </c>
      <c r="U16" s="166" t="str">
        <f>H12_MOTOR_ICPI_CANÓNICO!K16</f>
        <v>🟢 Por Mandato</v>
      </c>
      <c r="V16" s="166" t="str">
        <f>H07_S5_FINANCIERO_eSIGEF!I17</f>
        <v>✅ OK</v>
      </c>
    </row>
    <row r="17" spans="1:22" x14ac:dyDescent="0.3">
      <c r="A17" s="169" t="s">
        <v>1362</v>
      </c>
      <c r="B17" s="169" t="str">
        <f>H04_S2_PLANIFICACIÓN_PDOT!B17</f>
        <v>Participación ciudadana: 50→100 Unidades Territoriales participativas; 2→4 instancias efectivas (COPFP Art.115)</v>
      </c>
      <c r="C17" s="169" t="str">
        <f>H04_S2_PLANIFICACIÓN_PDOT!I17</f>
        <v>Gobernanza</v>
      </c>
      <c r="D17" s="169" t="str">
        <f>H04_S2_PLANIFICACIÓN_PDOT!J17</f>
        <v>16,17</v>
      </c>
      <c r="E17" s="169" t="str">
        <f>H04_S2_PLANIFICACIÓN_PDOT!C17</f>
        <v>Institucional</v>
      </c>
      <c r="F17" s="188">
        <f>H04_S2_PLANIFICACIÓN_PDOT!H17</f>
        <v>8.5001080419824218E-4</v>
      </c>
      <c r="G17" s="188">
        <f>H04_S2_PLANIFICACIÓN_PDOT!E17</f>
        <v>1</v>
      </c>
      <c r="H17" s="188">
        <f>H04_S2_PLANIFICACIÓN_PDOT!K17</f>
        <v>1</v>
      </c>
      <c r="I17" s="188">
        <f>H04_S2_PLANIFICACIÓN_PDOT!L17</f>
        <v>0.57971014492753625</v>
      </c>
      <c r="J17" s="188">
        <f>H07_S5_FINANCIERO_eSIGEF!G18</f>
        <v>0.95</v>
      </c>
      <c r="K17" s="169">
        <f>H06_S4_CONTRATACIÓN_SERCOP!H18</f>
        <v>0.5</v>
      </c>
      <c r="L17" s="169">
        <f>H07_S5_FINANCIERO_eSIGEF!H18</f>
        <v>1</v>
      </c>
      <c r="M17" s="169">
        <f>H09_S7_TRANSPARENCIA_LOTAIP!H18</f>
        <v>0.5</v>
      </c>
      <c r="N17" s="169">
        <f>H10_S8_PARTICIPACIÓN_CPCCS!G18</f>
        <v>1</v>
      </c>
      <c r="O17" s="169">
        <f>H12_MOTOR_ICPI_CANÓNICO!D17</f>
        <v>1</v>
      </c>
      <c r="P17" s="169">
        <f>H12_MOTOR_ICPI_CANÓNICO!E17</f>
        <v>0.75</v>
      </c>
      <c r="Q17" s="169">
        <f>H12_MOTOR_ICPI_CANÓNICO!G17</f>
        <v>0.75</v>
      </c>
      <c r="R17" s="188">
        <f>H12_MOTOR_ICPI_CANÓNICO!H17</f>
        <v>2.6331856434402064E-4</v>
      </c>
      <c r="S17" s="188">
        <f>H12_MOTOR_ICPI_CANÓNICO!I17</f>
        <v>4.9275988649173457E-4</v>
      </c>
      <c r="T17" s="188">
        <f>H12_MOTOR_ICPI_CANÓNICO!J17</f>
        <v>53.437499999999993</v>
      </c>
      <c r="U17" s="169" t="str">
        <f>H12_MOTOR_ICPI_CANÓNICO!K17</f>
        <v>🟡 Transición</v>
      </c>
      <c r="V17" s="169" t="str">
        <f>H07_S5_FINANCIERO_eSIGEF!I18</f>
        <v>✅ OK</v>
      </c>
    </row>
    <row r="18" spans="1:22" x14ac:dyDescent="0.3">
      <c r="A18" s="166" t="s">
        <v>1363</v>
      </c>
      <c r="B18" s="166" t="str">
        <f>H04_S2_PLANIFICACIÓN_PDOT!B18</f>
        <v>Gestión del riesgo: reducir 10% infraestructura susceptible (3,655→2,398 unidades); alerta temprana climática</v>
      </c>
      <c r="C18" s="166" t="str">
        <f>H04_S2_PLANIFICACIÓN_PDOT!I18</f>
        <v>Infraestructura</v>
      </c>
      <c r="D18" s="166" t="str">
        <f>H04_S2_PLANIFICACIÓN_PDOT!J18</f>
        <v>11,13</v>
      </c>
      <c r="E18" s="166" t="str">
        <f>H04_S2_PLANIFICACIÓN_PDOT!C18</f>
        <v>Ambiental</v>
      </c>
      <c r="F18" s="187">
        <f>H04_S2_PLANIFICACIÓN_PDOT!H18</f>
        <v>5.8557669614817268E-3</v>
      </c>
      <c r="G18" s="187">
        <f>H04_S2_PLANIFICACIÓN_PDOT!E18</f>
        <v>1</v>
      </c>
      <c r="H18" s="187">
        <f>H04_S2_PLANIFICACIÓN_PDOT!K18</f>
        <v>1.1499999999999999</v>
      </c>
      <c r="I18" s="187">
        <f>H04_S2_PLANIFICACIÓN_PDOT!L18</f>
        <v>0.66666666666666663</v>
      </c>
      <c r="J18" s="187">
        <f>H07_S5_FINANCIERO_eSIGEF!G19</f>
        <v>0.65</v>
      </c>
      <c r="K18" s="166">
        <f>H06_S4_CONTRATACIÓN_SERCOP!H19</f>
        <v>1</v>
      </c>
      <c r="L18" s="166">
        <f>H07_S5_FINANCIERO_eSIGEF!H19</f>
        <v>1</v>
      </c>
      <c r="M18" s="166">
        <f>H09_S7_TRANSPARENCIA_LOTAIP!H19</f>
        <v>1</v>
      </c>
      <c r="N18" s="166">
        <f>H10_S8_PARTICIPACIÓN_CPCCS!G19</f>
        <v>0.5</v>
      </c>
      <c r="O18" s="166">
        <f>H12_MOTOR_ICPI_CANÓNICO!D18</f>
        <v>1</v>
      </c>
      <c r="P18" s="166">
        <f>H12_MOTOR_ICPI_CANÓNICO!E18</f>
        <v>1</v>
      </c>
      <c r="Q18" s="166">
        <f>H12_MOTOR_ICPI_CANÓNICO!G18</f>
        <v>1</v>
      </c>
      <c r="R18" s="187">
        <f>H12_MOTOR_ICPI_CANÓNICO!H18</f>
        <v>2.5374990166420813E-3</v>
      </c>
      <c r="S18" s="187">
        <f>H12_MOTOR_ICPI_CANÓNICO!I18</f>
        <v>3.9038446409878176E-3</v>
      </c>
      <c r="T18" s="187">
        <f>H12_MOTOR_ICPI_CANÓNICO!J18</f>
        <v>64.999999999999986</v>
      </c>
      <c r="U18" s="166" t="str">
        <f>H12_MOTOR_ICPI_CANÓNICO!K18</f>
        <v>🟡 Transición</v>
      </c>
      <c r="V18" s="166" t="str">
        <f>H07_S5_FINANCIERO_eSIGEF!I19</f>
        <v>✅ OK</v>
      </c>
    </row>
    <row r="19" spans="1:22" x14ac:dyDescent="0.3">
      <c r="A19" s="169" t="s">
        <v>1364</v>
      </c>
      <c r="B19" s="169" t="str">
        <f>H04_S2_PLANIFICACIÓN_PDOT!B19</f>
        <v>Áreas verdes y parques: IVU 10.94→17.32 m²/hab; parques inter-barriales; recuperación manglar perfil costero</v>
      </c>
      <c r="C19" s="169" t="str">
        <f>H04_S2_PLANIFICACIÓN_PDOT!I19</f>
        <v>Infraestructura</v>
      </c>
      <c r="D19" s="169" t="str">
        <f>H04_S2_PLANIFICACIÓN_PDOT!J19</f>
        <v>11,13,15</v>
      </c>
      <c r="E19" s="169" t="str">
        <f>H04_S2_PLANIFICACIÓN_PDOT!C19</f>
        <v>Ambiental</v>
      </c>
      <c r="F19" s="188">
        <f>H04_S2_PLANIFICACIÓN_PDOT!H19</f>
        <v>4.3764153080547638E-3</v>
      </c>
      <c r="G19" s="188">
        <f>H04_S2_PLANIFICACIÓN_PDOT!E19</f>
        <v>1</v>
      </c>
      <c r="H19" s="188">
        <f>H04_S2_PLANIFICACIÓN_PDOT!K19</f>
        <v>1.1499999999999999</v>
      </c>
      <c r="I19" s="188">
        <f>H04_S2_PLANIFICACIÓN_PDOT!L19</f>
        <v>0.66666666666666663</v>
      </c>
      <c r="J19" s="188">
        <f>H07_S5_FINANCIERO_eSIGEF!G20</f>
        <v>0.8</v>
      </c>
      <c r="K19" s="169">
        <f>H06_S4_CONTRATACIÓN_SERCOP!H20</f>
        <v>0.5</v>
      </c>
      <c r="L19" s="169">
        <f>H07_S5_FINANCIERO_eSIGEF!H20</f>
        <v>1</v>
      </c>
      <c r="M19" s="169">
        <f>H09_S7_TRANSPARENCIA_LOTAIP!H20</f>
        <v>1</v>
      </c>
      <c r="N19" s="169">
        <f>H10_S8_PARTICIPACIÓN_CPCCS!G20</f>
        <v>1</v>
      </c>
      <c r="O19" s="169">
        <f>H12_MOTOR_ICPI_CANÓNICO!D19</f>
        <v>1</v>
      </c>
      <c r="P19" s="169">
        <f>H12_MOTOR_ICPI_CANÓNICO!E19</f>
        <v>1</v>
      </c>
      <c r="Q19" s="169">
        <f>H12_MOTOR_ICPI_CANÓNICO!G19</f>
        <v>1</v>
      </c>
      <c r="R19" s="188">
        <f>H12_MOTOR_ICPI_CANÓNICO!H19</f>
        <v>2.334088164295874E-3</v>
      </c>
      <c r="S19" s="188">
        <f>H12_MOTOR_ICPI_CANÓNICO!I19</f>
        <v>2.9176102053698424E-3</v>
      </c>
      <c r="T19" s="188">
        <f>H12_MOTOR_ICPI_CANÓNICO!J19</f>
        <v>80</v>
      </c>
      <c r="U19" s="169" t="str">
        <f>H12_MOTOR_ICPI_CANÓNICO!K19</f>
        <v>🟢 Por Mandato</v>
      </c>
      <c r="V19" s="169" t="str">
        <f>H07_S5_FINANCIERO_eSIGEF!I20</f>
        <v>✅ OK</v>
      </c>
    </row>
    <row r="20" spans="1:22" x14ac:dyDescent="0.3">
      <c r="A20" s="166" t="s">
        <v>1365</v>
      </c>
      <c r="B20" s="166" t="str">
        <f>H04_S2_PLANIFICACIÓN_PDOT!B20</f>
        <v>Índice equipamiento urbano CUP 9.96→10.73 m²/hab; recolección desechos 91.95%→97.95%; 77.83→81.07 km/día barrido</v>
      </c>
      <c r="C20" s="166" t="str">
        <f>H04_S2_PLANIFICACIÓN_PDOT!I20</f>
        <v>Infraestructura</v>
      </c>
      <c r="D20" s="166">
        <f>H04_S2_PLANIFICACIÓN_PDOT!J20</f>
        <v>11</v>
      </c>
      <c r="E20" s="166" t="str">
        <f>H04_S2_PLANIFICACIÓN_PDOT!C20</f>
        <v>Territorial</v>
      </c>
      <c r="F20" s="187">
        <f>H04_S2_PLANIFICACIÓN_PDOT!H20</f>
        <v>3.0831932140758928E-2</v>
      </c>
      <c r="G20" s="187">
        <f>H04_S2_PLANIFICACIÓN_PDOT!E20</f>
        <v>1</v>
      </c>
      <c r="H20" s="187">
        <f>H04_S2_PLANIFICACIÓN_PDOT!K20</f>
        <v>1</v>
      </c>
      <c r="I20" s="187">
        <f>H04_S2_PLANIFICACIÓN_PDOT!L20</f>
        <v>0.57971014492753625</v>
      </c>
      <c r="J20" s="187">
        <f>H07_S5_FINANCIERO_eSIGEF!G21</f>
        <v>0.85</v>
      </c>
      <c r="K20" s="166">
        <f>H06_S4_CONTRATACIÓN_SERCOP!H21</f>
        <v>1</v>
      </c>
      <c r="L20" s="166">
        <f>H07_S5_FINANCIERO_eSIGEF!H21</f>
        <v>1</v>
      </c>
      <c r="M20" s="166">
        <f>H09_S7_TRANSPARENCIA_LOTAIP!H21</f>
        <v>1</v>
      </c>
      <c r="N20" s="166">
        <f>H10_S8_PARTICIPACIÓN_CPCCS!G21</f>
        <v>1</v>
      </c>
      <c r="O20" s="166">
        <f>H12_MOTOR_ICPI_CANÓNICO!D20</f>
        <v>1</v>
      </c>
      <c r="P20" s="166">
        <f>H12_MOTOR_ICPI_CANÓNICO!E20</f>
        <v>0.9</v>
      </c>
      <c r="Q20" s="166">
        <f>H12_MOTOR_ICPI_CANÓNICO!G20</f>
        <v>0.9</v>
      </c>
      <c r="R20" s="187">
        <f>H12_MOTOR_ICPI_CANÓNICO!H20</f>
        <v>1.2305962480528997E-2</v>
      </c>
      <c r="S20" s="187">
        <f>H12_MOTOR_ICPI_CANÓNICO!I20</f>
        <v>1.7873583849715321E-2</v>
      </c>
      <c r="T20" s="187">
        <f>H12_MOTOR_ICPI_CANÓNICO!J20</f>
        <v>68.849999999999994</v>
      </c>
      <c r="U20" s="166" t="str">
        <f>H12_MOTOR_ICPI_CANÓNICO!K20</f>
        <v>🟡 Transición</v>
      </c>
      <c r="V20" s="166" t="str">
        <f>H07_S5_FINANCIERO_eSIGEF!I21</f>
        <v>✅ OK</v>
      </c>
    </row>
    <row r="21" spans="1:22" x14ac:dyDescent="0.3">
      <c r="A21" s="169" t="s">
        <v>1366</v>
      </c>
      <c r="B21" s="169" t="str">
        <f>H04_S2_PLANIFICACIÓN_PDOT!B21</f>
        <v>Inventario patrimonial 100% al 2026; 8,000→10,000 participantes eventos culturales; Museo del Sombrero</v>
      </c>
      <c r="C21" s="169" t="str">
        <f>H04_S2_PLANIFICACIÓN_PDOT!I21</f>
        <v>Inclusion</v>
      </c>
      <c r="D21" s="169" t="str">
        <f>H04_S2_PLANIFICACIÓN_PDOT!J21</f>
        <v>4,11</v>
      </c>
      <c r="E21" s="169" t="str">
        <f>H04_S2_PLANIFICACIÓN_PDOT!C21</f>
        <v>Social</v>
      </c>
      <c r="F21" s="188">
        <f>H04_S2_PLANIFICACIÓN_PDOT!H21</f>
        <v>3.0724161372806774E-3</v>
      </c>
      <c r="G21" s="188">
        <f>H04_S2_PLANIFICACIÓN_PDOT!E21</f>
        <v>1</v>
      </c>
      <c r="H21" s="188">
        <f>H04_S2_PLANIFICACIÓN_PDOT!K21</f>
        <v>1</v>
      </c>
      <c r="I21" s="188">
        <f>H04_S2_PLANIFICACIÓN_PDOT!L21</f>
        <v>0.57971014492753625</v>
      </c>
      <c r="J21" s="188">
        <f>H07_S5_FINANCIERO_eSIGEF!G22</f>
        <v>0.95</v>
      </c>
      <c r="K21" s="169">
        <f>H06_S4_CONTRATACIÓN_SERCOP!H22</f>
        <v>0.5</v>
      </c>
      <c r="L21" s="169">
        <f>H07_S5_FINANCIERO_eSIGEF!H22</f>
        <v>1</v>
      </c>
      <c r="M21" s="169">
        <f>H09_S7_TRANSPARENCIA_LOTAIP!H22</f>
        <v>0.5</v>
      </c>
      <c r="N21" s="169">
        <f>H10_S8_PARTICIPACIÓN_CPCCS!G22</f>
        <v>1</v>
      </c>
      <c r="O21" s="169">
        <f>H12_MOTOR_ICPI_CANÓNICO!D21</f>
        <v>1</v>
      </c>
      <c r="P21" s="169">
        <f>H12_MOTOR_ICPI_CANÓNICO!E21</f>
        <v>0.9</v>
      </c>
      <c r="Q21" s="169">
        <f>H12_MOTOR_ICPI_CANÓNICO!G21</f>
        <v>0.9</v>
      </c>
      <c r="R21" s="188">
        <f>H12_MOTOR_ICPI_CANÓNICO!H21</f>
        <v>1.3705647638478154E-3</v>
      </c>
      <c r="S21" s="188">
        <f>H12_MOTOR_ICPI_CANÓNICO!I21</f>
        <v>1.7811108042206827E-3</v>
      </c>
      <c r="T21" s="188">
        <f>H12_MOTOR_ICPI_CANÓNICO!J21</f>
        <v>76.95</v>
      </c>
      <c r="U21" s="169" t="str">
        <f>H12_MOTOR_ICPI_CANÓNICO!K21</f>
        <v>🟢 Por Mandato</v>
      </c>
      <c r="V21" s="169" t="str">
        <f>H07_S5_FINANCIERO_eSIGEF!I22</f>
        <v>✅ OK</v>
      </c>
    </row>
    <row r="22" spans="1:22" x14ac:dyDescent="0.3">
      <c r="A22" s="166" t="s">
        <v>1367</v>
      </c>
      <c r="B22" s="166" t="str">
        <f>H04_S2_PLANIFICACIÓN_PDOT!B22</f>
        <v>Cumplimiento PDOT/PUGS 0%→80%; SIL 19.52%→80%; 37 trámites digitales implementados</v>
      </c>
      <c r="C22" s="166" t="str">
        <f>H04_S2_PLANIFICACIÓN_PDOT!I22</f>
        <v>Gobernanza</v>
      </c>
      <c r="D22" s="166" t="str">
        <f>H04_S2_PLANIFICACIÓN_PDOT!J22</f>
        <v>16,17</v>
      </c>
      <c r="E22" s="166" t="str">
        <f>H04_S2_PLANIFICACIÓN_PDOT!C22</f>
        <v>Institucional</v>
      </c>
      <c r="F22" s="187">
        <f>H04_S2_PLANIFICACIÓN_PDOT!H22</f>
        <v>2.9153829592694054E-3</v>
      </c>
      <c r="G22" s="187">
        <f>H04_S2_PLANIFICACIÓN_PDOT!E22</f>
        <v>1</v>
      </c>
      <c r="H22" s="187">
        <f>H04_S2_PLANIFICACIÓN_PDOT!K22</f>
        <v>1</v>
      </c>
      <c r="I22" s="187">
        <f>H04_S2_PLANIFICACIÓN_PDOT!L22</f>
        <v>0.57971014492753625</v>
      </c>
      <c r="J22" s="187">
        <f>H07_S5_FINANCIERO_eSIGEF!G23</f>
        <v>0.85</v>
      </c>
      <c r="K22" s="166">
        <f>H06_S4_CONTRATACIÓN_SERCOP!H23</f>
        <v>1</v>
      </c>
      <c r="L22" s="166">
        <f>H07_S5_FINANCIERO_eSIGEF!H23</f>
        <v>1</v>
      </c>
      <c r="M22" s="166">
        <f>H09_S7_TRANSPARENCIA_LOTAIP!H23</f>
        <v>1</v>
      </c>
      <c r="N22" s="166">
        <f>H10_S8_PARTICIPACIÓN_CPCCS!G23</f>
        <v>1</v>
      </c>
      <c r="O22" s="166">
        <f>H12_MOTOR_ICPI_CANÓNICO!D22</f>
        <v>1</v>
      </c>
      <c r="P22" s="166">
        <f>H12_MOTOR_ICPI_CANÓNICO!E22</f>
        <v>1</v>
      </c>
      <c r="Q22" s="166">
        <f>H12_MOTOR_ICPI_CANÓNICO!G22</f>
        <v>1</v>
      </c>
      <c r="R22" s="187">
        <f>H12_MOTOR_ICPI_CANÓNICO!H22</f>
        <v>1.4365655161617361E-3</v>
      </c>
      <c r="S22" s="187">
        <f>H12_MOTOR_ICPI_CANÓNICO!I22</f>
        <v>1.6900770778373365E-3</v>
      </c>
      <c r="T22" s="187">
        <f>H12_MOTOR_ICPI_CANÓNICO!J22</f>
        <v>85</v>
      </c>
      <c r="U22" s="166" t="str">
        <f>H12_MOTOR_ICPI_CANÓNICO!K22</f>
        <v>🟢 Por Mandato</v>
      </c>
      <c r="V22" s="166" t="str">
        <f>H07_S5_FINANCIERO_eSIGEF!I23</f>
        <v>✅ OK</v>
      </c>
    </row>
    <row r="23" spans="1:22" x14ac:dyDescent="0.3">
      <c r="A23" s="169" t="s">
        <v>1368</v>
      </c>
      <c r="B23" s="169" t="str">
        <f>H04_S2_PLANIFICACIÓN_PDOT!B23</f>
        <v>Señalización vial 0→10,000 m²; 0→8 semáforos; revisiones técnicas 4,000→20,000; educación vial 40 instituciones</v>
      </c>
      <c r="C23" s="169" t="str">
        <f>H04_S2_PLANIFICACIÓN_PDOT!I23</f>
        <v>Infraestructura</v>
      </c>
      <c r="D23" s="169" t="str">
        <f>H04_S2_PLANIFICACIÓN_PDOT!J23</f>
        <v>11,3</v>
      </c>
      <c r="E23" s="169" t="str">
        <f>H04_S2_PLANIFICACIÓN_PDOT!C23</f>
        <v>Territorial</v>
      </c>
      <c r="F23" s="188">
        <f>H04_S2_PLANIFICACIÓN_PDOT!H23</f>
        <v>1.6698181788056838E-3</v>
      </c>
      <c r="G23" s="188">
        <f>H04_S2_PLANIFICACIÓN_PDOT!E23</f>
        <v>1</v>
      </c>
      <c r="H23" s="188">
        <f>H04_S2_PLANIFICACIÓN_PDOT!K23</f>
        <v>1</v>
      </c>
      <c r="I23" s="188">
        <f>H04_S2_PLANIFICACIÓN_PDOT!L23</f>
        <v>0.57971014492753625</v>
      </c>
      <c r="J23" s="188">
        <f>H07_S5_FINANCIERO_eSIGEF!G24</f>
        <v>0.94999999999999984</v>
      </c>
      <c r="K23" s="169">
        <f>H06_S4_CONTRATACIÓN_SERCOP!H24</f>
        <v>0.5</v>
      </c>
      <c r="L23" s="169">
        <f>H07_S5_FINANCIERO_eSIGEF!H24</f>
        <v>1</v>
      </c>
      <c r="M23" s="169">
        <f>H09_S7_TRANSPARENCIA_LOTAIP!H24</f>
        <v>0.5</v>
      </c>
      <c r="N23" s="169">
        <f>H10_S8_PARTICIPACIÓN_CPCCS!G24</f>
        <v>0.5</v>
      </c>
      <c r="O23" s="169">
        <f>H12_MOTOR_ICPI_CANÓNICO!D23</f>
        <v>1</v>
      </c>
      <c r="P23" s="169">
        <f>H12_MOTOR_ICPI_CANÓNICO!E23</f>
        <v>0.75</v>
      </c>
      <c r="Q23" s="169">
        <f>H12_MOTOR_ICPI_CANÓNICO!G23</f>
        <v>0.75</v>
      </c>
      <c r="R23" s="188">
        <f>H12_MOTOR_ICPI_CANÓNICO!H23</f>
        <v>5.1728063147784761E-4</v>
      </c>
      <c r="S23" s="188">
        <f>H12_MOTOR_ICPI_CANÓNICO!I23</f>
        <v>9.680105384380776E-4</v>
      </c>
      <c r="T23" s="188">
        <f>H12_MOTOR_ICPI_CANÓNICO!J23</f>
        <v>53.437499999999993</v>
      </c>
      <c r="U23" s="169" t="str">
        <f>H12_MOTOR_ICPI_CANÓNICO!K23</f>
        <v>🟡 Transición</v>
      </c>
      <c r="V23" s="169" t="str">
        <f>H07_S5_FINANCIERO_eSIGEF!I24</f>
        <v>✅ OK</v>
      </c>
    </row>
    <row r="24" spans="1:22" x14ac:dyDescent="0.3">
      <c r="A24" s="166" t="s">
        <v>1369</v>
      </c>
      <c r="B24" s="166" t="str">
        <f>H04_S2_PLANIFICACIÓN_PDOT!B24</f>
        <v>Vivienda de interés social: 50 VIS/VIP hasta 2027; reducción déficit habitacional cualitativo</v>
      </c>
      <c r="C24" s="166" t="str">
        <f>H04_S2_PLANIFICACIÓN_PDOT!I24</f>
        <v>Infraestructura</v>
      </c>
      <c r="D24" s="166" t="str">
        <f>H04_S2_PLANIFICACIÓN_PDOT!J24</f>
        <v>1,11</v>
      </c>
      <c r="E24" s="166" t="str">
        <f>H04_S2_PLANIFICACIÓN_PDOT!C24</f>
        <v>Territorial</v>
      </c>
      <c r="F24" s="187">
        <f>H04_S2_PLANIFICACIÓN_PDOT!H24</f>
        <v>1.9971247321263993E-3</v>
      </c>
      <c r="G24" s="187">
        <f>H04_S2_PLANIFICACIÓN_PDOT!E24</f>
        <v>1</v>
      </c>
      <c r="H24" s="187">
        <f>H04_S2_PLANIFICACIÓN_PDOT!K24</f>
        <v>1</v>
      </c>
      <c r="I24" s="187">
        <f>H04_S2_PLANIFICACIÓN_PDOT!L24</f>
        <v>0.57971014492753625</v>
      </c>
      <c r="J24" s="187">
        <f>H07_S5_FINANCIERO_eSIGEF!G25</f>
        <v>0.95</v>
      </c>
      <c r="K24" s="166">
        <f>H06_S4_CONTRATACIÓN_SERCOP!H25</f>
        <v>0.5</v>
      </c>
      <c r="L24" s="166">
        <f>H07_S5_FINANCIERO_eSIGEF!H25</f>
        <v>1</v>
      </c>
      <c r="M24" s="166">
        <f>H09_S7_TRANSPARENCIA_LOTAIP!H25</f>
        <v>0.5</v>
      </c>
      <c r="N24" s="166">
        <f>H10_S8_PARTICIPACIÓN_CPCCS!G25</f>
        <v>0.5</v>
      </c>
      <c r="O24" s="166">
        <f>H12_MOTOR_ICPI_CANÓNICO!D24</f>
        <v>1</v>
      </c>
      <c r="P24" s="166">
        <f>H12_MOTOR_ICPI_CANÓNICO!E24</f>
        <v>1</v>
      </c>
      <c r="Q24" s="166">
        <f>H12_MOTOR_ICPI_CANÓNICO!G24</f>
        <v>1</v>
      </c>
      <c r="R24" s="187">
        <f>H12_MOTOR_ICPI_CANÓNICO!H24</f>
        <v>1.0998657945043937E-3</v>
      </c>
      <c r="S24" s="187">
        <f>H12_MOTOR_ICPI_CANÓNICO!I24</f>
        <v>1.1577534678993619E-3</v>
      </c>
      <c r="T24" s="187">
        <f>H12_MOTOR_ICPI_CANÓNICO!J24</f>
        <v>94.999999999999986</v>
      </c>
      <c r="U24" s="166" t="str">
        <f>H12_MOTOR_ICPI_CANÓNICO!K24</f>
        <v>🔵 Excelencia</v>
      </c>
      <c r="V24" s="166" t="str">
        <f>H07_S5_FINANCIERO_eSIGEF!I25</f>
        <v>✅ OK</v>
      </c>
    </row>
    <row r="25" spans="1:22" x14ac:dyDescent="0.3">
      <c r="A25" s="169" t="s">
        <v>1370</v>
      </c>
      <c r="B25" s="169" t="str">
        <f>H04_S2_PLANIFICACIÓN_PDOT!B25</f>
        <v>Fortalecimiento productivo: beneficiarios artesanos, mipymes, emprendedores, huertos comunitarios y cadenas de valor</v>
      </c>
      <c r="C25" s="169" t="str">
        <f>H04_S2_PLANIFICACIÓN_PDOT!I25</f>
        <v>Gobernanza</v>
      </c>
      <c r="D25" s="169" t="str">
        <f>H04_S2_PLANIFICACIÓN_PDOT!J25</f>
        <v>1,8,10</v>
      </c>
      <c r="E25" s="169" t="str">
        <f>H04_S2_PLANIFICACIÓN_PDOT!C25</f>
        <v>Económico</v>
      </c>
      <c r="F25" s="188">
        <f>H04_S2_PLANIFICACIÓN_PDOT!H25</f>
        <v>1.4199556845418699E-3</v>
      </c>
      <c r="G25" s="188">
        <f>H04_S2_PLANIFICACIÓN_PDOT!E25</f>
        <v>0.5</v>
      </c>
      <c r="H25" s="188">
        <f>H04_S2_PLANIFICACIÓN_PDOT!K25</f>
        <v>1</v>
      </c>
      <c r="I25" s="188">
        <f>H04_S2_PLANIFICACIÓN_PDOT!L25</f>
        <v>0.28985507246376813</v>
      </c>
      <c r="J25" s="188">
        <f>H07_S5_FINANCIERO_eSIGEF!G26</f>
        <v>0.85</v>
      </c>
      <c r="K25" s="169">
        <f>H06_S4_CONTRATACIÓN_SERCOP!H26</f>
        <v>1</v>
      </c>
      <c r="L25" s="169">
        <f>H07_S5_FINANCIERO_eSIGEF!H26</f>
        <v>1</v>
      </c>
      <c r="M25" s="169">
        <f>H09_S7_TRANSPARENCIA_LOTAIP!H26</f>
        <v>0.5</v>
      </c>
      <c r="N25" s="169">
        <f>H10_S8_PARTICIPACIÓN_CPCCS!G26</f>
        <v>1</v>
      </c>
      <c r="O25" s="169">
        <f>H12_MOTOR_ICPI_CANÓNICO!D25</f>
        <v>1</v>
      </c>
      <c r="P25" s="169">
        <f>H12_MOTOR_ICPI_CANÓNICO!E25</f>
        <v>1</v>
      </c>
      <c r="Q25" s="169">
        <f>H12_MOTOR_ICPI_CANÓNICO!G25</f>
        <v>1</v>
      </c>
      <c r="R25" s="188">
        <f>H12_MOTOR_ICPI_CANÓNICO!H25</f>
        <v>3.4984415416248972E-4</v>
      </c>
      <c r="S25" s="188">
        <f>H12_MOTOR_ICPI_CANÓNICO!I25</f>
        <v>4.1158135783822319E-4</v>
      </c>
      <c r="T25" s="188">
        <f>H12_MOTOR_ICPI_CANÓNICO!J25</f>
        <v>85</v>
      </c>
      <c r="U25" s="169" t="str">
        <f>H12_MOTOR_ICPI_CANÓNICO!K25</f>
        <v>🟢 Por Mandato</v>
      </c>
      <c r="V25" s="169" t="str">
        <f>H07_S5_FINANCIERO_eSIGEF!I26</f>
        <v>✅ OK</v>
      </c>
    </row>
    <row r="26" spans="1:22" x14ac:dyDescent="0.3">
      <c r="A26" s="3" t="s">
        <v>1000</v>
      </c>
      <c r="F26" s="189">
        <f>AVERAGE(F6:F25)</f>
        <v>5.000000000000001E-2</v>
      </c>
      <c r="H26" s="190">
        <f>COUNTIF(H6:H25,1.15)</f>
        <v>4</v>
      </c>
      <c r="J26" s="189">
        <f>AVERAGE(J6:J25)</f>
        <v>0.78499999999999981</v>
      </c>
      <c r="T26" s="19">
        <f>H12_MOTOR_ICPI_CANÓNICO!B28</f>
        <v>72.933457177838463</v>
      </c>
    </row>
    <row r="28" spans="1:22" x14ac:dyDescent="0.3">
      <c r="A28" s="9" t="str">
        <f ca="1">"Fecha: "&amp;TEXT(TODAY(),"DD/MM/YYYY")&amp;" | Versión: TERRA SIAP-ICPI v2.0 | ICPI Global: "&amp;INT(H12_MOTOR_ICPI_CANÓNICO!B28)&amp;","&amp;TEXT(MOD(H12_MOTOR_ICPI_CANÓNICO!B28,1)*10,"0")&amp;"% | Período: "&amp;H01_PARÁMETROS!B10</f>
        <v>Fecha: 05/04/2026 | Versión: TERRA SIAP-ICPI v2.0 | ICPI Global: 72,9% | Período: 2024-2027</v>
      </c>
    </row>
  </sheetData>
  <hyperlinks>
    <hyperlink ref="B1" location="'H00_ÍNDICE'!A1" display="⬅️ ÍNDICE GENERAL" xr:uid="{DC19510A-A237-42CE-BDFA-7ED61A6D5B63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B152-682A-4A53-A72A-033B239009EC}">
  <sheetPr>
    <tabColor rgb="FF718096"/>
  </sheetPr>
  <dimension ref="A1:H57"/>
  <sheetViews>
    <sheetView zoomScale="92" zoomScaleNormal="92" workbookViewId="0">
      <pane ySplit="2" topLeftCell="A20" activePane="bottomLeft" state="frozen"/>
      <selection pane="bottomLeft" activeCell="B1" sqref="B1"/>
    </sheetView>
  </sheetViews>
  <sheetFormatPr baseColWidth="10" defaultRowHeight="14.4" x14ac:dyDescent="0.3"/>
  <cols>
    <col min="1" max="1" width="55.5546875" customWidth="1"/>
    <col min="2" max="2" width="109" bestFit="1" customWidth="1"/>
    <col min="3" max="3" width="16.6640625" bestFit="1" customWidth="1"/>
    <col min="4" max="4" width="14.109375" bestFit="1" customWidth="1"/>
    <col min="5" max="5" width="11.6640625" bestFit="1" customWidth="1"/>
    <col min="6" max="6" width="16.44140625" bestFit="1" customWidth="1"/>
    <col min="7" max="7" width="48.21875" bestFit="1" customWidth="1"/>
    <col min="8" max="8" width="21.109375" bestFit="1" customWidth="1"/>
  </cols>
  <sheetData>
    <row r="1" spans="1:5" ht="18" customHeight="1" x14ac:dyDescent="0.3">
      <c r="A1" s="208" t="s">
        <v>1126</v>
      </c>
      <c r="B1" s="209" t="s">
        <v>1127</v>
      </c>
      <c r="C1" s="210" t="str">
        <f>"ICPI: "&amp;TEXT(H12_MOTOR_ICPI_CANÓNICO!B28,"0,0")&amp;"%"</f>
        <v>ICPI: 72,9%</v>
      </c>
      <c r="D1" s="211" t="s">
        <v>1164</v>
      </c>
      <c r="E1" s="212" t="str">
        <f ca="1">TEXT(TODAY(),"DD/MM/YYYY")</f>
        <v>05/04/2026</v>
      </c>
    </row>
    <row r="2" spans="1:5" ht="25.05" customHeight="1" x14ac:dyDescent="0.35">
      <c r="A2" s="303" t="s">
        <v>1186</v>
      </c>
      <c r="B2" s="303"/>
      <c r="C2" s="303"/>
      <c r="D2" s="303"/>
      <c r="E2" s="303"/>
    </row>
    <row r="3" spans="1:5" ht="16.05" customHeight="1" x14ac:dyDescent="0.3">
      <c r="A3" s="301" t="s">
        <v>1187</v>
      </c>
      <c r="B3" s="301"/>
      <c r="C3" s="301"/>
      <c r="D3" s="301"/>
      <c r="E3" s="301"/>
    </row>
    <row r="5" spans="1:5" x14ac:dyDescent="0.3">
      <c r="A5" s="312" t="s">
        <v>1001</v>
      </c>
      <c r="B5" s="312"/>
      <c r="C5" s="312"/>
      <c r="D5" s="312"/>
      <c r="E5" s="312"/>
    </row>
    <row r="6" spans="1:5" x14ac:dyDescent="0.3">
      <c r="A6" s="2" t="s">
        <v>1002</v>
      </c>
      <c r="B6" s="2" t="s">
        <v>755</v>
      </c>
      <c r="C6" s="2" t="s">
        <v>790</v>
      </c>
      <c r="D6" s="2" t="s">
        <v>1003</v>
      </c>
    </row>
    <row r="7" spans="1:5" x14ac:dyDescent="0.3">
      <c r="A7" s="177" t="s">
        <v>1004</v>
      </c>
      <c r="B7" s="169" t="str">
        <f>INT(H12_MOTOR_ICPI_CANÓNICO!B28)&amp;","&amp;TEXT(MOD(H12_MOTOR_ICPI_CANÓNICO!B28,1)*10,"0")&amp;"%"</f>
        <v>72,9%</v>
      </c>
      <c r="C7" s="178" t="s">
        <v>1005</v>
      </c>
      <c r="D7" s="185" t="s">
        <v>1188</v>
      </c>
    </row>
    <row r="8" spans="1:5" x14ac:dyDescent="0.3">
      <c r="A8" s="179" t="s">
        <v>1007</v>
      </c>
      <c r="B8" s="252" t="str">
        <f>INT(H12_MOTOR_ICPI_CANÓNICO!B30)&amp;","&amp;TEXT(MOD(H12_MOTOR_ICPI_CANÓNICO!B30,1)*10,"0")&amp;"%"</f>
        <v>100,0%</v>
      </c>
      <c r="C8" s="180" t="s">
        <v>1005</v>
      </c>
      <c r="D8" s="184" t="s">
        <v>1012</v>
      </c>
    </row>
    <row r="9" spans="1:5" x14ac:dyDescent="0.3">
      <c r="A9" s="177" t="s">
        <v>416</v>
      </c>
      <c r="B9" s="169" t="str">
        <f>INT(H12_MOTOR_ICPI_CANÓNICO!B31)&amp;","&amp;TEXT(MOD(H12_MOTOR_ICPI_CANÓNICO!B31,1)*10,"0")</f>
        <v>27,1</v>
      </c>
      <c r="C9" s="178" t="s">
        <v>1009</v>
      </c>
      <c r="D9" s="185" t="s">
        <v>1008</v>
      </c>
    </row>
    <row r="10" spans="1:5" x14ac:dyDescent="0.3">
      <c r="A10" s="179" t="s">
        <v>1010</v>
      </c>
      <c r="B10" s="166" t="str">
        <f>H12_MOTOR_ICPI_CANÓNICO!B29</f>
        <v>🟢 Gestión por Mandato</v>
      </c>
      <c r="C10" s="180" t="s">
        <v>1011</v>
      </c>
      <c r="D10" s="184" t="s">
        <v>1006</v>
      </c>
    </row>
    <row r="11" spans="1:5" x14ac:dyDescent="0.3">
      <c r="A11" s="177" t="s">
        <v>1013</v>
      </c>
      <c r="B11" s="296" t="str">
        <f>INT(H16_IFE!B7)&amp;","&amp;TEXT(MOD(H16_IFE!B7,1)*10,"0")&amp;"%"</f>
        <v>77,0%</v>
      </c>
      <c r="C11" s="178" t="s">
        <v>1005</v>
      </c>
      <c r="D11" s="185" t="s">
        <v>1014</v>
      </c>
    </row>
    <row r="12" spans="1:5" x14ac:dyDescent="0.3">
      <c r="A12" s="179" t="s">
        <v>1015</v>
      </c>
      <c r="B12" s="166" t="str">
        <f>INT(H17_IED!B26)&amp;","&amp;TEXT(MOD(H17_IED!B26,1)*10,"0")&amp;"%"</f>
        <v>53,0%</v>
      </c>
      <c r="C12" s="180" t="s">
        <v>1005</v>
      </c>
      <c r="D12" s="184" t="s">
        <v>1016</v>
      </c>
    </row>
    <row r="13" spans="1:5" x14ac:dyDescent="0.3">
      <c r="A13" s="177" t="s">
        <v>1017</v>
      </c>
      <c r="B13" s="169" t="str">
        <f>INT(H18_ITAM!B6)&amp;","&amp;TEXT(MOD(H18_ITAM!B6,1)*10,"0")&amp;"%"</f>
        <v>70,0%</v>
      </c>
      <c r="C13" s="178" t="s">
        <v>1005</v>
      </c>
      <c r="D13" s="185" t="s">
        <v>1018</v>
      </c>
    </row>
    <row r="14" spans="1:5" x14ac:dyDescent="0.3">
      <c r="A14" s="179" t="s">
        <v>1019</v>
      </c>
      <c r="B14" s="166" t="str">
        <f>INT(H19_ICS_ISP!B6)&amp;","&amp;TEXT(MOD(H19_ICS_ISP!B6,1)*10,"0")&amp;"%"</f>
        <v>63,5%</v>
      </c>
      <c r="C14" s="180" t="s">
        <v>1005</v>
      </c>
      <c r="D14" s="184" t="s">
        <v>1020</v>
      </c>
    </row>
    <row r="15" spans="1:5" x14ac:dyDescent="0.3">
      <c r="A15" s="177" t="s">
        <v>1021</v>
      </c>
      <c r="B15" s="169" t="str">
        <f>INT(H20_ICODS!D8)&amp;","&amp;TEXT(MOD(H20_ICODS!D8,1)*10,"0")&amp;"%"</f>
        <v>75,7%</v>
      </c>
      <c r="C15" s="178" t="s">
        <v>1005</v>
      </c>
      <c r="D15" s="185" t="s">
        <v>1022</v>
      </c>
    </row>
    <row r="16" spans="1:5" x14ac:dyDescent="0.3">
      <c r="A16" s="179" t="s">
        <v>1023</v>
      </c>
      <c r="B16" s="166" t="str">
        <f>INT(H20_ICODS!D9)&amp;","&amp;TEXT(MOD(H20_ICODS!D9,1)*10,"0")&amp;"%"</f>
        <v>71,3%</v>
      </c>
      <c r="C16" s="180" t="s">
        <v>1005</v>
      </c>
      <c r="D16" s="184" t="s">
        <v>1024</v>
      </c>
    </row>
    <row r="17" spans="1:8" x14ac:dyDescent="0.3">
      <c r="A17" s="177" t="s">
        <v>1025</v>
      </c>
      <c r="B17" s="169" t="str">
        <f>INT(H20_ICODS!D10)&amp;","&amp;TEXT(MOD(H20_ICODS!D10,1)*10,"0")&amp;"%"</f>
        <v>63,5%</v>
      </c>
      <c r="C17" s="178" t="s">
        <v>1005</v>
      </c>
      <c r="D17" s="185" t="s">
        <v>1026</v>
      </c>
    </row>
    <row r="18" spans="1:8" x14ac:dyDescent="0.3">
      <c r="A18" s="179" t="s">
        <v>1027</v>
      </c>
      <c r="B18" s="166" t="str">
        <f>'H21_SAT-I'!B24</f>
        <v>✅ Sin señal SAT-I</v>
      </c>
      <c r="C18" s="180" t="s">
        <v>1028</v>
      </c>
      <c r="D18" s="184" t="s">
        <v>1029</v>
      </c>
    </row>
    <row r="19" spans="1:8" x14ac:dyDescent="0.3">
      <c r="A19" s="177" t="s">
        <v>1030</v>
      </c>
      <c r="B19" s="169" t="str">
        <f>'H22_SAT-II'!B38</f>
        <v>✅ Sin señal SAT-II</v>
      </c>
      <c r="C19" s="178" t="s">
        <v>1028</v>
      </c>
      <c r="D19" s="185" t="s">
        <v>1031</v>
      </c>
    </row>
    <row r="20" spans="1:8" x14ac:dyDescent="0.3">
      <c r="A20" s="179" t="s">
        <v>1032</v>
      </c>
      <c r="B20" s="166" t="str">
        <f>'H23_SAT-III'!B24</f>
        <v>✅ Sin señal SAT-III</v>
      </c>
      <c r="C20" s="180" t="s">
        <v>1028</v>
      </c>
      <c r="D20" s="184" t="s">
        <v>1033</v>
      </c>
    </row>
    <row r="21" spans="1:8" x14ac:dyDescent="0.3">
      <c r="A21" s="177" t="s">
        <v>1034</v>
      </c>
      <c r="B21" s="169" t="str">
        <f>'H24_SAT-IV'!B45</f>
        <v>✅ SAT-IV no aplica — Reforma no vigente o derogada por Corte Constitucional</v>
      </c>
      <c r="C21" s="178" t="s">
        <v>1028</v>
      </c>
      <c r="D21" s="185" t="s">
        <v>1035</v>
      </c>
    </row>
    <row r="22" spans="1:8" x14ac:dyDescent="0.3">
      <c r="A22" s="179" t="s">
        <v>1036</v>
      </c>
      <c r="B22" s="166" t="str">
        <f ca="1">TEXT(TODAY(),"DD/MM/YYYY")</f>
        <v>05/04/2026</v>
      </c>
      <c r="C22" s="180" t="s">
        <v>1037</v>
      </c>
      <c r="D22" s="184" t="s">
        <v>1038</v>
      </c>
    </row>
    <row r="23" spans="1:8" x14ac:dyDescent="0.3">
      <c r="A23" s="177" t="s">
        <v>19</v>
      </c>
      <c r="B23" s="169" t="str">
        <f>H01_PARÁMETROS!B6</f>
        <v>GAD Municipal de Montecristi</v>
      </c>
      <c r="C23" s="178" t="s">
        <v>1011</v>
      </c>
      <c r="D23" s="185" t="s">
        <v>1039</v>
      </c>
    </row>
    <row r="24" spans="1:8" x14ac:dyDescent="0.3">
      <c r="A24" s="179" t="s">
        <v>1040</v>
      </c>
      <c r="B24" s="166" t="str">
        <f>H01_PARÁMETROS!B10</f>
        <v>2024-2027</v>
      </c>
      <c r="C24" s="180" t="s">
        <v>1011</v>
      </c>
      <c r="D24" s="184" t="s">
        <v>1041</v>
      </c>
    </row>
    <row r="27" spans="1:8" x14ac:dyDescent="0.3">
      <c r="A27" s="191" t="s">
        <v>1042</v>
      </c>
    </row>
    <row r="28" spans="1:8" x14ac:dyDescent="0.3">
      <c r="A28" s="2" t="s">
        <v>192</v>
      </c>
      <c r="B28" s="2" t="s">
        <v>381</v>
      </c>
      <c r="C28" s="2" t="s">
        <v>195</v>
      </c>
      <c r="D28" s="2" t="s">
        <v>196</v>
      </c>
      <c r="E28" s="2" t="s">
        <v>770</v>
      </c>
      <c r="F28" s="2" t="s">
        <v>408</v>
      </c>
      <c r="G28" s="2" t="s">
        <v>533</v>
      </c>
      <c r="H28" s="2" t="s">
        <v>1043</v>
      </c>
    </row>
    <row r="29" spans="1:8" x14ac:dyDescent="0.3">
      <c r="A29" s="169" t="s">
        <v>1351</v>
      </c>
      <c r="B29" s="169" t="str">
        <f>H04_S2_PLANIFICACIÓN_PDOT!B6</f>
        <v>Agua potable: cobertura 39.25%→42.38%; calidad 100% INEN 1108; infraestructura BUENA 22.74%→41.64%</v>
      </c>
      <c r="C29" s="169" t="str">
        <f>H04_S2_PLANIFICACIÓN_PDOT!I6</f>
        <v>Infraestructura</v>
      </c>
      <c r="D29" s="169" t="str">
        <f>H04_S2_PLANIFICACIÓN_PDOT!J6</f>
        <v>6,3,11</v>
      </c>
      <c r="E29" s="170">
        <f>H12_MOTOR_ICPI_CANÓNICO!J6</f>
        <v>95</v>
      </c>
      <c r="F29" s="169" t="str">
        <f>H12_MOTOR_ICPI_CANÓNICO!K6</f>
        <v>🔵 Excelencia</v>
      </c>
      <c r="G29" s="169" t="str">
        <f>H04_S2_PLANIFICACIÓN_PDOT!R6</f>
        <v>Patronato Municipal</v>
      </c>
      <c r="H29" s="169" t="str">
        <f>IF(H12_MOTOR_ICPI_CANÓNICO!J6&lt;70,"🌐 Evaluar cooperación","✅ Sin brecha")</f>
        <v>✅ Sin brecha</v>
      </c>
    </row>
    <row r="30" spans="1:8" x14ac:dyDescent="0.3">
      <c r="A30" s="166" t="s">
        <v>1352</v>
      </c>
      <c r="B30" s="166" t="str">
        <f>H04_S2_PLANIFICACIÓN_PDOT!B7</f>
        <v>Gestión del talento humano municipal: desempeño 80%→90%; plan capacitación 90% anual</v>
      </c>
      <c r="C30" s="166" t="str">
        <f>H04_S2_PLANIFICACIÓN_PDOT!I7</f>
        <v>Gobernanza</v>
      </c>
      <c r="D30" s="166">
        <f>H04_S2_PLANIFICACIÓN_PDOT!J7</f>
        <v>16</v>
      </c>
      <c r="E30" s="167">
        <f>H12_MOTOR_ICPI_CANÓNICO!J7</f>
        <v>85</v>
      </c>
      <c r="F30" s="166" t="str">
        <f>H12_MOTOR_ICPI_CANÓNICO!K7</f>
        <v>🟢 Por Mandato</v>
      </c>
      <c r="G30" s="166" t="str">
        <f>H04_S2_PLANIFICACIÓN_PDOT!R7</f>
        <v>Dirección TIC</v>
      </c>
      <c r="H30" s="166" t="str">
        <f>IF(H12_MOTOR_ICPI_CANÓNICO!J7&lt;70,"🌐 Evaluar cooperación","✅ Sin brecha")</f>
        <v>✅ Sin brecha</v>
      </c>
    </row>
    <row r="31" spans="1:8" x14ac:dyDescent="0.3">
      <c r="A31" s="169" t="s">
        <v>1353</v>
      </c>
      <c r="B31" s="169" t="str">
        <f>H04_S2_PLANIFICACIÓN_PDOT!B8</f>
        <v>Sostenibilidad financiera: autonomía 43.35%→45.30%; gestión cobros y coactivas</v>
      </c>
      <c r="C31" s="169" t="str">
        <f>H04_S2_PLANIFICACIÓN_PDOT!I8</f>
        <v>Gobernanza</v>
      </c>
      <c r="D31" s="169" t="str">
        <f>H04_S2_PLANIFICACIÓN_PDOT!J8</f>
        <v>16,17</v>
      </c>
      <c r="E31" s="170">
        <f>H12_MOTOR_ICPI_CANÓNICO!J8</f>
        <v>58.320000000000007</v>
      </c>
      <c r="F31" s="169" t="str">
        <f>H12_MOTOR_ICPI_CANÓNICO!K8</f>
        <v>🟡 Transición</v>
      </c>
      <c r="G31" s="169" t="str">
        <f>H04_S2_PLANIFICACIÓN_PDOT!R8</f>
        <v>Dirección de Obras Públicas</v>
      </c>
      <c r="H31" s="169" t="str">
        <f>IF(H12_MOTOR_ICPI_CANÓNICO!J8&lt;70,"🌐 Evaluar cooperación","✅ Sin brecha")</f>
        <v>🌐 Evaluar cooperación</v>
      </c>
    </row>
    <row r="32" spans="1:8" x14ac:dyDescent="0.3">
      <c r="A32" s="166" t="s">
        <v>1354</v>
      </c>
      <c r="B32" s="166" t="str">
        <f>H04_S2_PLANIFICACIÓN_PDOT!B9</f>
        <v>Vialidad cantonal: mantenimiento 43.8 km vías CUP + 57.22 km rurales; 23.77 km tratamiento medio</v>
      </c>
      <c r="C32" s="166" t="str">
        <f>H04_S2_PLANIFICACIÓN_PDOT!I9</f>
        <v>Infraestructura</v>
      </c>
      <c r="D32" s="166" t="str">
        <f>H04_S2_PLANIFICACIÓN_PDOT!J9</f>
        <v>9,11</v>
      </c>
      <c r="E32" s="167">
        <f>H12_MOTOR_ICPI_CANÓNICO!J9</f>
        <v>0</v>
      </c>
      <c r="F32" s="166" t="str">
        <f>H12_MOTOR_ICPI_CANÓNICO!K9</f>
        <v>🔴 Ruptura</v>
      </c>
      <c r="G32" s="166" t="str">
        <f>H04_S2_PLANIFICACIÓN_PDOT!R9</f>
        <v>Dirección de Obras Públicas</v>
      </c>
      <c r="H32" s="166" t="str">
        <f>IF(H12_MOTOR_ICPI_CANÓNICO!J9&lt;70,"🌐 Evaluar cooperación","✅ Sin brecha")</f>
        <v>🌐 Evaluar cooperación</v>
      </c>
    </row>
    <row r="33" spans="1:8" x14ac:dyDescent="0.3">
      <c r="A33" s="169" t="s">
        <v>1355</v>
      </c>
      <c r="B33" s="169" t="str">
        <f>H04_S2_PLANIFICACIÓN_PDOT!B10</f>
        <v>Salud integral municipal: población atendida 57,401→84,041 personas (+10% anual)</v>
      </c>
      <c r="C33" s="169" t="str">
        <f>H04_S2_PLANIFICACIÓN_PDOT!I10</f>
        <v>Inclusion</v>
      </c>
      <c r="D33" s="169" t="str">
        <f>H04_S2_PLANIFICACIÓN_PDOT!J10</f>
        <v>3,1,10</v>
      </c>
      <c r="E33" s="170">
        <f>H12_MOTOR_ICPI_CANÓNICO!J10</f>
        <v>58.320000000000007</v>
      </c>
      <c r="F33" s="169" t="str">
        <f>H12_MOTOR_ICPI_CANÓNICO!K10</f>
        <v>🟡 Transición</v>
      </c>
      <c r="G33" s="169" t="str">
        <f>H04_S2_PLANIFICACIÓN_PDOT!R10</f>
        <v>Dirección de Obras Públicas</v>
      </c>
      <c r="H33" s="169" t="str">
        <f>IF(H12_MOTOR_ICPI_CANÓNICO!J10&lt;70,"🌐 Evaluar cooperación","✅ Sin brecha")</f>
        <v>🌐 Evaluar cooperación</v>
      </c>
    </row>
    <row r="34" spans="1:8" x14ac:dyDescent="0.3">
      <c r="A34" s="166" t="s">
        <v>1356</v>
      </c>
      <c r="B34" s="166" t="str">
        <f>H04_S2_PLANIFICACIÓN_PDOT!B11</f>
        <v>Gestión integral desechos sólidos: 20,118→23,086 Tn/año; relleno sanitario; capacidad disposición 0%→20%</v>
      </c>
      <c r="C34" s="166" t="str">
        <f>H04_S2_PLANIFICACIÓN_PDOT!I11</f>
        <v>Infraestructura</v>
      </c>
      <c r="D34" s="166" t="str">
        <f>H04_S2_PLANIFICACIÓN_PDOT!J11</f>
        <v>11,13,3</v>
      </c>
      <c r="E34" s="167">
        <f>H12_MOTOR_ICPI_CANÓNICO!J11</f>
        <v>22.5</v>
      </c>
      <c r="F34" s="166" t="str">
        <f>H12_MOTOR_ICPI_CANÓNICO!K11</f>
        <v>🟠 Por Ocurrencia</v>
      </c>
      <c r="G34" s="166" t="str">
        <f>H04_S2_PLANIFICACIÓN_PDOT!R11</f>
        <v>EP Montehogar</v>
      </c>
      <c r="H34" s="166" t="str">
        <f>IF(H12_MOTOR_ICPI_CANÓNICO!J11&lt;70,"🌐 Evaluar cooperación","✅ Sin brecha")</f>
        <v>🌐 Evaluar cooperación</v>
      </c>
    </row>
    <row r="35" spans="1:8" x14ac:dyDescent="0.3">
      <c r="A35" s="169" t="s">
        <v>1357</v>
      </c>
      <c r="B35" s="169" t="str">
        <f>H04_S2_PLANIFICACIÓN_PDOT!B12</f>
        <v>Alcantarillado sanitario: cobertura 19.77%→24.32%; PTAR 0%→75%; estaciones bombeo 36%→72%</v>
      </c>
      <c r="C35" s="169" t="str">
        <f>H04_S2_PLANIFICACIÓN_PDOT!I12</f>
        <v>Infraestructura</v>
      </c>
      <c r="D35" s="169" t="str">
        <f>H04_S2_PLANIFICACIÓN_PDOT!J12</f>
        <v>6,3,11</v>
      </c>
      <c r="E35" s="170">
        <f>H12_MOTOR_ICPI_CANÓNICO!J12</f>
        <v>47.8125</v>
      </c>
      <c r="F35" s="169" t="str">
        <f>H12_MOTOR_ICPI_CANÓNICO!K12</f>
        <v>🟡 Transición</v>
      </c>
      <c r="G35" s="169" t="str">
        <f>H04_S2_PLANIFICACIÓN_PDOT!R12</f>
        <v>Dirección de Cultura y Deporte</v>
      </c>
      <c r="H35" s="169" t="str">
        <f>IF(H12_MOTOR_ICPI_CANÓNICO!J12&lt;70,"🌐 Evaluar cooperación","✅ Sin brecha")</f>
        <v>🌐 Evaluar cooperación</v>
      </c>
    </row>
    <row r="36" spans="1:8" x14ac:dyDescent="0.3">
      <c r="A36" s="166" t="s">
        <v>1358</v>
      </c>
      <c r="B36" s="166" t="str">
        <f>H04_S2_PLANIFICACIÓN_PDOT!B13</f>
        <v>Modernización recursos administrativos: parque automotor, tecnología e infraestructura municipal</v>
      </c>
      <c r="C36" s="166" t="str">
        <f>H04_S2_PLANIFICACIÓN_PDOT!I13</f>
        <v>Gobernanza</v>
      </c>
      <c r="D36" s="166">
        <f>H04_S2_PLANIFICACIÓN_PDOT!J13</f>
        <v>16</v>
      </c>
      <c r="E36" s="167">
        <f>H12_MOTOR_ICPI_CANÓNICO!J13</f>
        <v>40.5</v>
      </c>
      <c r="F36" s="166" t="str">
        <f>H12_MOTOR_ICPI_CANÓNICO!K13</f>
        <v>🟡 Transición</v>
      </c>
      <c r="G36" s="166" t="str">
        <f>H04_S2_PLANIFICACIÓN_PDOT!R13</f>
        <v>Dirección de Obras Públicas</v>
      </c>
      <c r="H36" s="166" t="str">
        <f>IF(H12_MOTOR_ICPI_CANÓNICO!J13&lt;70,"🌐 Evaluar cooperación","✅ Sin brecha")</f>
        <v>🌐 Evaluar cooperación</v>
      </c>
    </row>
    <row r="37" spans="1:8" x14ac:dyDescent="0.3">
      <c r="A37" s="169" t="s">
        <v>1359</v>
      </c>
      <c r="B37" s="169" t="str">
        <f>H04_S2_PLANIFICACIÓN_PDOT!B14</f>
        <v>Equipamientos públicos: terminal terrestre, mercado, estación bomberil, centro salud tipo C, mantenimiento espacios recreativos</v>
      </c>
      <c r="C37" s="169" t="str">
        <f>H04_S2_PLANIFICACIÓN_PDOT!I14</f>
        <v>Infraestructura</v>
      </c>
      <c r="D37" s="169" t="str">
        <f>H04_S2_PLANIFICACIÓN_PDOT!J14</f>
        <v>11,3,4</v>
      </c>
      <c r="E37" s="170">
        <f>H12_MOTOR_ICPI_CANÓNICO!J14</f>
        <v>85.000000000000014</v>
      </c>
      <c r="F37" s="169" t="str">
        <f>H12_MOTOR_ICPI_CANÓNICO!K14</f>
        <v>🟢 Por Mandato</v>
      </c>
      <c r="G37" s="169" t="str">
        <f>H04_S2_PLANIFICACIÓN_PDOT!R14</f>
        <v>Dirección Administrativa</v>
      </c>
      <c r="H37" s="169" t="str">
        <f>IF(H12_MOTOR_ICPI_CANÓNICO!J14&lt;70,"🌐 Evaluar cooperación","✅ Sin brecha")</f>
        <v>✅ Sin brecha</v>
      </c>
    </row>
    <row r="38" spans="1:8" x14ac:dyDescent="0.3">
      <c r="A38" s="166" t="s">
        <v>1360</v>
      </c>
      <c r="B38" s="166" t="str">
        <f>H04_S2_PLANIFICACIÓN_PDOT!B15</f>
        <v>Protección derechos sociales: atenciones grupos prioritarios 943→1,649 (+15%/año); CDI; adultos mayores; violencia de género</v>
      </c>
      <c r="C38" s="166" t="str">
        <f>H04_S2_PLANIFICACIÓN_PDOT!I15</f>
        <v>Inclusion</v>
      </c>
      <c r="D38" s="166" t="str">
        <f>H04_S2_PLANIFICACIÓN_PDOT!J15</f>
        <v>1,3,5,10</v>
      </c>
      <c r="E38" s="167">
        <f>H12_MOTOR_ICPI_CANÓNICO!J15</f>
        <v>72</v>
      </c>
      <c r="F38" s="166" t="str">
        <f>H12_MOTOR_ICPI_CANÓNICO!K15</f>
        <v>🟢 Por Mandato</v>
      </c>
      <c r="G38" s="166" t="str">
        <f>H04_S2_PLANIFICACIÓN_PDOT!R15</f>
        <v>Dirección de Agua y Saneamiento</v>
      </c>
      <c r="H38" s="166" t="str">
        <f>IF(H12_MOTOR_ICPI_CANÓNICO!J15&lt;70,"🌐 Evaluar cooperación","✅ Sin brecha")</f>
        <v>✅ Sin brecha</v>
      </c>
    </row>
    <row r="39" spans="1:8" x14ac:dyDescent="0.3">
      <c r="A39" s="169" t="s">
        <v>1361</v>
      </c>
      <c r="B39" s="169" t="str">
        <f>H04_S2_PLANIFICACIÓN_PDOT!B16</f>
        <v>Sistema información territorial: catastro urbano-rural 19.52%→80%; 12 procesos sistematizados; 37 trámites en línea</v>
      </c>
      <c r="C39" s="169" t="str">
        <f>H04_S2_PLANIFICACIÓN_PDOT!I16</f>
        <v>Gobernanza</v>
      </c>
      <c r="D39" s="169" t="str">
        <f>H04_S2_PLANIFICACIÓN_PDOT!J16</f>
        <v>11,16</v>
      </c>
      <c r="E39" s="170">
        <f>H12_MOTOR_ICPI_CANÓNICO!J16</f>
        <v>72.000000000000014</v>
      </c>
      <c r="F39" s="169" t="str">
        <f>H12_MOTOR_ICPI_CANÓNICO!K16</f>
        <v>🟢 Por Mandato</v>
      </c>
      <c r="G39" s="169" t="str">
        <f>H04_S2_PLANIFICACIÓN_PDOT!R16</f>
        <v>Dirección de Agua y Saneamiento</v>
      </c>
      <c r="H39" s="169" t="str">
        <f>IF(H12_MOTOR_ICPI_CANÓNICO!J16&lt;70,"🌐 Evaluar cooperación","✅ Sin brecha")</f>
        <v>✅ Sin brecha</v>
      </c>
    </row>
    <row r="40" spans="1:8" x14ac:dyDescent="0.3">
      <c r="A40" s="166" t="s">
        <v>1362</v>
      </c>
      <c r="B40" s="166" t="str">
        <f>H04_S2_PLANIFICACIÓN_PDOT!B17</f>
        <v>Participación ciudadana: 50→100 Unidades Territoriales participativas; 2→4 instancias efectivas (COPFP Art.115)</v>
      </c>
      <c r="C40" s="166" t="str">
        <f>H04_S2_PLANIFICACIÓN_PDOT!I17</f>
        <v>Gobernanza</v>
      </c>
      <c r="D40" s="166" t="str">
        <f>H04_S2_PLANIFICACIÓN_PDOT!J17</f>
        <v>16,17</v>
      </c>
      <c r="E40" s="167">
        <f>H12_MOTOR_ICPI_CANÓNICO!J17</f>
        <v>53.437499999999993</v>
      </c>
      <c r="F40" s="166" t="str">
        <f>H12_MOTOR_ICPI_CANÓNICO!K17</f>
        <v>🟡 Transición</v>
      </c>
      <c r="G40" s="166" t="str">
        <f>H04_S2_PLANIFICACIÓN_PDOT!R17</f>
        <v>Patronato Municipal</v>
      </c>
      <c r="H40" s="166" t="str">
        <f>IF(H12_MOTOR_ICPI_CANÓNICO!J17&lt;70,"🌐 Evaluar cooperación","✅ Sin brecha")</f>
        <v>🌐 Evaluar cooperación</v>
      </c>
    </row>
    <row r="41" spans="1:8" x14ac:dyDescent="0.3">
      <c r="A41" s="169" t="s">
        <v>1363</v>
      </c>
      <c r="B41" s="169" t="str">
        <f>H04_S2_PLANIFICACIÓN_PDOT!B18</f>
        <v>Gestión del riesgo: reducir 10% infraestructura susceptible (3,655→2,398 unidades); alerta temprana climática</v>
      </c>
      <c r="C41" s="169" t="str">
        <f>H04_S2_PLANIFICACIÓN_PDOT!I18</f>
        <v>Infraestructura</v>
      </c>
      <c r="D41" s="169" t="str">
        <f>H04_S2_PLANIFICACIÓN_PDOT!J18</f>
        <v>11,13</v>
      </c>
      <c r="E41" s="170">
        <f>H12_MOTOR_ICPI_CANÓNICO!J18</f>
        <v>64.999999999999986</v>
      </c>
      <c r="F41" s="169" t="str">
        <f>H12_MOTOR_ICPI_CANÓNICO!K18</f>
        <v>🟡 Transición</v>
      </c>
      <c r="G41" s="169" t="str">
        <f>H04_S2_PLANIFICACIÓN_PDOT!R18</f>
        <v>Dirección Ambiental</v>
      </c>
      <c r="H41" s="169" t="str">
        <f>IF(H12_MOTOR_ICPI_CANÓNICO!J18&lt;70,"🌐 Evaluar cooperación","✅ Sin brecha")</f>
        <v>🌐 Evaluar cooperación</v>
      </c>
    </row>
    <row r="42" spans="1:8" x14ac:dyDescent="0.3">
      <c r="A42" s="166" t="s">
        <v>1364</v>
      </c>
      <c r="B42" s="166" t="str">
        <f>H04_S2_PLANIFICACIÓN_PDOT!B19</f>
        <v>Áreas verdes y parques: IVU 10.94→17.32 m²/hab; parques inter-barriales; recuperación manglar perfil costero</v>
      </c>
      <c r="C42" s="166" t="str">
        <f>H04_S2_PLANIFICACIÓN_PDOT!I19</f>
        <v>Infraestructura</v>
      </c>
      <c r="D42" s="166" t="str">
        <f>H04_S2_PLANIFICACIÓN_PDOT!J19</f>
        <v>11,13,15</v>
      </c>
      <c r="E42" s="167">
        <f>H12_MOTOR_ICPI_CANÓNICO!J19</f>
        <v>80</v>
      </c>
      <c r="F42" s="166" t="str">
        <f>H12_MOTOR_ICPI_CANÓNICO!K19</f>
        <v>🟢 Por Mandato</v>
      </c>
      <c r="G42" s="166" t="str">
        <f>H04_S2_PLANIFICACIÓN_PDOT!R19</f>
        <v>EP Aseo Montecristi</v>
      </c>
      <c r="H42" s="166" t="str">
        <f>IF(H12_MOTOR_ICPI_CANÓNICO!J19&lt;70,"🌐 Evaluar cooperación","✅ Sin brecha")</f>
        <v>✅ Sin brecha</v>
      </c>
    </row>
    <row r="43" spans="1:8" x14ac:dyDescent="0.3">
      <c r="A43" s="169" t="s">
        <v>1365</v>
      </c>
      <c r="B43" s="169" t="str">
        <f>H04_S2_PLANIFICACIÓN_PDOT!B20</f>
        <v>Índice equipamiento urbano CUP 9.96→10.73 m²/hab; recolección desechos 91.95%→97.95%; 77.83→81.07 km/día barrido</v>
      </c>
      <c r="C43" s="169" t="str">
        <f>H04_S2_PLANIFICACIÓN_PDOT!I20</f>
        <v>Infraestructura</v>
      </c>
      <c r="D43" s="169">
        <f>H04_S2_PLANIFICACIÓN_PDOT!J20</f>
        <v>11</v>
      </c>
      <c r="E43" s="170">
        <f>H12_MOTOR_ICPI_CANÓNICO!J20</f>
        <v>68.849999999999994</v>
      </c>
      <c r="F43" s="169" t="str">
        <f>H12_MOTOR_ICPI_CANÓNICO!K20</f>
        <v>🟡 Transición</v>
      </c>
      <c r="G43" s="169" t="str">
        <f>H04_S2_PLANIFICACIÓN_PDOT!R20</f>
        <v>Dirección Ambiental</v>
      </c>
      <c r="H43" s="169" t="str">
        <f>IF(H12_MOTOR_ICPI_CANÓNICO!J20&lt;70,"🌐 Evaluar cooperación","✅ Sin brecha")</f>
        <v>🌐 Evaluar cooperación</v>
      </c>
    </row>
    <row r="44" spans="1:8" x14ac:dyDescent="0.3">
      <c r="A44" s="166" t="s">
        <v>1366</v>
      </c>
      <c r="B44" s="166" t="str">
        <f>H04_S2_PLANIFICACIÓN_PDOT!B21</f>
        <v>Inventario patrimonial 100% al 2026; 8,000→10,000 participantes eventos culturales; Museo del Sombrero</v>
      </c>
      <c r="C44" s="166" t="str">
        <f>H04_S2_PLANIFICACIÓN_PDOT!I21</f>
        <v>Inclusion</v>
      </c>
      <c r="D44" s="166" t="str">
        <f>H04_S2_PLANIFICACIÓN_PDOT!J21</f>
        <v>4,11</v>
      </c>
      <c r="E44" s="167">
        <f>H12_MOTOR_ICPI_CANÓNICO!J21</f>
        <v>76.95</v>
      </c>
      <c r="F44" s="166" t="str">
        <f>H12_MOTOR_ICPI_CANÓNICO!K21</f>
        <v>🟢 Por Mandato</v>
      </c>
      <c r="G44" s="166" t="str">
        <f>H04_S2_PLANIFICACIÓN_PDOT!R21</f>
        <v>Dirección Ambiental</v>
      </c>
      <c r="H44" s="166" t="str">
        <f>IF(H12_MOTOR_ICPI_CANÓNICO!J21&lt;70,"🌐 Evaluar cooperación","✅ Sin brecha")</f>
        <v>✅ Sin brecha</v>
      </c>
    </row>
    <row r="45" spans="1:8" x14ac:dyDescent="0.3">
      <c r="A45" s="169" t="s">
        <v>1367</v>
      </c>
      <c r="B45" s="169" t="str">
        <f>H04_S2_PLANIFICACIÓN_PDOT!B22</f>
        <v>Cumplimiento PDOT/PUGS 0%→80%; SIL 19.52%→80%; 37 trámites digitales implementados</v>
      </c>
      <c r="C45" s="169" t="str">
        <f>H04_S2_PLANIFICACIÓN_PDOT!I22</f>
        <v>Gobernanza</v>
      </c>
      <c r="D45" s="169" t="str">
        <f>H04_S2_PLANIFICACIÓN_PDOT!J22</f>
        <v>16,17</v>
      </c>
      <c r="E45" s="170">
        <f>H12_MOTOR_ICPI_CANÓNICO!J22</f>
        <v>85</v>
      </c>
      <c r="F45" s="169" t="str">
        <f>H12_MOTOR_ICPI_CANÓNICO!K22</f>
        <v>🟢 Por Mandato</v>
      </c>
      <c r="G45" s="169" t="str">
        <f>H04_S2_PLANIFICACIÓN_PDOT!R22</f>
        <v>Dirección Planificación</v>
      </c>
      <c r="H45" s="169" t="str">
        <f>IF(H12_MOTOR_ICPI_CANÓNICO!J22&lt;70,"🌐 Evaluar cooperación","✅ Sin brecha")</f>
        <v>✅ Sin brecha</v>
      </c>
    </row>
    <row r="46" spans="1:8" x14ac:dyDescent="0.3">
      <c r="A46" s="166" t="s">
        <v>1368</v>
      </c>
      <c r="B46" s="166" t="str">
        <f>H04_S2_PLANIFICACIÓN_PDOT!B23</f>
        <v>Señalización vial 0→10,000 m²; 0→8 semáforos; revisiones técnicas 4,000→20,000; educación vial 40 instituciones</v>
      </c>
      <c r="C46" s="166" t="str">
        <f>H04_S2_PLANIFICACIÓN_PDOT!I23</f>
        <v>Infraestructura</v>
      </c>
      <c r="D46" s="166" t="str">
        <f>H04_S2_PLANIFICACIÓN_PDOT!J23</f>
        <v>11,3</v>
      </c>
      <c r="E46" s="167">
        <f>H12_MOTOR_ICPI_CANÓNICO!J23</f>
        <v>53.437499999999993</v>
      </c>
      <c r="F46" s="166" t="str">
        <f>H12_MOTOR_ICPI_CANÓNICO!K23</f>
        <v>🟡 Transición</v>
      </c>
      <c r="G46" s="166" t="str">
        <f>H04_S2_PLANIFICACIÓN_PDOT!R23</f>
        <v>Dirección Planificación</v>
      </c>
      <c r="H46" s="166" t="str">
        <f>IF(H12_MOTOR_ICPI_CANÓNICO!J23&lt;70,"🌐 Evaluar cooperación","✅ Sin brecha")</f>
        <v>🌐 Evaluar cooperación</v>
      </c>
    </row>
    <row r="47" spans="1:8" x14ac:dyDescent="0.3">
      <c r="A47" s="169" t="s">
        <v>1369</v>
      </c>
      <c r="B47" s="169" t="str">
        <f>H04_S2_PLANIFICACIÓN_PDOT!B24</f>
        <v>Vivienda de interés social: 50 VIS/VIP hasta 2027; reducción déficit habitacional cualitativo</v>
      </c>
      <c r="C47" s="169" t="str">
        <f>H04_S2_PLANIFICACIÓN_PDOT!I24</f>
        <v>Infraestructura</v>
      </c>
      <c r="D47" s="169" t="str">
        <f>H04_S2_PLANIFICACIÓN_PDOT!J24</f>
        <v>1,11</v>
      </c>
      <c r="E47" s="170">
        <f>H12_MOTOR_ICPI_CANÓNICO!J24</f>
        <v>94.999999999999986</v>
      </c>
      <c r="F47" s="169" t="str">
        <f>H12_MOTOR_ICPI_CANÓNICO!K24</f>
        <v>🔵 Excelencia</v>
      </c>
      <c r="G47" s="169" t="str">
        <f>H04_S2_PLANIFICACIÓN_PDOT!R24</f>
        <v>Dirección Económica</v>
      </c>
      <c r="H47" s="169" t="str">
        <f>IF(H12_MOTOR_ICPI_CANÓNICO!J24&lt;70,"🌐 Evaluar cooperación","✅ Sin brecha")</f>
        <v>✅ Sin brecha</v>
      </c>
    </row>
    <row r="48" spans="1:8" x14ac:dyDescent="0.3">
      <c r="A48" s="166" t="s">
        <v>1370</v>
      </c>
      <c r="B48" s="166" t="str">
        <f>H04_S2_PLANIFICACIÓN_PDOT!B25</f>
        <v>Fortalecimiento productivo: beneficiarios artesanos, mipymes, emprendedores, huertos comunitarios y cadenas de valor</v>
      </c>
      <c r="C48" s="166" t="str">
        <f>H04_S2_PLANIFICACIÓN_PDOT!I25</f>
        <v>Gobernanza</v>
      </c>
      <c r="D48" s="166" t="str">
        <f>H04_S2_PLANIFICACIÓN_PDOT!J25</f>
        <v>1,8,10</v>
      </c>
      <c r="E48" s="167">
        <f>H12_MOTOR_ICPI_CANÓNICO!J25</f>
        <v>85</v>
      </c>
      <c r="F48" s="166" t="str">
        <f>H12_MOTOR_ICPI_CANÓNICO!K25</f>
        <v>🟢 Por Mandato</v>
      </c>
      <c r="G48" s="166" t="str">
        <f>H04_S2_PLANIFICACIÓN_PDOT!R25</f>
        <v>Dirección Turismo</v>
      </c>
      <c r="H48" s="166" t="str">
        <f>IF(H12_MOTOR_ICPI_CANÓNICO!J25&lt;70,"🌐 Evaluar cooperación","✅ Sin brecha")</f>
        <v>✅ Sin brecha</v>
      </c>
    </row>
    <row r="51" spans="1:2" x14ac:dyDescent="0.3">
      <c r="A51" s="191" t="s">
        <v>1044</v>
      </c>
    </row>
    <row r="52" spans="1:2" x14ac:dyDescent="0.3">
      <c r="A52" s="3" t="s">
        <v>1045</v>
      </c>
      <c r="B52" s="192" t="s">
        <v>1046</v>
      </c>
    </row>
    <row r="53" spans="1:2" x14ac:dyDescent="0.3">
      <c r="A53" s="3" t="s">
        <v>1047</v>
      </c>
      <c r="B53" s="193">
        <f>H12_MOTOR_ICPI_CANÓNICO!B28</f>
        <v>72.933457177838463</v>
      </c>
    </row>
    <row r="54" spans="1:2" x14ac:dyDescent="0.3">
      <c r="A54" s="3" t="s">
        <v>1048</v>
      </c>
      <c r="B54">
        <v>22</v>
      </c>
    </row>
    <row r="56" spans="1:2" x14ac:dyDescent="0.3">
      <c r="A56" s="191" t="s">
        <v>1049</v>
      </c>
    </row>
    <row r="57" spans="1:2" ht="90" customHeight="1" x14ac:dyDescent="0.3">
      <c r="A57" s="194" t="s">
        <v>1050</v>
      </c>
    </row>
  </sheetData>
  <mergeCells count="3">
    <mergeCell ref="A2:E2"/>
    <mergeCell ref="A3:E3"/>
    <mergeCell ref="A5:E5"/>
  </mergeCells>
  <hyperlinks>
    <hyperlink ref="B52" location="H35_DATASET_ACADEMIA!A1" tooltip="Ir a Dataset Academia" display="H35_DATASET_ACADEMIA" xr:uid="{743DED69-A766-4990-B1CD-41317396B38C}"/>
    <hyperlink ref="B1" location="'H00_ÍNDICE'!A1" display="⬅️ ÍNDICE GENERAL" xr:uid="{42394112-E951-40EA-AF92-70C2215445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37</vt:i4>
      </vt:variant>
    </vt:vector>
  </HeadingPairs>
  <TitlesOfParts>
    <vt:vector size="37" baseType="lpstr">
      <vt:lpstr>H00_ÍNDICE</vt:lpstr>
      <vt:lpstr>H01_PARÁMETROS</vt:lpstr>
      <vt:lpstr>H02_GLOSARIO_TERRA</vt:lpstr>
      <vt:lpstr>H03_S1_ELECTORAL_CNE</vt:lpstr>
      <vt:lpstr>H04_S2_PLANIFICACIÓN_PDOT</vt:lpstr>
      <vt:lpstr>H05_S3_OPERATIVO_POA</vt:lpstr>
      <vt:lpstr>H06_S4_CONTRATACIÓN_SERCOP</vt:lpstr>
      <vt:lpstr>H07_S5_FINANCIERO_eSIGEF</vt:lpstr>
      <vt:lpstr>H08_S6_AUTOREPORTE_SIGAD</vt:lpstr>
      <vt:lpstr>H09_S7_TRANSPARENCIA_LOTAIP</vt:lpstr>
      <vt:lpstr>H10_S8_PARTICIPACIÓN_CPCCS</vt:lpstr>
      <vt:lpstr>H11_S9_AGENDA_GLOBAL_ODS</vt:lpstr>
      <vt:lpstr>H12_MOTOR_ICPI_CANÓNICO</vt:lpstr>
      <vt:lpstr>H13_VARIABLES_Vi</vt:lpstr>
      <vt:lpstr>H14_PONDERADORES</vt:lpstr>
      <vt:lpstr>H15_ICPI_GLOBAL</vt:lpstr>
      <vt:lpstr>H16_IFE</vt:lpstr>
      <vt:lpstr>H17_IED</vt:lpstr>
      <vt:lpstr>H18_ITAM</vt:lpstr>
      <vt:lpstr>H19_ICS_ISP</vt:lpstr>
      <vt:lpstr>H20_ICODS</vt:lpstr>
      <vt:lpstr>H21_SAT-I</vt:lpstr>
      <vt:lpstr>H22_SAT-II</vt:lpstr>
      <vt:lpstr>H23_SAT-III</vt:lpstr>
      <vt:lpstr>H24_SAT-IV</vt:lpstr>
      <vt:lpstr>H25_MMP_MENSUAL</vt:lpstr>
      <vt:lpstr>H26_MMP_TRIMESTRAL</vt:lpstr>
      <vt:lpstr>H27_MMP_ANUAL</vt:lpstr>
      <vt:lpstr>H28_RESUMEN_EJECUTIVO</vt:lpstr>
      <vt:lpstr>H29_TABLERO_ALCALDE</vt:lpstr>
      <vt:lpstr>H30_IED_POR_DIRECCIÓN</vt:lpstr>
      <vt:lpstr>H31_REPORTE_CPCCS</vt:lpstr>
      <vt:lpstr>H32_REPORTE_ODS_BILATERALES</vt:lpstr>
      <vt:lpstr>H33_TAC_TERRA_CIUDADANA</vt:lpstr>
      <vt:lpstr>H34_CERTIFICADO_TERRA</vt:lpstr>
      <vt:lpstr>H35_DATASET_ACADEMIA</vt:lpstr>
      <vt:lpstr>H36_TERRA_BRIDGE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2026-04-03T19:55:42Z</dcterms:created>
  <dcterms:modified xsi:type="dcterms:W3CDTF">2026-04-06T00:57:19Z</dcterms:modified>
</cp:coreProperties>
</file>